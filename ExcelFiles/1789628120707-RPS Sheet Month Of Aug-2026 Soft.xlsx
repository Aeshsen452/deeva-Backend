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codeName="ThisWorkbook" defaultThemeVersion="124226"/>
  <xr:revisionPtr revIDLastSave="0" documentId="13_ncr:1_{EC8486F9-E3D6-4D8C-9CE6-7C4928955274}" xr6:coauthVersionLast="47" xr6:coauthVersionMax="47" xr10:uidLastSave="{00000000-0000-0000-0000-000000000000}"/>
  <bookViews>
    <workbookView xWindow="-108" yWindow="-108" windowWidth="23256" windowHeight="12456" activeTab="1" xr2:uid="{00000000-000D-0000-FFFF-FFFF00000000}"/>
  </bookViews>
  <sheets>
    <sheet name="Sheet1" sheetId="23" r:id="rId1"/>
    <sheet name="RPS ENTRY" sheetId="9" r:id="rId2"/>
    <sheet name="TOUCHING LATE SHEET" sheetId="3" r:id="rId3"/>
    <sheet name="TOUCHING" sheetId="15" r:id="rId4"/>
    <sheet name="REPORT" sheetId="2" r:id="rId5"/>
    <sheet name="ROUT DIVERT" sheetId="22" r:id="rId6"/>
  </sheets>
  <definedNames>
    <definedName name="_xlnm._FilterDatabase" localSheetId="4" hidden="1">REPORT!$A$668:$L$668</definedName>
    <definedName name="_xlnm._FilterDatabase" localSheetId="5" hidden="1">'ROUT DIVERT'!$A$1:$J$1</definedName>
    <definedName name="_xlnm._FilterDatabase" localSheetId="1" hidden="1">'RPS ENTRY'!$A$2:$AD$1458</definedName>
    <definedName name="_xlnm._FilterDatabase" localSheetId="0" hidden="1">Sheet1!$A$3:$B$8</definedName>
    <definedName name="_xlnm._FilterDatabase" localSheetId="3" hidden="1">TOUCHING!$A$1:$O$20</definedName>
    <definedName name="_xlnm._FilterDatabase" localSheetId="2" hidden="1">'TOUCHING LATE SHEET'!$A$1:$N$1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5" i="9" l="1"/>
  <c r="K1422" i="9"/>
  <c r="K1421" i="9"/>
  <c r="K1377" i="9"/>
  <c r="K1376" i="9"/>
  <c r="K1334" i="9"/>
  <c r="K1333" i="9"/>
  <c r="K1332" i="9"/>
  <c r="K1304" i="9"/>
  <c r="K1246" i="9"/>
  <c r="K1245" i="9"/>
  <c r="K1200" i="9"/>
  <c r="K1199" i="9"/>
  <c r="K1153" i="9"/>
  <c r="K1152" i="9"/>
  <c r="K1112" i="9"/>
  <c r="K1111" i="9"/>
  <c r="K1066" i="9"/>
  <c r="K1065" i="9"/>
  <c r="K1022" i="9"/>
  <c r="K1021" i="9"/>
  <c r="K977" i="9"/>
  <c r="K976" i="9"/>
  <c r="K923" i="9"/>
  <c r="K922" i="9"/>
  <c r="K892" i="9"/>
  <c r="K891" i="9"/>
  <c r="K833" i="9"/>
  <c r="K832" i="9"/>
  <c r="K801" i="9"/>
  <c r="K800" i="9"/>
  <c r="K743" i="9"/>
  <c r="K714" i="9"/>
  <c r="K713" i="9"/>
  <c r="K712" i="9"/>
  <c r="K648" i="9"/>
  <c r="K647" i="9"/>
  <c r="K646" i="9"/>
  <c r="K615" i="9"/>
  <c r="K557" i="9"/>
  <c r="K556" i="9"/>
  <c r="K510" i="9"/>
  <c r="K509" i="9"/>
  <c r="K463" i="9"/>
  <c r="K462" i="9"/>
  <c r="K417" i="9"/>
  <c r="K416" i="9"/>
  <c r="K368" i="9"/>
  <c r="K367" i="9"/>
  <c r="K320" i="9"/>
  <c r="K319" i="9"/>
  <c r="K274" i="9"/>
  <c r="K273" i="9"/>
  <c r="K244" i="9"/>
  <c r="K243" i="9"/>
  <c r="K176" i="9"/>
  <c r="K175" i="9"/>
  <c r="K127" i="9"/>
  <c r="K126" i="9"/>
  <c r="K81" i="9"/>
  <c r="K80" i="9"/>
  <c r="K26" i="9"/>
  <c r="K25"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3" i="9"/>
  <c r="AA945" i="9"/>
  <c r="Z945" i="9"/>
  <c r="L502" i="9"/>
  <c r="N502" i="9" s="1"/>
  <c r="T502" i="9"/>
  <c r="W502" i="9" s="1"/>
  <c r="Z502" i="9"/>
  <c r="AA502" i="9"/>
  <c r="O1155" i="9"/>
  <c r="O1104" i="9"/>
  <c r="AA246" i="9"/>
  <c r="Z246" i="9"/>
  <c r="T246" i="9"/>
  <c r="W246" i="9" s="1"/>
  <c r="L246" i="9"/>
  <c r="N246" i="9" s="1"/>
  <c r="AA147" i="9"/>
  <c r="Z147" i="9"/>
  <c r="T147" i="9"/>
  <c r="W147" i="9" s="1"/>
  <c r="L147" i="9"/>
  <c r="N147" i="9" s="1"/>
  <c r="AA143" i="9"/>
  <c r="Z143" i="9"/>
  <c r="T143" i="9"/>
  <c r="W143" i="9" s="1"/>
  <c r="L143" i="9"/>
  <c r="N143" i="9" s="1"/>
  <c r="AB945" i="9" l="1"/>
  <c r="AC945" i="9" s="1"/>
  <c r="AB502" i="9"/>
  <c r="AC502" i="9" s="1"/>
  <c r="AB246" i="9"/>
  <c r="AC246" i="9" s="1"/>
  <c r="AB147" i="9"/>
  <c r="AC147" i="9" s="1"/>
  <c r="AB143" i="9"/>
  <c r="AC143" i="9" s="1"/>
  <c r="AA1458" i="9" l="1"/>
  <c r="Z1458" i="9"/>
  <c r="T1458" i="9"/>
  <c r="W1458" i="9" s="1"/>
  <c r="L1458" i="9"/>
  <c r="N1458" i="9" s="1"/>
  <c r="AB1458" i="9" l="1"/>
  <c r="AC1458" i="9" s="1"/>
  <c r="O979" i="9" l="1"/>
  <c r="O1456" i="9"/>
  <c r="L1457" i="9"/>
  <c r="N1457" i="9" s="1"/>
  <c r="L1456" i="9"/>
  <c r="N1456" i="9" s="1"/>
  <c r="L1455" i="9"/>
  <c r="N1455" i="9" s="1"/>
  <c r="L1454" i="9"/>
  <c r="N1454" i="9" s="1"/>
  <c r="O1379" i="9" l="1"/>
  <c r="O1237" i="9"/>
  <c r="O1203" i="9"/>
  <c r="O1101" i="9"/>
  <c r="O295" i="9"/>
  <c r="O250" i="9"/>
  <c r="O893" i="9"/>
  <c r="O658" i="9"/>
  <c r="O205" i="9"/>
  <c r="O90" i="9"/>
  <c r="O824" i="9"/>
  <c r="O875" i="9"/>
  <c r="O303" i="9"/>
  <c r="O130" i="9"/>
  <c r="O687" i="9"/>
  <c r="O697" i="9"/>
  <c r="O1323" i="9"/>
  <c r="O1146" i="9"/>
  <c r="O951" i="9"/>
  <c r="O776" i="9"/>
  <c r="O366" i="9"/>
  <c r="O211" i="9"/>
  <c r="O56" i="9"/>
  <c r="O338" i="9" l="1"/>
  <c r="O533" i="9"/>
  <c r="O411" i="9"/>
  <c r="O315" i="9"/>
  <c r="AA1439" i="9" l="1"/>
  <c r="Z1439" i="9"/>
  <c r="AA1415" i="9"/>
  <c r="Z1415" i="9"/>
  <c r="AA1396" i="9"/>
  <c r="Z1396" i="9"/>
  <c r="AA1392" i="9"/>
  <c r="Z1392" i="9"/>
  <c r="AA1371" i="9"/>
  <c r="Z1371" i="9"/>
  <c r="AA1355" i="9"/>
  <c r="Z1355" i="9"/>
  <c r="AA1327" i="9"/>
  <c r="Z1327" i="9"/>
  <c r="AA1307" i="9"/>
  <c r="Z1307" i="9"/>
  <c r="AA1085" i="9"/>
  <c r="Z1085" i="9"/>
  <c r="AA1453" i="9"/>
  <c r="Z1453" i="9"/>
  <c r="T1453" i="9"/>
  <c r="W1453" i="9" s="1"/>
  <c r="L1453" i="9"/>
  <c r="N1453" i="9" s="1"/>
  <c r="N1452" i="9"/>
  <c r="AA1451" i="9"/>
  <c r="Z1451" i="9"/>
  <c r="T1451" i="9"/>
  <c r="W1451" i="9" s="1"/>
  <c r="L1451" i="9"/>
  <c r="N1451" i="9" s="1"/>
  <c r="AA1450" i="9"/>
  <c r="Z1450" i="9"/>
  <c r="T1450" i="9"/>
  <c r="W1450" i="9" s="1"/>
  <c r="L1450" i="9"/>
  <c r="N1450" i="9" s="1"/>
  <c r="AA1449" i="9"/>
  <c r="Z1449" i="9"/>
  <c r="T1449" i="9"/>
  <c r="W1449" i="9" s="1"/>
  <c r="L1449" i="9"/>
  <c r="N1449" i="9" s="1"/>
  <c r="AA1448" i="9"/>
  <c r="Z1448" i="9"/>
  <c r="T1448" i="9"/>
  <c r="W1448" i="9" s="1"/>
  <c r="L1448" i="9"/>
  <c r="N1448" i="9" s="1"/>
  <c r="AA1447" i="9"/>
  <c r="Z1447" i="9"/>
  <c r="T1447" i="9"/>
  <c r="W1447" i="9" s="1"/>
  <c r="L1447" i="9"/>
  <c r="N1447" i="9" s="1"/>
  <c r="AA1446" i="9"/>
  <c r="Z1446" i="9"/>
  <c r="T1446" i="9"/>
  <c r="W1446" i="9" s="1"/>
  <c r="L1446" i="9"/>
  <c r="N1446" i="9" s="1"/>
  <c r="AA1445" i="9"/>
  <c r="Z1445" i="9"/>
  <c r="T1445" i="9"/>
  <c r="W1445" i="9" s="1"/>
  <c r="L1445" i="9"/>
  <c r="N1445" i="9" s="1"/>
  <c r="AA1444" i="9"/>
  <c r="Z1444" i="9"/>
  <c r="T1444" i="9"/>
  <c r="W1444" i="9" s="1"/>
  <c r="L1444" i="9"/>
  <c r="N1444" i="9" s="1"/>
  <c r="AA1443" i="9"/>
  <c r="Z1443" i="9"/>
  <c r="T1443" i="9"/>
  <c r="W1443" i="9" s="1"/>
  <c r="L1443" i="9"/>
  <c r="N1443" i="9" s="1"/>
  <c r="AA1442" i="9"/>
  <c r="Z1442" i="9"/>
  <c r="T1442" i="9"/>
  <c r="W1442" i="9" s="1"/>
  <c r="L1442" i="9"/>
  <c r="N1442" i="9" s="1"/>
  <c r="AA1441" i="9"/>
  <c r="Z1441" i="9"/>
  <c r="T1441" i="9"/>
  <c r="W1441" i="9" s="1"/>
  <c r="L1441" i="9"/>
  <c r="N1441" i="9" s="1"/>
  <c r="AA1440" i="9"/>
  <c r="Z1440" i="9"/>
  <c r="T1440" i="9"/>
  <c r="W1440" i="9" s="1"/>
  <c r="L1440" i="9"/>
  <c r="N1440" i="9" s="1"/>
  <c r="AB1327" i="9" l="1"/>
  <c r="AC1327" i="9" s="1"/>
  <c r="AB1307" i="9"/>
  <c r="AC1307" i="9" s="1"/>
  <c r="AB1355" i="9"/>
  <c r="AC1355" i="9" s="1"/>
  <c r="AB1392" i="9"/>
  <c r="AC1392" i="9" s="1"/>
  <c r="AB1415" i="9"/>
  <c r="AC1415" i="9" s="1"/>
  <c r="AB1451" i="9"/>
  <c r="AC1451" i="9" s="1"/>
  <c r="AB1085" i="9"/>
  <c r="AC1085" i="9" s="1"/>
  <c r="AB1371" i="9"/>
  <c r="AC1371" i="9" s="1"/>
  <c r="AB1396" i="9"/>
  <c r="AC1396" i="9" s="1"/>
  <c r="AB1439" i="9"/>
  <c r="AC1439" i="9" s="1"/>
  <c r="AB1453" i="9"/>
  <c r="AC1453" i="9" s="1"/>
  <c r="AB1450" i="9"/>
  <c r="AC1450" i="9" s="1"/>
  <c r="AB1448" i="9"/>
  <c r="AC1448" i="9" s="1"/>
  <c r="AB1449" i="9"/>
  <c r="AC1449" i="9" s="1"/>
  <c r="AB1447" i="9"/>
  <c r="AC1447" i="9" s="1"/>
  <c r="AB1446" i="9"/>
  <c r="AC1446" i="9" s="1"/>
  <c r="AB1444" i="9"/>
  <c r="AC1444" i="9" s="1"/>
  <c r="AB1445" i="9"/>
  <c r="AC1445" i="9" s="1"/>
  <c r="AB1443" i="9"/>
  <c r="AC1443" i="9" s="1"/>
  <c r="AB1442" i="9"/>
  <c r="AC1442" i="9" s="1"/>
  <c r="AB1441" i="9"/>
  <c r="AC1441" i="9" s="1"/>
  <c r="AB1440" i="9"/>
  <c r="AC1440" i="9" s="1"/>
  <c r="AA1425" i="9"/>
  <c r="Z1425" i="9"/>
  <c r="T1332" i="9"/>
  <c r="W1332" i="9" s="1"/>
  <c r="AA1332" i="9"/>
  <c r="Z1332" i="9"/>
  <c r="L1332" i="9"/>
  <c r="N1332" i="9" s="1"/>
  <c r="L1425" i="9"/>
  <c r="N1425" i="9" s="1"/>
  <c r="I309" i="3"/>
  <c r="K309" i="3" s="1"/>
  <c r="I310" i="3"/>
  <c r="K310" i="3" s="1"/>
  <c r="I311" i="3"/>
  <c r="K311" i="3" s="1"/>
  <c r="I312" i="3"/>
  <c r="K312" i="3" s="1"/>
  <c r="I313" i="3"/>
  <c r="K313" i="3" s="1"/>
  <c r="I314" i="3"/>
  <c r="K314" i="3"/>
  <c r="Z1395" i="9"/>
  <c r="AA1395" i="9"/>
  <c r="Z1397" i="9"/>
  <c r="AA1397" i="9"/>
  <c r="Z1398" i="9"/>
  <c r="AA1398" i="9"/>
  <c r="Z1399" i="9"/>
  <c r="AA1399" i="9"/>
  <c r="Z1400" i="9"/>
  <c r="AA1400" i="9"/>
  <c r="Z1401" i="9"/>
  <c r="AA1401" i="9"/>
  <c r="Z1402" i="9"/>
  <c r="AA1402" i="9"/>
  <c r="Z1403" i="9"/>
  <c r="AA1403" i="9"/>
  <c r="Z1404" i="9"/>
  <c r="AA1404" i="9"/>
  <c r="Z1405" i="9"/>
  <c r="AA1405" i="9"/>
  <c r="Z1406" i="9"/>
  <c r="AA1406" i="9"/>
  <c r="Z1407" i="9"/>
  <c r="AA1407" i="9"/>
  <c r="Z1408" i="9"/>
  <c r="AA1408" i="9"/>
  <c r="Z1409" i="9"/>
  <c r="AA1409" i="9"/>
  <c r="Z1410" i="9"/>
  <c r="AA1410" i="9"/>
  <c r="Z1411" i="9"/>
  <c r="AA1411" i="9"/>
  <c r="Z1412" i="9"/>
  <c r="AA1412" i="9"/>
  <c r="Z1413" i="9"/>
  <c r="AA1413" i="9"/>
  <c r="Z1414" i="9"/>
  <c r="AA1414" i="9"/>
  <c r="Z1416" i="9"/>
  <c r="AA1416" i="9"/>
  <c r="Z1417" i="9"/>
  <c r="AA1417" i="9"/>
  <c r="Z1418" i="9"/>
  <c r="AA1418" i="9"/>
  <c r="Z1419" i="9"/>
  <c r="AA1419" i="9"/>
  <c r="Z1420" i="9"/>
  <c r="AA1420" i="9"/>
  <c r="Z1422" i="9"/>
  <c r="AA1422" i="9"/>
  <c r="Z1423" i="9"/>
  <c r="AA1423" i="9"/>
  <c r="Z1424" i="9"/>
  <c r="AA1424" i="9"/>
  <c r="Z1426" i="9"/>
  <c r="AA1426" i="9"/>
  <c r="Z1427" i="9"/>
  <c r="AA1427" i="9"/>
  <c r="Z1428" i="9"/>
  <c r="AA1428" i="9"/>
  <c r="Z1429" i="9"/>
  <c r="AA1429" i="9"/>
  <c r="Z1430" i="9"/>
  <c r="AA1430" i="9"/>
  <c r="Z1431" i="9"/>
  <c r="AA1431" i="9"/>
  <c r="Z1432" i="9"/>
  <c r="AA1432" i="9"/>
  <c r="Z1433" i="9"/>
  <c r="AA1433" i="9"/>
  <c r="Z1434" i="9"/>
  <c r="AA1434" i="9"/>
  <c r="Z1435" i="9"/>
  <c r="AA1435" i="9"/>
  <c r="Z1436" i="9"/>
  <c r="AA1436" i="9"/>
  <c r="Z1437" i="9"/>
  <c r="AA1437" i="9"/>
  <c r="Z1438" i="9"/>
  <c r="AA1438" i="9"/>
  <c r="Z1421" i="9"/>
  <c r="AA1421" i="9"/>
  <c r="T1395" i="9"/>
  <c r="W1395" i="9" s="1"/>
  <c r="T1397" i="9"/>
  <c r="W1397" i="9" s="1"/>
  <c r="T1398" i="9"/>
  <c r="W1398" i="9" s="1"/>
  <c r="T1399" i="9"/>
  <c r="W1399" i="9" s="1"/>
  <c r="T1400" i="9"/>
  <c r="W1400" i="9" s="1"/>
  <c r="T1401" i="9"/>
  <c r="W1401" i="9" s="1"/>
  <c r="T1402" i="9"/>
  <c r="W1402" i="9" s="1"/>
  <c r="T1403" i="9"/>
  <c r="W1403" i="9" s="1"/>
  <c r="T1404" i="9"/>
  <c r="W1404" i="9" s="1"/>
  <c r="T1405" i="9"/>
  <c r="W1405" i="9" s="1"/>
  <c r="T1406" i="9"/>
  <c r="W1406" i="9" s="1"/>
  <c r="T1407" i="9"/>
  <c r="W1407" i="9" s="1"/>
  <c r="T1408" i="9"/>
  <c r="W1408" i="9" s="1"/>
  <c r="T1409" i="9"/>
  <c r="W1409" i="9" s="1"/>
  <c r="T1410" i="9"/>
  <c r="W1410" i="9" s="1"/>
  <c r="T1411" i="9"/>
  <c r="W1411" i="9" s="1"/>
  <c r="T1412" i="9"/>
  <c r="W1412" i="9" s="1"/>
  <c r="T1413" i="9"/>
  <c r="W1413" i="9" s="1"/>
  <c r="T1414" i="9"/>
  <c r="W1414" i="9" s="1"/>
  <c r="T1416" i="9"/>
  <c r="W1416" i="9" s="1"/>
  <c r="T1417" i="9"/>
  <c r="W1417" i="9" s="1"/>
  <c r="T1418" i="9"/>
  <c r="W1418" i="9" s="1"/>
  <c r="T1419" i="9"/>
  <c r="W1419" i="9" s="1"/>
  <c r="T1420" i="9"/>
  <c r="W1420" i="9" s="1"/>
  <c r="T1422" i="9"/>
  <c r="W1422" i="9" s="1"/>
  <c r="T1423" i="9"/>
  <c r="W1423" i="9" s="1"/>
  <c r="T1424" i="9"/>
  <c r="W1424" i="9" s="1"/>
  <c r="T1426" i="9"/>
  <c r="W1426" i="9" s="1"/>
  <c r="T1427" i="9"/>
  <c r="W1427" i="9" s="1"/>
  <c r="T1428" i="9"/>
  <c r="W1428" i="9" s="1"/>
  <c r="T1429" i="9"/>
  <c r="W1429" i="9" s="1"/>
  <c r="T1430" i="9"/>
  <c r="W1430" i="9" s="1"/>
  <c r="T1431" i="9"/>
  <c r="W1431" i="9" s="1"/>
  <c r="T1432" i="9"/>
  <c r="W1432" i="9" s="1"/>
  <c r="T1433" i="9"/>
  <c r="W1433" i="9" s="1"/>
  <c r="T1434" i="9"/>
  <c r="W1434" i="9" s="1"/>
  <c r="T1435" i="9"/>
  <c r="W1435" i="9" s="1"/>
  <c r="T1436" i="9"/>
  <c r="W1436" i="9" s="1"/>
  <c r="T1437" i="9"/>
  <c r="W1437" i="9" s="1"/>
  <c r="T1438" i="9"/>
  <c r="W1438" i="9" s="1"/>
  <c r="T1421" i="9"/>
  <c r="W1421" i="9" s="1"/>
  <c r="L1395" i="9"/>
  <c r="N1395" i="9" s="1"/>
  <c r="L1397" i="9"/>
  <c r="N1397" i="9" s="1"/>
  <c r="L1398" i="9"/>
  <c r="N1398" i="9" s="1"/>
  <c r="L1399" i="9"/>
  <c r="N1399" i="9" s="1"/>
  <c r="L1400" i="9"/>
  <c r="N1400" i="9" s="1"/>
  <c r="L1401" i="9"/>
  <c r="N1401" i="9" s="1"/>
  <c r="L1402" i="9"/>
  <c r="N1402" i="9" s="1"/>
  <c r="L1403" i="9"/>
  <c r="N1403" i="9" s="1"/>
  <c r="L1404" i="9"/>
  <c r="N1404" i="9" s="1"/>
  <c r="L1405" i="9"/>
  <c r="N1405" i="9" s="1"/>
  <c r="L1406" i="9"/>
  <c r="N1406" i="9" s="1"/>
  <c r="L1407" i="9"/>
  <c r="N1407" i="9" s="1"/>
  <c r="L1408" i="9"/>
  <c r="N1408" i="9" s="1"/>
  <c r="L1409" i="9"/>
  <c r="N1409" i="9" s="1"/>
  <c r="L1410" i="9"/>
  <c r="N1410" i="9" s="1"/>
  <c r="L1411" i="9"/>
  <c r="N1411" i="9" s="1"/>
  <c r="L1412" i="9"/>
  <c r="N1412" i="9" s="1"/>
  <c r="L1413" i="9"/>
  <c r="N1413" i="9" s="1"/>
  <c r="L1414" i="9"/>
  <c r="N1414" i="9" s="1"/>
  <c r="L1416" i="9"/>
  <c r="N1416" i="9" s="1"/>
  <c r="L1417" i="9"/>
  <c r="N1417" i="9" s="1"/>
  <c r="L1418" i="9"/>
  <c r="N1418" i="9" s="1"/>
  <c r="L1419" i="9"/>
  <c r="N1419" i="9" s="1"/>
  <c r="L1420" i="9"/>
  <c r="N1420" i="9" s="1"/>
  <c r="L1422" i="9"/>
  <c r="N1422" i="9" s="1"/>
  <c r="L1423" i="9"/>
  <c r="N1423" i="9" s="1"/>
  <c r="L1424" i="9"/>
  <c r="N1424" i="9" s="1"/>
  <c r="L1426" i="9"/>
  <c r="N1426" i="9" s="1"/>
  <c r="L1427" i="9"/>
  <c r="N1427" i="9" s="1"/>
  <c r="L1428" i="9"/>
  <c r="N1428" i="9" s="1"/>
  <c r="L1429" i="9"/>
  <c r="N1429" i="9" s="1"/>
  <c r="L1430" i="9"/>
  <c r="N1430" i="9" s="1"/>
  <c r="L1431" i="9"/>
  <c r="N1431" i="9" s="1"/>
  <c r="L1432" i="9"/>
  <c r="N1432" i="9" s="1"/>
  <c r="L1433" i="9"/>
  <c r="N1433" i="9" s="1"/>
  <c r="L1434" i="9"/>
  <c r="N1434" i="9" s="1"/>
  <c r="L1435" i="9"/>
  <c r="N1435" i="9" s="1"/>
  <c r="L1436" i="9"/>
  <c r="N1436" i="9" s="1"/>
  <c r="L1437" i="9"/>
  <c r="N1437" i="9" s="1"/>
  <c r="L1438" i="9"/>
  <c r="N1438" i="9" s="1"/>
  <c r="L1421" i="9"/>
  <c r="N1421" i="9" s="1"/>
  <c r="I308" i="3"/>
  <c r="K308" i="3" s="1"/>
  <c r="AB1425" i="9" l="1"/>
  <c r="AC1425" i="9" s="1"/>
  <c r="AB1332" i="9"/>
  <c r="AC1332" i="9" s="1"/>
  <c r="AB1434" i="9"/>
  <c r="AC1434" i="9" s="1"/>
  <c r="AB1409" i="9"/>
  <c r="AC1409" i="9" s="1"/>
  <c r="AB1403" i="9"/>
  <c r="AC1403" i="9" s="1"/>
  <c r="AB1397" i="9"/>
  <c r="AC1397" i="9" s="1"/>
  <c r="AB1398" i="9"/>
  <c r="AC1398" i="9" s="1"/>
  <c r="AB1395" i="9"/>
  <c r="AC1395" i="9" s="1"/>
  <c r="AB1431" i="9"/>
  <c r="AC1431" i="9" s="1"/>
  <c r="AB1427" i="9"/>
  <c r="AC1427" i="9" s="1"/>
  <c r="AB1412" i="9"/>
  <c r="AC1412" i="9" s="1"/>
  <c r="AB1422" i="9"/>
  <c r="AC1422" i="9" s="1"/>
  <c r="AB1419" i="9"/>
  <c r="AC1419" i="9" s="1"/>
  <c r="AB1417" i="9"/>
  <c r="AC1417" i="9" s="1"/>
  <c r="AB1414" i="9"/>
  <c r="AC1414" i="9" s="1"/>
  <c r="AB1438" i="9"/>
  <c r="AC1438" i="9" s="1"/>
  <c r="AB1436" i="9"/>
  <c r="AC1436" i="9" s="1"/>
  <c r="AB1410" i="9"/>
  <c r="AC1410" i="9" s="1"/>
  <c r="AB1408" i="9"/>
  <c r="AC1408" i="9" s="1"/>
  <c r="AB1404" i="9"/>
  <c r="AC1404" i="9" s="1"/>
  <c r="AB1400" i="9"/>
  <c r="AC1400" i="9" s="1"/>
  <c r="AB1421" i="9"/>
  <c r="AC1421" i="9" s="1"/>
  <c r="AB1435" i="9"/>
  <c r="AC1435" i="9" s="1"/>
  <c r="AB1430" i="9"/>
  <c r="AC1430" i="9" s="1"/>
  <c r="AB1428" i="9"/>
  <c r="AC1428" i="9" s="1"/>
  <c r="AB1426" i="9"/>
  <c r="AC1426" i="9" s="1"/>
  <c r="AB1423" i="9"/>
  <c r="AC1423" i="9" s="1"/>
  <c r="AB1420" i="9"/>
  <c r="AC1420" i="9" s="1"/>
  <c r="AB1418" i="9"/>
  <c r="AC1418" i="9" s="1"/>
  <c r="AB1416" i="9"/>
  <c r="AC1416" i="9" s="1"/>
  <c r="AB1413" i="9"/>
  <c r="AC1413" i="9" s="1"/>
  <c r="AB1433" i="9"/>
  <c r="AC1433" i="9" s="1"/>
  <c r="AB1411" i="9"/>
  <c r="AC1411" i="9" s="1"/>
  <c r="AB1406" i="9"/>
  <c r="AC1406" i="9" s="1"/>
  <c r="AB1401" i="9"/>
  <c r="AC1401" i="9" s="1"/>
  <c r="AB1399" i="9"/>
  <c r="AC1399" i="9" s="1"/>
  <c r="AB1437" i="9"/>
  <c r="AC1437" i="9" s="1"/>
  <c r="AB1432" i="9"/>
  <c r="AC1432" i="9" s="1"/>
  <c r="AB1429" i="9"/>
  <c r="AC1429" i="9" s="1"/>
  <c r="AB1424" i="9"/>
  <c r="AC1424" i="9" s="1"/>
  <c r="AB1407" i="9"/>
  <c r="AC1407" i="9" s="1"/>
  <c r="AB1405" i="9"/>
  <c r="AC1405" i="9" s="1"/>
  <c r="AB1402" i="9"/>
  <c r="AC1402" i="9" s="1"/>
  <c r="AA1203" i="9"/>
  <c r="Z1203" i="9"/>
  <c r="T1203" i="9"/>
  <c r="W1203" i="9" s="1"/>
  <c r="L1203" i="9"/>
  <c r="N1203" i="9" s="1"/>
  <c r="T1386" i="9"/>
  <c r="W1386" i="9" s="1"/>
  <c r="Z4" i="9"/>
  <c r="AA4" i="9"/>
  <c r="Z5" i="9"/>
  <c r="AA5" i="9"/>
  <c r="Z6" i="9"/>
  <c r="AA6" i="9"/>
  <c r="Z7" i="9"/>
  <c r="AA7" i="9"/>
  <c r="Z8" i="9"/>
  <c r="AA8" i="9"/>
  <c r="Z9" i="9"/>
  <c r="AA9" i="9"/>
  <c r="Z10" i="9"/>
  <c r="AA10" i="9"/>
  <c r="Z11" i="9"/>
  <c r="AA11" i="9"/>
  <c r="Z12" i="9"/>
  <c r="AA12" i="9"/>
  <c r="Z13" i="9"/>
  <c r="AA13" i="9"/>
  <c r="Z14" i="9"/>
  <c r="AA14" i="9"/>
  <c r="Z15" i="9"/>
  <c r="AA15" i="9"/>
  <c r="Z16" i="9"/>
  <c r="AA16" i="9"/>
  <c r="Z17" i="9"/>
  <c r="AA17" i="9"/>
  <c r="Z18" i="9"/>
  <c r="AA18" i="9"/>
  <c r="Z19" i="9"/>
  <c r="AA19" i="9"/>
  <c r="Z20" i="9"/>
  <c r="AA20" i="9"/>
  <c r="Z21" i="9"/>
  <c r="AA21" i="9"/>
  <c r="Z22" i="9"/>
  <c r="AA22" i="9"/>
  <c r="Z23" i="9"/>
  <c r="AA23" i="9"/>
  <c r="Z24" i="9"/>
  <c r="AA24" i="9"/>
  <c r="Z25" i="9"/>
  <c r="AA25" i="9"/>
  <c r="Z26" i="9"/>
  <c r="AA26" i="9"/>
  <c r="Z27" i="9"/>
  <c r="AA27" i="9"/>
  <c r="Z28" i="9"/>
  <c r="AA28" i="9"/>
  <c r="Z29" i="9"/>
  <c r="AA29" i="9"/>
  <c r="Z30" i="9"/>
  <c r="AA30" i="9"/>
  <c r="Z31" i="9"/>
  <c r="AA31" i="9"/>
  <c r="Z32" i="9"/>
  <c r="AA32" i="9"/>
  <c r="Z33" i="9"/>
  <c r="AA33" i="9"/>
  <c r="Z34" i="9"/>
  <c r="AA34" i="9"/>
  <c r="Z35" i="9"/>
  <c r="AA35" i="9"/>
  <c r="Z36" i="9"/>
  <c r="AA36" i="9"/>
  <c r="Z37" i="9"/>
  <c r="AA37" i="9"/>
  <c r="Z38" i="9"/>
  <c r="AA38" i="9"/>
  <c r="Z39" i="9"/>
  <c r="AA39" i="9"/>
  <c r="Z40" i="9"/>
  <c r="AA40" i="9"/>
  <c r="Z41" i="9"/>
  <c r="AA41" i="9"/>
  <c r="Z42" i="9"/>
  <c r="AA42" i="9"/>
  <c r="Z43" i="9"/>
  <c r="AA43" i="9"/>
  <c r="Z44" i="9"/>
  <c r="AA44" i="9"/>
  <c r="Z45" i="9"/>
  <c r="AA45" i="9"/>
  <c r="Z46" i="9"/>
  <c r="AA46" i="9"/>
  <c r="Z47" i="9"/>
  <c r="AA47" i="9"/>
  <c r="Z48" i="9"/>
  <c r="AA48" i="9"/>
  <c r="Z49" i="9"/>
  <c r="AA49" i="9"/>
  <c r="Z50" i="9"/>
  <c r="AA50" i="9"/>
  <c r="Z51" i="9"/>
  <c r="AA51" i="9"/>
  <c r="Z52" i="9"/>
  <c r="AA52" i="9"/>
  <c r="Z53" i="9"/>
  <c r="AA53" i="9"/>
  <c r="Z54" i="9"/>
  <c r="AA54" i="9"/>
  <c r="Z55" i="9"/>
  <c r="AA55" i="9"/>
  <c r="Z56" i="9"/>
  <c r="AA56" i="9"/>
  <c r="Z57" i="9"/>
  <c r="AA57" i="9"/>
  <c r="Z58" i="9"/>
  <c r="AA58" i="9"/>
  <c r="Z59" i="9"/>
  <c r="AA59" i="9"/>
  <c r="Z60" i="9"/>
  <c r="AA60" i="9"/>
  <c r="Z61" i="9"/>
  <c r="AA61" i="9"/>
  <c r="Z62" i="9"/>
  <c r="AA62" i="9"/>
  <c r="Z63" i="9"/>
  <c r="AA63" i="9"/>
  <c r="Z64" i="9"/>
  <c r="AA64" i="9"/>
  <c r="Z65" i="9"/>
  <c r="AA65" i="9"/>
  <c r="Z66" i="9"/>
  <c r="AA66" i="9"/>
  <c r="Z67" i="9"/>
  <c r="AA67" i="9"/>
  <c r="Z68" i="9"/>
  <c r="AA68" i="9"/>
  <c r="Z69" i="9"/>
  <c r="AA69" i="9"/>
  <c r="Z70" i="9"/>
  <c r="AA70" i="9"/>
  <c r="Z71" i="9"/>
  <c r="AA71" i="9"/>
  <c r="Z72" i="9"/>
  <c r="AA72" i="9"/>
  <c r="Z73" i="9"/>
  <c r="AA73" i="9"/>
  <c r="Z74" i="9"/>
  <c r="AA74" i="9"/>
  <c r="Z75" i="9"/>
  <c r="AA75" i="9"/>
  <c r="Z76" i="9"/>
  <c r="AA76" i="9"/>
  <c r="Z77" i="9"/>
  <c r="AA77" i="9"/>
  <c r="Z78" i="9"/>
  <c r="AA78" i="9"/>
  <c r="Z79" i="9"/>
  <c r="AA79" i="9"/>
  <c r="Z80" i="9"/>
  <c r="AA80" i="9"/>
  <c r="Z81" i="9"/>
  <c r="AA81" i="9"/>
  <c r="Z82" i="9"/>
  <c r="AA82" i="9"/>
  <c r="Z83" i="9"/>
  <c r="AA83" i="9"/>
  <c r="Z84" i="9"/>
  <c r="AA84" i="9"/>
  <c r="Z85" i="9"/>
  <c r="AA85" i="9"/>
  <c r="Z86" i="9"/>
  <c r="AA86" i="9"/>
  <c r="Z87" i="9"/>
  <c r="AA87" i="9"/>
  <c r="Z88" i="9"/>
  <c r="AA88" i="9"/>
  <c r="Z89" i="9"/>
  <c r="AA89" i="9"/>
  <c r="Z90" i="9"/>
  <c r="AA90" i="9"/>
  <c r="Z91" i="9"/>
  <c r="AA91" i="9"/>
  <c r="Z92" i="9"/>
  <c r="AA92" i="9"/>
  <c r="Z93" i="9"/>
  <c r="AA93" i="9"/>
  <c r="Z94" i="9"/>
  <c r="AA94" i="9"/>
  <c r="Z95" i="9"/>
  <c r="AA95" i="9"/>
  <c r="Z96" i="9"/>
  <c r="AA96" i="9"/>
  <c r="Z97" i="9"/>
  <c r="AA97" i="9"/>
  <c r="Z98" i="9"/>
  <c r="AA98" i="9"/>
  <c r="Z99" i="9"/>
  <c r="AA99" i="9"/>
  <c r="Z100" i="9"/>
  <c r="AA100" i="9"/>
  <c r="Z101" i="9"/>
  <c r="AA101" i="9"/>
  <c r="Z102" i="9"/>
  <c r="AA102" i="9"/>
  <c r="Z103" i="9"/>
  <c r="AA103" i="9"/>
  <c r="Z104" i="9"/>
  <c r="AA104" i="9"/>
  <c r="Z105" i="9"/>
  <c r="AA105" i="9"/>
  <c r="Z106" i="9"/>
  <c r="AA106" i="9"/>
  <c r="Z107" i="9"/>
  <c r="AA107" i="9"/>
  <c r="Z108" i="9"/>
  <c r="AA108" i="9"/>
  <c r="Z109" i="9"/>
  <c r="AA109" i="9"/>
  <c r="Z110" i="9"/>
  <c r="AA110" i="9"/>
  <c r="Z111" i="9"/>
  <c r="AA111" i="9"/>
  <c r="Z112" i="9"/>
  <c r="AA112" i="9"/>
  <c r="Z113" i="9"/>
  <c r="AA113" i="9"/>
  <c r="Z114" i="9"/>
  <c r="AA114" i="9"/>
  <c r="Z115" i="9"/>
  <c r="AA115" i="9"/>
  <c r="Z116" i="9"/>
  <c r="AA116" i="9"/>
  <c r="Z117" i="9"/>
  <c r="AA117" i="9"/>
  <c r="Z118" i="9"/>
  <c r="AA118" i="9"/>
  <c r="Z119" i="9"/>
  <c r="AA119" i="9"/>
  <c r="Z120" i="9"/>
  <c r="AA120" i="9"/>
  <c r="Z121" i="9"/>
  <c r="AA121" i="9"/>
  <c r="Z122" i="9"/>
  <c r="AA122" i="9"/>
  <c r="Z123" i="9"/>
  <c r="AA123" i="9"/>
  <c r="Z124" i="9"/>
  <c r="AA124" i="9"/>
  <c r="Z125" i="9"/>
  <c r="AA125" i="9"/>
  <c r="Z126" i="9"/>
  <c r="AA126" i="9"/>
  <c r="Z127" i="9"/>
  <c r="AA127" i="9"/>
  <c r="Z128" i="9"/>
  <c r="AA128" i="9"/>
  <c r="Z129" i="9"/>
  <c r="AA129" i="9"/>
  <c r="Z130" i="9"/>
  <c r="AA130" i="9"/>
  <c r="Z131" i="9"/>
  <c r="AA131" i="9"/>
  <c r="Z132" i="9"/>
  <c r="AA132" i="9"/>
  <c r="Z133" i="9"/>
  <c r="AA133" i="9"/>
  <c r="Z134" i="9"/>
  <c r="AA134" i="9"/>
  <c r="Z135" i="9"/>
  <c r="AA135" i="9"/>
  <c r="Z136" i="9"/>
  <c r="AA136" i="9"/>
  <c r="Z137" i="9"/>
  <c r="AA137" i="9"/>
  <c r="Z138" i="9"/>
  <c r="AA138" i="9"/>
  <c r="Z139" i="9"/>
  <c r="AA139" i="9"/>
  <c r="Z140" i="9"/>
  <c r="AA140" i="9"/>
  <c r="Z141" i="9"/>
  <c r="AA141" i="9"/>
  <c r="Z142" i="9"/>
  <c r="AA142" i="9"/>
  <c r="Z144" i="9"/>
  <c r="AA144" i="9"/>
  <c r="Z145" i="9"/>
  <c r="AA145" i="9"/>
  <c r="Z146" i="9"/>
  <c r="AA146" i="9"/>
  <c r="Z148" i="9"/>
  <c r="AA148" i="9"/>
  <c r="Z149" i="9"/>
  <c r="AA149" i="9"/>
  <c r="Z150" i="9"/>
  <c r="AA150" i="9"/>
  <c r="Z151" i="9"/>
  <c r="AA151" i="9"/>
  <c r="Z152" i="9"/>
  <c r="AA152" i="9"/>
  <c r="Z153" i="9"/>
  <c r="AA153" i="9"/>
  <c r="Z154" i="9"/>
  <c r="AA154" i="9"/>
  <c r="Z155" i="9"/>
  <c r="AA155" i="9"/>
  <c r="Z156" i="9"/>
  <c r="AA156" i="9"/>
  <c r="Z157" i="9"/>
  <c r="AA157" i="9"/>
  <c r="Z158" i="9"/>
  <c r="AA158" i="9"/>
  <c r="Z159" i="9"/>
  <c r="AA159" i="9"/>
  <c r="Z160" i="9"/>
  <c r="AA160" i="9"/>
  <c r="Z161" i="9"/>
  <c r="AA161" i="9"/>
  <c r="Z162" i="9"/>
  <c r="AA162" i="9"/>
  <c r="Z163" i="9"/>
  <c r="AA163" i="9"/>
  <c r="Z164" i="9"/>
  <c r="AA164" i="9"/>
  <c r="Z165" i="9"/>
  <c r="AA165" i="9"/>
  <c r="Z166" i="9"/>
  <c r="AA166" i="9"/>
  <c r="Z167" i="9"/>
  <c r="AA167" i="9"/>
  <c r="Z168" i="9"/>
  <c r="AA168" i="9"/>
  <c r="Z169" i="9"/>
  <c r="AA169" i="9"/>
  <c r="Z170" i="9"/>
  <c r="AA170" i="9"/>
  <c r="Z171" i="9"/>
  <c r="AA171" i="9"/>
  <c r="Z172" i="9"/>
  <c r="AA172" i="9"/>
  <c r="Z173" i="9"/>
  <c r="AA173" i="9"/>
  <c r="Z174" i="9"/>
  <c r="AA174" i="9"/>
  <c r="Z175" i="9"/>
  <c r="AA175" i="9"/>
  <c r="Z176" i="9"/>
  <c r="AA176" i="9"/>
  <c r="Z177" i="9"/>
  <c r="AA177" i="9"/>
  <c r="Z178" i="9"/>
  <c r="AA178" i="9"/>
  <c r="Z179" i="9"/>
  <c r="AA179" i="9"/>
  <c r="Z180" i="9"/>
  <c r="AA180" i="9"/>
  <c r="Z181" i="9"/>
  <c r="AA181" i="9"/>
  <c r="Z182" i="9"/>
  <c r="AA182" i="9"/>
  <c r="Z183" i="9"/>
  <c r="AA183" i="9"/>
  <c r="Z184" i="9"/>
  <c r="AA184" i="9"/>
  <c r="Z185" i="9"/>
  <c r="AA185" i="9"/>
  <c r="Z186" i="9"/>
  <c r="AA186" i="9"/>
  <c r="Z187" i="9"/>
  <c r="AA187" i="9"/>
  <c r="Z188" i="9"/>
  <c r="AA188" i="9"/>
  <c r="Z189" i="9"/>
  <c r="AA189" i="9"/>
  <c r="Z190" i="9"/>
  <c r="AA190" i="9"/>
  <c r="Z191" i="9"/>
  <c r="AA191" i="9"/>
  <c r="Z192" i="9"/>
  <c r="AA192" i="9"/>
  <c r="Z193" i="9"/>
  <c r="AA193" i="9"/>
  <c r="Z194" i="9"/>
  <c r="AA194" i="9"/>
  <c r="Z195" i="9"/>
  <c r="AA195" i="9"/>
  <c r="Z196" i="9"/>
  <c r="AA196" i="9"/>
  <c r="Z197" i="9"/>
  <c r="AA197" i="9"/>
  <c r="Z198" i="9"/>
  <c r="AA198" i="9"/>
  <c r="Z199" i="9"/>
  <c r="AA199" i="9"/>
  <c r="Z200" i="9"/>
  <c r="AA200" i="9"/>
  <c r="Z201" i="9"/>
  <c r="AA201" i="9"/>
  <c r="Z202" i="9"/>
  <c r="AA202" i="9"/>
  <c r="Z203" i="9"/>
  <c r="AA203" i="9"/>
  <c r="Z204" i="9"/>
  <c r="AA204" i="9"/>
  <c r="Z205" i="9"/>
  <c r="AA205" i="9"/>
  <c r="Z206" i="9"/>
  <c r="AA206" i="9"/>
  <c r="Z207" i="9"/>
  <c r="AA207" i="9"/>
  <c r="Z208" i="9"/>
  <c r="AA208" i="9"/>
  <c r="Z209" i="9"/>
  <c r="AA209" i="9"/>
  <c r="Z210" i="9"/>
  <c r="AA210" i="9"/>
  <c r="Z211" i="9"/>
  <c r="AA211" i="9"/>
  <c r="Z212" i="9"/>
  <c r="AA212" i="9"/>
  <c r="Z213" i="9"/>
  <c r="AA213" i="9"/>
  <c r="Z214" i="9"/>
  <c r="AA214" i="9"/>
  <c r="Z215" i="9"/>
  <c r="AA215" i="9"/>
  <c r="Z216" i="9"/>
  <c r="AA216" i="9"/>
  <c r="Z217" i="9"/>
  <c r="AA217" i="9"/>
  <c r="Z218" i="9"/>
  <c r="AA218" i="9"/>
  <c r="Z219" i="9"/>
  <c r="AA219" i="9"/>
  <c r="Z220" i="9"/>
  <c r="AA220" i="9"/>
  <c r="Z221" i="9"/>
  <c r="AA221" i="9"/>
  <c r="Z222" i="9"/>
  <c r="AA222" i="9"/>
  <c r="Z223" i="9"/>
  <c r="AA223" i="9"/>
  <c r="Z224" i="9"/>
  <c r="AA224" i="9"/>
  <c r="Z225" i="9"/>
  <c r="AA225" i="9"/>
  <c r="Z226" i="9"/>
  <c r="AA226" i="9"/>
  <c r="Z227" i="9"/>
  <c r="AA227" i="9"/>
  <c r="Z228" i="9"/>
  <c r="AA228" i="9"/>
  <c r="Z229" i="9"/>
  <c r="AA229" i="9"/>
  <c r="Z230" i="9"/>
  <c r="AA230" i="9"/>
  <c r="Z231" i="9"/>
  <c r="AA231" i="9"/>
  <c r="Z232" i="9"/>
  <c r="AA232" i="9"/>
  <c r="Z233" i="9"/>
  <c r="AA233" i="9"/>
  <c r="Z234" i="9"/>
  <c r="AA234" i="9"/>
  <c r="Z235" i="9"/>
  <c r="AA235" i="9"/>
  <c r="Z236" i="9"/>
  <c r="AA236" i="9"/>
  <c r="Z237" i="9"/>
  <c r="AA237" i="9"/>
  <c r="Z238" i="9"/>
  <c r="AA238" i="9"/>
  <c r="Z239" i="9"/>
  <c r="AA239" i="9"/>
  <c r="Z240" i="9"/>
  <c r="AA240" i="9"/>
  <c r="Z241" i="9"/>
  <c r="AA241" i="9"/>
  <c r="Z242" i="9"/>
  <c r="AA242" i="9"/>
  <c r="Z243" i="9"/>
  <c r="AA243" i="9"/>
  <c r="Z244" i="9"/>
  <c r="AA244" i="9"/>
  <c r="Z245" i="9"/>
  <c r="AA245" i="9"/>
  <c r="Z247" i="9"/>
  <c r="AA247" i="9"/>
  <c r="Z248" i="9"/>
  <c r="AA248" i="9"/>
  <c r="Z249" i="9"/>
  <c r="AA249" i="9"/>
  <c r="Z250" i="9"/>
  <c r="AA250" i="9"/>
  <c r="Z251" i="9"/>
  <c r="AA251" i="9"/>
  <c r="Z252" i="9"/>
  <c r="AA252" i="9"/>
  <c r="Z253" i="9"/>
  <c r="AA253" i="9"/>
  <c r="Z254" i="9"/>
  <c r="AA254" i="9"/>
  <c r="Z255" i="9"/>
  <c r="AA255" i="9"/>
  <c r="Z256" i="9"/>
  <c r="AA256" i="9"/>
  <c r="Z257" i="9"/>
  <c r="AA257" i="9"/>
  <c r="Z258" i="9"/>
  <c r="AA258" i="9"/>
  <c r="Z259" i="9"/>
  <c r="AA259" i="9"/>
  <c r="Z260" i="9"/>
  <c r="AA260" i="9"/>
  <c r="Z261" i="9"/>
  <c r="AA261" i="9"/>
  <c r="Z262" i="9"/>
  <c r="AA262" i="9"/>
  <c r="Z263" i="9"/>
  <c r="AA263" i="9"/>
  <c r="Z264" i="9"/>
  <c r="AA264" i="9"/>
  <c r="Z265" i="9"/>
  <c r="AA265" i="9"/>
  <c r="Z266" i="9"/>
  <c r="AA266" i="9"/>
  <c r="Z267" i="9"/>
  <c r="AA267" i="9"/>
  <c r="Z268" i="9"/>
  <c r="AA268" i="9"/>
  <c r="Z269" i="9"/>
  <c r="AA269" i="9"/>
  <c r="Z270" i="9"/>
  <c r="AA270" i="9"/>
  <c r="Z271" i="9"/>
  <c r="AA271" i="9"/>
  <c r="Z272" i="9"/>
  <c r="AA272" i="9"/>
  <c r="Z273" i="9"/>
  <c r="AA273" i="9"/>
  <c r="Z274" i="9"/>
  <c r="AA274" i="9"/>
  <c r="Z275" i="9"/>
  <c r="AA275" i="9"/>
  <c r="Z276" i="9"/>
  <c r="AA276" i="9"/>
  <c r="Z277" i="9"/>
  <c r="AA277" i="9"/>
  <c r="Z278" i="9"/>
  <c r="AA278" i="9"/>
  <c r="Z279" i="9"/>
  <c r="AA279" i="9"/>
  <c r="Z280" i="9"/>
  <c r="AA280" i="9"/>
  <c r="Z281" i="9"/>
  <c r="AA281" i="9"/>
  <c r="Z282" i="9"/>
  <c r="AA282" i="9"/>
  <c r="Z283" i="9"/>
  <c r="AA283" i="9"/>
  <c r="Z284" i="9"/>
  <c r="AA284" i="9"/>
  <c r="Z285" i="9"/>
  <c r="AA285" i="9"/>
  <c r="Z286" i="9"/>
  <c r="AA286" i="9"/>
  <c r="Z287" i="9"/>
  <c r="AA287" i="9"/>
  <c r="Z288" i="9"/>
  <c r="AA288" i="9"/>
  <c r="Z289" i="9"/>
  <c r="AA289" i="9"/>
  <c r="Z290" i="9"/>
  <c r="AA290" i="9"/>
  <c r="Z291" i="9"/>
  <c r="AA291" i="9"/>
  <c r="Z292" i="9"/>
  <c r="AA292" i="9"/>
  <c r="Z293" i="9"/>
  <c r="AA293" i="9"/>
  <c r="Z294" i="9"/>
  <c r="AA294" i="9"/>
  <c r="Z295" i="9"/>
  <c r="AA295" i="9"/>
  <c r="Z296" i="9"/>
  <c r="AA296" i="9"/>
  <c r="Z297" i="9"/>
  <c r="AA297" i="9"/>
  <c r="Z298" i="9"/>
  <c r="AA298" i="9"/>
  <c r="Z299" i="9"/>
  <c r="AA299" i="9"/>
  <c r="Z300" i="9"/>
  <c r="AA300" i="9"/>
  <c r="Z301" i="9"/>
  <c r="AA301" i="9"/>
  <c r="Z302" i="9"/>
  <c r="AA302" i="9"/>
  <c r="Z303" i="9"/>
  <c r="AA303" i="9"/>
  <c r="Z304" i="9"/>
  <c r="AA304" i="9"/>
  <c r="Z305" i="9"/>
  <c r="AA305" i="9"/>
  <c r="Z306" i="9"/>
  <c r="AA306" i="9"/>
  <c r="Z307" i="9"/>
  <c r="AA307" i="9"/>
  <c r="Z308" i="9"/>
  <c r="AA308" i="9"/>
  <c r="Z309" i="9"/>
  <c r="AA309" i="9"/>
  <c r="Z310" i="9"/>
  <c r="AA310" i="9"/>
  <c r="Z311" i="9"/>
  <c r="AA311" i="9"/>
  <c r="Z312" i="9"/>
  <c r="AA312" i="9"/>
  <c r="Z313" i="9"/>
  <c r="AA313" i="9"/>
  <c r="Z314" i="9"/>
  <c r="AA314" i="9"/>
  <c r="Z315" i="9"/>
  <c r="AA315" i="9"/>
  <c r="Z316" i="9"/>
  <c r="AA316" i="9"/>
  <c r="Z317" i="9"/>
  <c r="AA317" i="9"/>
  <c r="Z318" i="9"/>
  <c r="AA318" i="9"/>
  <c r="Z319" i="9"/>
  <c r="AA319" i="9"/>
  <c r="Z320" i="9"/>
  <c r="AA320" i="9"/>
  <c r="Z321" i="9"/>
  <c r="AA321" i="9"/>
  <c r="Z322" i="9"/>
  <c r="AA322" i="9"/>
  <c r="Z323" i="9"/>
  <c r="AA323" i="9"/>
  <c r="Z324" i="9"/>
  <c r="AA324" i="9"/>
  <c r="Z325" i="9"/>
  <c r="AA325" i="9"/>
  <c r="Z326" i="9"/>
  <c r="AA326" i="9"/>
  <c r="Z327" i="9"/>
  <c r="AA327" i="9"/>
  <c r="Z328" i="9"/>
  <c r="AA328" i="9"/>
  <c r="Z329" i="9"/>
  <c r="AA329" i="9"/>
  <c r="Z330" i="9"/>
  <c r="AA330" i="9"/>
  <c r="Z331" i="9"/>
  <c r="AA331" i="9"/>
  <c r="Z332" i="9"/>
  <c r="AA332" i="9"/>
  <c r="Z333" i="9"/>
  <c r="AA333" i="9"/>
  <c r="Z334" i="9"/>
  <c r="AA334" i="9"/>
  <c r="Z335" i="9"/>
  <c r="AA335" i="9"/>
  <c r="Z336" i="9"/>
  <c r="AA336" i="9"/>
  <c r="Z337" i="9"/>
  <c r="AA337" i="9"/>
  <c r="Z338" i="9"/>
  <c r="AA338" i="9"/>
  <c r="Z339" i="9"/>
  <c r="AA339" i="9"/>
  <c r="Z340" i="9"/>
  <c r="AA340" i="9"/>
  <c r="Z341" i="9"/>
  <c r="AA341" i="9"/>
  <c r="Z342" i="9"/>
  <c r="AA342" i="9"/>
  <c r="Z343" i="9"/>
  <c r="AA343" i="9"/>
  <c r="Z344" i="9"/>
  <c r="AA344" i="9"/>
  <c r="Z345" i="9"/>
  <c r="AA345" i="9"/>
  <c r="Z346" i="9"/>
  <c r="AA346" i="9"/>
  <c r="Z347" i="9"/>
  <c r="AA347" i="9"/>
  <c r="Z348" i="9"/>
  <c r="AA348" i="9"/>
  <c r="Z349" i="9"/>
  <c r="AA349" i="9"/>
  <c r="Z350" i="9"/>
  <c r="AA350" i="9"/>
  <c r="Z351" i="9"/>
  <c r="AA351" i="9"/>
  <c r="Z352" i="9"/>
  <c r="AA352" i="9"/>
  <c r="Z353" i="9"/>
  <c r="AA353" i="9"/>
  <c r="Z354" i="9"/>
  <c r="AA354" i="9"/>
  <c r="Z355" i="9"/>
  <c r="AA355" i="9"/>
  <c r="Z356" i="9"/>
  <c r="AA356" i="9"/>
  <c r="Z357" i="9"/>
  <c r="AA357" i="9"/>
  <c r="Z358" i="9"/>
  <c r="AA358" i="9"/>
  <c r="Z359" i="9"/>
  <c r="AA359" i="9"/>
  <c r="Z360" i="9"/>
  <c r="AA360" i="9"/>
  <c r="Z361" i="9"/>
  <c r="AA361" i="9"/>
  <c r="Z362" i="9"/>
  <c r="AA362" i="9"/>
  <c r="Z363" i="9"/>
  <c r="AA363" i="9"/>
  <c r="Z364" i="9"/>
  <c r="AA364" i="9"/>
  <c r="Z365" i="9"/>
  <c r="AA365" i="9"/>
  <c r="Z366" i="9"/>
  <c r="AA366" i="9"/>
  <c r="Z367" i="9"/>
  <c r="AA367" i="9"/>
  <c r="Z368" i="9"/>
  <c r="AA368" i="9"/>
  <c r="Z369" i="9"/>
  <c r="AA369" i="9"/>
  <c r="Z370" i="9"/>
  <c r="AA370" i="9"/>
  <c r="Z371" i="9"/>
  <c r="AA371" i="9"/>
  <c r="Z372" i="9"/>
  <c r="AA372" i="9"/>
  <c r="Z373" i="9"/>
  <c r="AA373" i="9"/>
  <c r="Z374" i="9"/>
  <c r="AA374" i="9"/>
  <c r="Z375" i="9"/>
  <c r="AA375" i="9"/>
  <c r="Z376" i="9"/>
  <c r="AA376" i="9"/>
  <c r="Z377" i="9"/>
  <c r="AA377" i="9"/>
  <c r="Z378" i="9"/>
  <c r="AA378" i="9"/>
  <c r="Z379" i="9"/>
  <c r="AA379" i="9"/>
  <c r="Z380" i="9"/>
  <c r="AA380" i="9"/>
  <c r="Z381" i="9"/>
  <c r="AA381" i="9"/>
  <c r="Z382" i="9"/>
  <c r="AA382" i="9"/>
  <c r="Z383" i="9"/>
  <c r="AA383" i="9"/>
  <c r="Z384" i="9"/>
  <c r="AA384" i="9"/>
  <c r="Z385" i="9"/>
  <c r="AA385" i="9"/>
  <c r="Z386" i="9"/>
  <c r="AA386" i="9"/>
  <c r="Z387" i="9"/>
  <c r="AA387" i="9"/>
  <c r="Z388" i="9"/>
  <c r="AA388" i="9"/>
  <c r="Z389" i="9"/>
  <c r="AA389" i="9"/>
  <c r="Z390" i="9"/>
  <c r="AA390" i="9"/>
  <c r="Z391" i="9"/>
  <c r="AA391" i="9"/>
  <c r="Z392" i="9"/>
  <c r="AA392" i="9"/>
  <c r="Z393" i="9"/>
  <c r="AA393" i="9"/>
  <c r="Z394" i="9"/>
  <c r="AA394" i="9"/>
  <c r="Z395" i="9"/>
  <c r="AA395" i="9"/>
  <c r="Z396" i="9"/>
  <c r="AA396" i="9"/>
  <c r="Z397" i="9"/>
  <c r="AA397" i="9"/>
  <c r="Z398" i="9"/>
  <c r="AA398" i="9"/>
  <c r="Z399" i="9"/>
  <c r="AA399" i="9"/>
  <c r="Z400" i="9"/>
  <c r="AA400" i="9"/>
  <c r="Z401" i="9"/>
  <c r="AA401" i="9"/>
  <c r="Z402" i="9"/>
  <c r="AA402" i="9"/>
  <c r="Z403" i="9"/>
  <c r="AA403" i="9"/>
  <c r="Z404" i="9"/>
  <c r="AA404" i="9"/>
  <c r="Z405" i="9"/>
  <c r="AA405" i="9"/>
  <c r="Z406" i="9"/>
  <c r="AA406" i="9"/>
  <c r="Z407" i="9"/>
  <c r="AA407" i="9"/>
  <c r="Z408" i="9"/>
  <c r="AA408" i="9"/>
  <c r="Z409" i="9"/>
  <c r="AA409" i="9"/>
  <c r="Z410" i="9"/>
  <c r="AA410" i="9"/>
  <c r="Z411" i="9"/>
  <c r="AA411" i="9"/>
  <c r="Z412" i="9"/>
  <c r="AA412" i="9"/>
  <c r="Z413" i="9"/>
  <c r="AA413" i="9"/>
  <c r="Z414" i="9"/>
  <c r="AA414" i="9"/>
  <c r="Z415" i="9"/>
  <c r="AA415" i="9"/>
  <c r="Z416" i="9"/>
  <c r="AA416" i="9"/>
  <c r="Z417" i="9"/>
  <c r="AA417" i="9"/>
  <c r="Z418" i="9"/>
  <c r="AA418" i="9"/>
  <c r="Z419" i="9"/>
  <c r="AA419" i="9"/>
  <c r="Z420" i="9"/>
  <c r="AA420" i="9"/>
  <c r="Z421" i="9"/>
  <c r="AA421" i="9"/>
  <c r="Z422" i="9"/>
  <c r="AA422" i="9"/>
  <c r="Z423" i="9"/>
  <c r="AA423" i="9"/>
  <c r="Z424" i="9"/>
  <c r="AA424" i="9"/>
  <c r="Z425" i="9"/>
  <c r="AA425" i="9"/>
  <c r="Z426" i="9"/>
  <c r="AA426" i="9"/>
  <c r="Z427" i="9"/>
  <c r="AA427" i="9"/>
  <c r="Z428" i="9"/>
  <c r="AA428" i="9"/>
  <c r="Z429" i="9"/>
  <c r="AA429" i="9"/>
  <c r="Z430" i="9"/>
  <c r="AA430" i="9"/>
  <c r="Z431" i="9"/>
  <c r="AA431" i="9"/>
  <c r="Z432" i="9"/>
  <c r="AA432" i="9"/>
  <c r="Z433" i="9"/>
  <c r="AA433" i="9"/>
  <c r="Z434" i="9"/>
  <c r="AA434" i="9"/>
  <c r="Z435" i="9"/>
  <c r="AA435" i="9"/>
  <c r="Z436" i="9"/>
  <c r="AA436" i="9"/>
  <c r="Z437" i="9"/>
  <c r="AA437" i="9"/>
  <c r="Z438" i="9"/>
  <c r="AA438" i="9"/>
  <c r="Z439" i="9"/>
  <c r="AA439" i="9"/>
  <c r="Z440" i="9"/>
  <c r="AA440" i="9"/>
  <c r="Z441" i="9"/>
  <c r="AA441" i="9"/>
  <c r="Z442" i="9"/>
  <c r="AA442" i="9"/>
  <c r="Z443" i="9"/>
  <c r="AA443" i="9"/>
  <c r="Z444" i="9"/>
  <c r="AA444" i="9"/>
  <c r="Z445" i="9"/>
  <c r="AA445" i="9"/>
  <c r="Z446" i="9"/>
  <c r="AA446" i="9"/>
  <c r="Z447" i="9"/>
  <c r="AA447" i="9"/>
  <c r="Z448" i="9"/>
  <c r="AA448" i="9"/>
  <c r="Z449" i="9"/>
  <c r="AA449" i="9"/>
  <c r="Z450" i="9"/>
  <c r="AA450" i="9"/>
  <c r="Z451" i="9"/>
  <c r="AA451" i="9"/>
  <c r="Z452" i="9"/>
  <c r="AA452" i="9"/>
  <c r="Z453" i="9"/>
  <c r="AA453" i="9"/>
  <c r="Z454" i="9"/>
  <c r="AA454" i="9"/>
  <c r="Z455" i="9"/>
  <c r="AA455" i="9"/>
  <c r="Z456" i="9"/>
  <c r="AA456" i="9"/>
  <c r="Z457" i="9"/>
  <c r="AA457" i="9"/>
  <c r="Z458" i="9"/>
  <c r="AA458" i="9"/>
  <c r="Z459" i="9"/>
  <c r="AA459" i="9"/>
  <c r="Z460" i="9"/>
  <c r="AA460" i="9"/>
  <c r="Z461" i="9"/>
  <c r="AA461" i="9"/>
  <c r="Z462" i="9"/>
  <c r="AA462" i="9"/>
  <c r="Z463" i="9"/>
  <c r="AA463" i="9"/>
  <c r="Z464" i="9"/>
  <c r="AA464" i="9"/>
  <c r="Z465" i="9"/>
  <c r="AA465" i="9"/>
  <c r="Z466" i="9"/>
  <c r="AA466" i="9"/>
  <c r="Z467" i="9"/>
  <c r="AA467" i="9"/>
  <c r="Z468" i="9"/>
  <c r="AA468" i="9"/>
  <c r="Z469" i="9"/>
  <c r="AA469" i="9"/>
  <c r="Z470" i="9"/>
  <c r="AA470" i="9"/>
  <c r="Z471" i="9"/>
  <c r="AA471" i="9"/>
  <c r="Z472" i="9"/>
  <c r="AA472" i="9"/>
  <c r="Z473" i="9"/>
  <c r="AA473" i="9"/>
  <c r="Z474" i="9"/>
  <c r="AA474" i="9"/>
  <c r="Z475" i="9"/>
  <c r="AA475" i="9"/>
  <c r="Z476" i="9"/>
  <c r="AA476" i="9"/>
  <c r="Z477" i="9"/>
  <c r="AA477" i="9"/>
  <c r="Z478" i="9"/>
  <c r="AA478" i="9"/>
  <c r="Z479" i="9"/>
  <c r="AA479" i="9"/>
  <c r="Z480" i="9"/>
  <c r="AA480" i="9"/>
  <c r="Z481" i="9"/>
  <c r="AA481" i="9"/>
  <c r="Z482" i="9"/>
  <c r="AA482" i="9"/>
  <c r="Z483" i="9"/>
  <c r="AA483" i="9"/>
  <c r="Z484" i="9"/>
  <c r="AA484" i="9"/>
  <c r="Z485" i="9"/>
  <c r="AA485" i="9"/>
  <c r="Z486" i="9"/>
  <c r="AA486" i="9"/>
  <c r="Z487" i="9"/>
  <c r="AA487" i="9"/>
  <c r="Z488" i="9"/>
  <c r="AA488" i="9"/>
  <c r="Z489" i="9"/>
  <c r="AA489" i="9"/>
  <c r="Z490" i="9"/>
  <c r="AA490" i="9"/>
  <c r="Z491" i="9"/>
  <c r="AA491" i="9"/>
  <c r="Z492" i="9"/>
  <c r="AA492" i="9"/>
  <c r="Z493" i="9"/>
  <c r="AA493" i="9"/>
  <c r="Z494" i="9"/>
  <c r="AA494" i="9"/>
  <c r="Z495" i="9"/>
  <c r="AA495" i="9"/>
  <c r="Z496" i="9"/>
  <c r="AA496" i="9"/>
  <c r="Z497" i="9"/>
  <c r="AA497" i="9"/>
  <c r="Z498" i="9"/>
  <c r="AA498" i="9"/>
  <c r="Z499" i="9"/>
  <c r="AA499" i="9"/>
  <c r="Z500" i="9"/>
  <c r="AA500" i="9"/>
  <c r="Z501" i="9"/>
  <c r="AA501" i="9"/>
  <c r="Z503" i="9"/>
  <c r="AA503" i="9"/>
  <c r="Z504" i="9"/>
  <c r="AA504" i="9"/>
  <c r="Z505" i="9"/>
  <c r="AA505" i="9"/>
  <c r="Z506" i="9"/>
  <c r="AA506" i="9"/>
  <c r="Z507" i="9"/>
  <c r="AA507" i="9"/>
  <c r="Z508" i="9"/>
  <c r="AA508" i="9"/>
  <c r="Z509" i="9"/>
  <c r="AA509" i="9"/>
  <c r="Z510" i="9"/>
  <c r="AA510" i="9"/>
  <c r="Z511" i="9"/>
  <c r="AA511" i="9"/>
  <c r="Z512" i="9"/>
  <c r="AA512" i="9"/>
  <c r="Z513" i="9"/>
  <c r="AA513" i="9"/>
  <c r="Z514" i="9"/>
  <c r="AA514" i="9"/>
  <c r="Z515" i="9"/>
  <c r="AA515" i="9"/>
  <c r="Z516" i="9"/>
  <c r="AA516" i="9"/>
  <c r="Z517" i="9"/>
  <c r="AA517" i="9"/>
  <c r="Z518" i="9"/>
  <c r="AA518" i="9"/>
  <c r="Z519" i="9"/>
  <c r="AA519" i="9"/>
  <c r="Z520" i="9"/>
  <c r="AA520" i="9"/>
  <c r="Z521" i="9"/>
  <c r="AA521" i="9"/>
  <c r="Z522" i="9"/>
  <c r="AA522" i="9"/>
  <c r="Z523" i="9"/>
  <c r="AA523" i="9"/>
  <c r="Z524" i="9"/>
  <c r="AA524" i="9"/>
  <c r="Z525" i="9"/>
  <c r="AA525" i="9"/>
  <c r="Z526" i="9"/>
  <c r="AA526" i="9"/>
  <c r="Z527" i="9"/>
  <c r="AA527" i="9"/>
  <c r="Z528" i="9"/>
  <c r="AA528" i="9"/>
  <c r="Z529" i="9"/>
  <c r="AA529" i="9"/>
  <c r="Z530" i="9"/>
  <c r="AA530" i="9"/>
  <c r="Z531" i="9"/>
  <c r="AA531" i="9"/>
  <c r="Z532" i="9"/>
  <c r="AA532" i="9"/>
  <c r="Z533" i="9"/>
  <c r="AA533" i="9"/>
  <c r="Z534" i="9"/>
  <c r="AA534" i="9"/>
  <c r="Z535" i="9"/>
  <c r="AA535" i="9"/>
  <c r="Z536" i="9"/>
  <c r="AA536" i="9"/>
  <c r="Z537" i="9"/>
  <c r="AA537" i="9"/>
  <c r="Z538" i="9"/>
  <c r="AA538" i="9"/>
  <c r="Z539" i="9"/>
  <c r="AA539" i="9"/>
  <c r="Z540" i="9"/>
  <c r="AA540" i="9"/>
  <c r="Z541" i="9"/>
  <c r="AA541" i="9"/>
  <c r="Z542" i="9"/>
  <c r="AA542" i="9"/>
  <c r="Z543" i="9"/>
  <c r="AA543" i="9"/>
  <c r="Z544" i="9"/>
  <c r="AA544" i="9"/>
  <c r="Z545" i="9"/>
  <c r="AA545" i="9"/>
  <c r="Z546" i="9"/>
  <c r="AA546" i="9"/>
  <c r="Z547" i="9"/>
  <c r="AA547" i="9"/>
  <c r="Z548" i="9"/>
  <c r="AA548" i="9"/>
  <c r="Z549" i="9"/>
  <c r="AA549" i="9"/>
  <c r="Z550" i="9"/>
  <c r="AA550" i="9"/>
  <c r="Z551" i="9"/>
  <c r="AA551" i="9"/>
  <c r="Z552" i="9"/>
  <c r="AA552" i="9"/>
  <c r="Z553" i="9"/>
  <c r="AA553" i="9"/>
  <c r="Z554" i="9"/>
  <c r="AA554" i="9"/>
  <c r="Z555" i="9"/>
  <c r="AA555" i="9"/>
  <c r="Z556" i="9"/>
  <c r="AA556" i="9"/>
  <c r="Z557" i="9"/>
  <c r="AA557" i="9"/>
  <c r="Z558" i="9"/>
  <c r="AA558" i="9"/>
  <c r="Z559" i="9"/>
  <c r="AA559" i="9"/>
  <c r="Z560" i="9"/>
  <c r="AA560" i="9"/>
  <c r="Z561" i="9"/>
  <c r="AA561" i="9"/>
  <c r="Z562" i="9"/>
  <c r="AA562" i="9"/>
  <c r="Z563" i="9"/>
  <c r="AA563" i="9"/>
  <c r="Z564" i="9"/>
  <c r="AA564" i="9"/>
  <c r="Z565" i="9"/>
  <c r="AA565" i="9"/>
  <c r="Z566" i="9"/>
  <c r="AA566" i="9"/>
  <c r="Z567" i="9"/>
  <c r="AA567" i="9"/>
  <c r="Z568" i="9"/>
  <c r="AA568" i="9"/>
  <c r="Z569" i="9"/>
  <c r="AA569" i="9"/>
  <c r="Z570" i="9"/>
  <c r="AA570" i="9"/>
  <c r="Z571" i="9"/>
  <c r="AA571" i="9"/>
  <c r="Z572" i="9"/>
  <c r="AA572" i="9"/>
  <c r="Z573" i="9"/>
  <c r="AA573" i="9"/>
  <c r="Z574" i="9"/>
  <c r="AA574" i="9"/>
  <c r="Z575" i="9"/>
  <c r="AA575" i="9"/>
  <c r="Z576" i="9"/>
  <c r="AA576" i="9"/>
  <c r="Z577" i="9"/>
  <c r="AA577" i="9"/>
  <c r="Z578" i="9"/>
  <c r="AA578" i="9"/>
  <c r="Z579" i="9"/>
  <c r="AA579" i="9"/>
  <c r="Z580" i="9"/>
  <c r="AA580" i="9"/>
  <c r="Z581" i="9"/>
  <c r="AA581" i="9"/>
  <c r="Z582" i="9"/>
  <c r="AA582" i="9"/>
  <c r="Z583" i="9"/>
  <c r="AA583" i="9"/>
  <c r="Z584" i="9"/>
  <c r="AA584" i="9"/>
  <c r="Z585" i="9"/>
  <c r="AA585" i="9"/>
  <c r="Z586" i="9"/>
  <c r="AA586" i="9"/>
  <c r="Z587" i="9"/>
  <c r="AA587" i="9"/>
  <c r="Z588" i="9"/>
  <c r="AA588" i="9"/>
  <c r="Z589" i="9"/>
  <c r="AA589" i="9"/>
  <c r="Z590" i="9"/>
  <c r="AA590" i="9"/>
  <c r="Z591" i="9"/>
  <c r="AA591" i="9"/>
  <c r="Z592" i="9"/>
  <c r="AA592" i="9"/>
  <c r="Z593" i="9"/>
  <c r="AA593" i="9"/>
  <c r="Z594" i="9"/>
  <c r="AA594" i="9"/>
  <c r="Z595" i="9"/>
  <c r="AA595" i="9"/>
  <c r="Z596" i="9"/>
  <c r="AA596" i="9"/>
  <c r="Z597" i="9"/>
  <c r="AA597" i="9"/>
  <c r="Z598" i="9"/>
  <c r="AA598" i="9"/>
  <c r="Z599" i="9"/>
  <c r="AA599" i="9"/>
  <c r="Z600" i="9"/>
  <c r="AA600" i="9"/>
  <c r="Z601" i="9"/>
  <c r="AA601" i="9"/>
  <c r="Z602" i="9"/>
  <c r="AA602" i="9"/>
  <c r="Z603" i="9"/>
  <c r="AA603" i="9"/>
  <c r="Z604" i="9"/>
  <c r="AA604" i="9"/>
  <c r="Z605" i="9"/>
  <c r="AA605" i="9"/>
  <c r="Z606" i="9"/>
  <c r="AA606" i="9"/>
  <c r="Z607" i="9"/>
  <c r="AA607" i="9"/>
  <c r="Z608" i="9"/>
  <c r="AA608" i="9"/>
  <c r="Z609" i="9"/>
  <c r="AA609" i="9"/>
  <c r="Z610" i="9"/>
  <c r="AA610" i="9"/>
  <c r="Z611" i="9"/>
  <c r="AA611" i="9"/>
  <c r="Z612" i="9"/>
  <c r="AA612" i="9"/>
  <c r="Z613" i="9"/>
  <c r="AA613" i="9"/>
  <c r="Z614" i="9"/>
  <c r="AA614" i="9"/>
  <c r="Z615" i="9"/>
  <c r="AA615" i="9"/>
  <c r="Z616" i="9"/>
  <c r="AA616" i="9"/>
  <c r="Z617" i="9"/>
  <c r="AA617" i="9"/>
  <c r="Z618" i="9"/>
  <c r="AA618" i="9"/>
  <c r="Z619" i="9"/>
  <c r="AA619" i="9"/>
  <c r="Z620" i="9"/>
  <c r="AA620" i="9"/>
  <c r="Z621" i="9"/>
  <c r="AA621" i="9"/>
  <c r="Z622" i="9"/>
  <c r="AA622" i="9"/>
  <c r="Z623" i="9"/>
  <c r="AA623" i="9"/>
  <c r="Z624" i="9"/>
  <c r="AA624" i="9"/>
  <c r="Z625" i="9"/>
  <c r="AA625" i="9"/>
  <c r="Z626" i="9"/>
  <c r="AA626" i="9"/>
  <c r="Z627" i="9"/>
  <c r="AA627" i="9"/>
  <c r="Z628" i="9"/>
  <c r="AA628" i="9"/>
  <c r="Z629" i="9"/>
  <c r="AA629" i="9"/>
  <c r="Z630" i="9"/>
  <c r="AA630" i="9"/>
  <c r="Z631" i="9"/>
  <c r="AA631" i="9"/>
  <c r="Z632" i="9"/>
  <c r="AA632" i="9"/>
  <c r="Z633" i="9"/>
  <c r="AA633" i="9"/>
  <c r="Z634" i="9"/>
  <c r="AA634" i="9"/>
  <c r="Z635" i="9"/>
  <c r="AA635" i="9"/>
  <c r="Z636" i="9"/>
  <c r="AA636" i="9"/>
  <c r="Z637" i="9"/>
  <c r="AA637" i="9"/>
  <c r="Z638" i="9"/>
  <c r="AA638" i="9"/>
  <c r="Z639" i="9"/>
  <c r="AA639" i="9"/>
  <c r="Z640" i="9"/>
  <c r="AA640" i="9"/>
  <c r="Z641" i="9"/>
  <c r="AA641" i="9"/>
  <c r="Z642" i="9"/>
  <c r="AA642" i="9"/>
  <c r="Z643" i="9"/>
  <c r="AA643" i="9"/>
  <c r="Z644" i="9"/>
  <c r="AA644" i="9"/>
  <c r="Z645" i="9"/>
  <c r="AA645" i="9"/>
  <c r="Z646" i="9"/>
  <c r="AA646" i="9"/>
  <c r="Z647" i="9"/>
  <c r="AA647" i="9"/>
  <c r="Z648" i="9"/>
  <c r="AA648" i="9"/>
  <c r="Z649" i="9"/>
  <c r="AA649" i="9"/>
  <c r="Z650" i="9"/>
  <c r="AA650" i="9"/>
  <c r="Z651" i="9"/>
  <c r="AA651" i="9"/>
  <c r="Z652" i="9"/>
  <c r="AA652" i="9"/>
  <c r="Z653" i="9"/>
  <c r="AA653" i="9"/>
  <c r="Z654" i="9"/>
  <c r="AA654" i="9"/>
  <c r="Z655" i="9"/>
  <c r="AA655" i="9"/>
  <c r="Z656" i="9"/>
  <c r="AA656" i="9"/>
  <c r="Z657" i="9"/>
  <c r="AA657" i="9"/>
  <c r="Z658" i="9"/>
  <c r="AA658" i="9"/>
  <c r="Z659" i="9"/>
  <c r="AA659" i="9"/>
  <c r="Z660" i="9"/>
  <c r="AA660" i="9"/>
  <c r="Z661" i="9"/>
  <c r="AA661" i="9"/>
  <c r="Z662" i="9"/>
  <c r="AA662" i="9"/>
  <c r="Z663" i="9"/>
  <c r="AA663" i="9"/>
  <c r="Z664" i="9"/>
  <c r="AA664" i="9"/>
  <c r="Z665" i="9"/>
  <c r="AA665" i="9"/>
  <c r="Z666" i="9"/>
  <c r="AA666" i="9"/>
  <c r="Z667" i="9"/>
  <c r="AA667" i="9"/>
  <c r="Z668" i="9"/>
  <c r="AA668" i="9"/>
  <c r="Z669" i="9"/>
  <c r="AA669" i="9"/>
  <c r="Z670" i="9"/>
  <c r="AA670" i="9"/>
  <c r="Z671" i="9"/>
  <c r="AA671" i="9"/>
  <c r="Z672" i="9"/>
  <c r="AA672" i="9"/>
  <c r="Z673" i="9"/>
  <c r="AA673" i="9"/>
  <c r="Z674" i="9"/>
  <c r="AA674" i="9"/>
  <c r="Z675" i="9"/>
  <c r="AA675" i="9"/>
  <c r="Z676" i="9"/>
  <c r="AA676" i="9"/>
  <c r="Z677" i="9"/>
  <c r="AA677" i="9"/>
  <c r="Z678" i="9"/>
  <c r="AA678" i="9"/>
  <c r="Z679" i="9"/>
  <c r="AA679" i="9"/>
  <c r="Z680" i="9"/>
  <c r="AA680" i="9"/>
  <c r="Z681" i="9"/>
  <c r="AA681" i="9"/>
  <c r="Z682" i="9"/>
  <c r="AA682" i="9"/>
  <c r="Z683" i="9"/>
  <c r="AA683" i="9"/>
  <c r="Z684" i="9"/>
  <c r="AA684" i="9"/>
  <c r="Z685" i="9"/>
  <c r="AA685" i="9"/>
  <c r="Z686" i="9"/>
  <c r="AA686" i="9"/>
  <c r="Z687" i="9"/>
  <c r="AA687" i="9"/>
  <c r="Z688" i="9"/>
  <c r="AA688" i="9"/>
  <c r="Z689" i="9"/>
  <c r="AA689" i="9"/>
  <c r="Z690" i="9"/>
  <c r="AA690" i="9"/>
  <c r="Z691" i="9"/>
  <c r="AA691" i="9"/>
  <c r="Z692" i="9"/>
  <c r="AA692" i="9"/>
  <c r="Z693" i="9"/>
  <c r="AA693" i="9"/>
  <c r="Z694" i="9"/>
  <c r="AA694" i="9"/>
  <c r="Z695" i="9"/>
  <c r="AA695" i="9"/>
  <c r="Z696" i="9"/>
  <c r="AA696" i="9"/>
  <c r="Z697" i="9"/>
  <c r="AA697" i="9"/>
  <c r="Z698" i="9"/>
  <c r="AA698" i="9"/>
  <c r="Z699" i="9"/>
  <c r="AA699" i="9"/>
  <c r="Z700" i="9"/>
  <c r="AA700" i="9"/>
  <c r="Z701" i="9"/>
  <c r="AA701" i="9"/>
  <c r="Z702" i="9"/>
  <c r="AA702" i="9"/>
  <c r="Z703" i="9"/>
  <c r="AA703" i="9"/>
  <c r="Z704" i="9"/>
  <c r="AA704" i="9"/>
  <c r="Z705" i="9"/>
  <c r="AA705" i="9"/>
  <c r="Z706" i="9"/>
  <c r="AA706" i="9"/>
  <c r="Z707" i="9"/>
  <c r="AA707" i="9"/>
  <c r="Z708" i="9"/>
  <c r="AA708" i="9"/>
  <c r="Z709" i="9"/>
  <c r="AA709" i="9"/>
  <c r="Z710" i="9"/>
  <c r="AA710" i="9"/>
  <c r="Z711" i="9"/>
  <c r="AA711" i="9"/>
  <c r="Z712" i="9"/>
  <c r="AA712" i="9"/>
  <c r="Z713" i="9"/>
  <c r="AA713" i="9"/>
  <c r="Z714" i="9"/>
  <c r="AA714" i="9"/>
  <c r="Z715" i="9"/>
  <c r="AA715" i="9"/>
  <c r="Z716" i="9"/>
  <c r="AA716" i="9"/>
  <c r="Z717" i="9"/>
  <c r="AA717" i="9"/>
  <c r="Z718" i="9"/>
  <c r="AA718" i="9"/>
  <c r="Z719" i="9"/>
  <c r="AA719" i="9"/>
  <c r="Z720" i="9"/>
  <c r="AA720" i="9"/>
  <c r="Z721" i="9"/>
  <c r="AA721" i="9"/>
  <c r="Z722" i="9"/>
  <c r="AA722" i="9"/>
  <c r="Z723" i="9"/>
  <c r="AA723" i="9"/>
  <c r="Z724" i="9"/>
  <c r="AA724" i="9"/>
  <c r="Z725" i="9"/>
  <c r="AA725" i="9"/>
  <c r="Z726" i="9"/>
  <c r="AA726" i="9"/>
  <c r="Z727" i="9"/>
  <c r="AA727" i="9"/>
  <c r="Z728" i="9"/>
  <c r="AA728" i="9"/>
  <c r="Z729" i="9"/>
  <c r="AA729" i="9"/>
  <c r="Z730" i="9"/>
  <c r="AA730" i="9"/>
  <c r="Z731" i="9"/>
  <c r="AA731" i="9"/>
  <c r="Z732" i="9"/>
  <c r="AA732" i="9"/>
  <c r="Z733" i="9"/>
  <c r="AA733" i="9"/>
  <c r="Z734" i="9"/>
  <c r="AA734" i="9"/>
  <c r="Z735" i="9"/>
  <c r="AA735" i="9"/>
  <c r="Z736" i="9"/>
  <c r="AA736" i="9"/>
  <c r="Z737" i="9"/>
  <c r="AA737" i="9"/>
  <c r="Z738" i="9"/>
  <c r="AA738" i="9"/>
  <c r="Z739" i="9"/>
  <c r="AA739" i="9"/>
  <c r="Z740" i="9"/>
  <c r="AA740" i="9"/>
  <c r="Z741" i="9"/>
  <c r="AA741" i="9"/>
  <c r="Z742" i="9"/>
  <c r="AA742" i="9"/>
  <c r="Z743" i="9"/>
  <c r="AA743" i="9"/>
  <c r="Z744" i="9"/>
  <c r="AA744" i="9"/>
  <c r="Z745" i="9"/>
  <c r="AA745" i="9"/>
  <c r="Z746" i="9"/>
  <c r="AA746" i="9"/>
  <c r="Z747" i="9"/>
  <c r="AA747" i="9"/>
  <c r="Z748" i="9"/>
  <c r="AA748" i="9"/>
  <c r="Z749" i="9"/>
  <c r="AA749" i="9"/>
  <c r="Z750" i="9"/>
  <c r="AA750" i="9"/>
  <c r="Z751" i="9"/>
  <c r="AA751" i="9"/>
  <c r="Z752" i="9"/>
  <c r="AA752" i="9"/>
  <c r="Z753" i="9"/>
  <c r="AA753" i="9"/>
  <c r="Z754" i="9"/>
  <c r="AA754" i="9"/>
  <c r="Z755" i="9"/>
  <c r="AA755" i="9"/>
  <c r="Z756" i="9"/>
  <c r="AA756" i="9"/>
  <c r="Z757" i="9"/>
  <c r="AA757" i="9"/>
  <c r="Z758" i="9"/>
  <c r="AA758" i="9"/>
  <c r="Z759" i="9"/>
  <c r="AA759" i="9"/>
  <c r="Z760" i="9"/>
  <c r="AA760" i="9"/>
  <c r="Z761" i="9"/>
  <c r="AA761" i="9"/>
  <c r="Z762" i="9"/>
  <c r="AA762" i="9"/>
  <c r="Z763" i="9"/>
  <c r="AA763" i="9"/>
  <c r="Z764" i="9"/>
  <c r="AA764" i="9"/>
  <c r="Z765" i="9"/>
  <c r="AA765" i="9"/>
  <c r="Z766" i="9"/>
  <c r="AA766" i="9"/>
  <c r="Z767" i="9"/>
  <c r="AA767" i="9"/>
  <c r="Z768" i="9"/>
  <c r="AA768" i="9"/>
  <c r="Z769" i="9"/>
  <c r="AA769" i="9"/>
  <c r="Z770" i="9"/>
  <c r="AA770" i="9"/>
  <c r="Z771" i="9"/>
  <c r="AA771" i="9"/>
  <c r="Z772" i="9"/>
  <c r="AA772" i="9"/>
  <c r="Z773" i="9"/>
  <c r="AA773" i="9"/>
  <c r="Z774" i="9"/>
  <c r="AA774" i="9"/>
  <c r="Z775" i="9"/>
  <c r="AA775" i="9"/>
  <c r="Z776" i="9"/>
  <c r="AA776" i="9"/>
  <c r="Z777" i="9"/>
  <c r="AA777" i="9"/>
  <c r="Z778" i="9"/>
  <c r="AA778" i="9"/>
  <c r="Z779" i="9"/>
  <c r="AA779" i="9"/>
  <c r="Z780" i="9"/>
  <c r="AA780" i="9"/>
  <c r="Z781" i="9"/>
  <c r="AA781" i="9"/>
  <c r="Z782" i="9"/>
  <c r="AA782" i="9"/>
  <c r="Z783" i="9"/>
  <c r="AA783" i="9"/>
  <c r="Z784" i="9"/>
  <c r="AA784" i="9"/>
  <c r="Z785" i="9"/>
  <c r="AA785" i="9"/>
  <c r="Z786" i="9"/>
  <c r="AA786" i="9"/>
  <c r="Z787" i="9"/>
  <c r="AA787" i="9"/>
  <c r="Z788" i="9"/>
  <c r="AA788" i="9"/>
  <c r="Z789" i="9"/>
  <c r="AA789" i="9"/>
  <c r="Z790" i="9"/>
  <c r="AA790" i="9"/>
  <c r="Z791" i="9"/>
  <c r="AA791" i="9"/>
  <c r="Z792" i="9"/>
  <c r="AA792" i="9"/>
  <c r="Z793" i="9"/>
  <c r="AA793" i="9"/>
  <c r="Z794" i="9"/>
  <c r="AA794" i="9"/>
  <c r="Z795" i="9"/>
  <c r="AA795" i="9"/>
  <c r="Z796" i="9"/>
  <c r="AA796" i="9"/>
  <c r="Z797" i="9"/>
  <c r="AA797" i="9"/>
  <c r="Z798" i="9"/>
  <c r="AA798" i="9"/>
  <c r="Z799" i="9"/>
  <c r="AA799" i="9"/>
  <c r="Z800" i="9"/>
  <c r="AA800" i="9"/>
  <c r="Z801" i="9"/>
  <c r="AA801" i="9"/>
  <c r="Z802" i="9"/>
  <c r="AA802" i="9"/>
  <c r="Z803" i="9"/>
  <c r="AA803" i="9"/>
  <c r="Z804" i="9"/>
  <c r="AA804" i="9"/>
  <c r="Z805" i="9"/>
  <c r="AA805" i="9"/>
  <c r="Z806" i="9"/>
  <c r="AA806" i="9"/>
  <c r="Z807" i="9"/>
  <c r="AA807" i="9"/>
  <c r="Z808" i="9"/>
  <c r="AA808" i="9"/>
  <c r="Z809" i="9"/>
  <c r="AA809" i="9"/>
  <c r="Z810" i="9"/>
  <c r="AA810" i="9"/>
  <c r="Z811" i="9"/>
  <c r="AA811" i="9"/>
  <c r="Z812" i="9"/>
  <c r="AA812" i="9"/>
  <c r="Z813" i="9"/>
  <c r="AA813" i="9"/>
  <c r="Z814" i="9"/>
  <c r="AA814" i="9"/>
  <c r="Z815" i="9"/>
  <c r="AA815" i="9"/>
  <c r="Z816" i="9"/>
  <c r="AA816" i="9"/>
  <c r="Z817" i="9"/>
  <c r="AA817" i="9"/>
  <c r="Z818" i="9"/>
  <c r="AA818" i="9"/>
  <c r="Z819" i="9"/>
  <c r="AA819" i="9"/>
  <c r="Z820" i="9"/>
  <c r="AA820" i="9"/>
  <c r="Z821" i="9"/>
  <c r="AA821" i="9"/>
  <c r="Z822" i="9"/>
  <c r="AA822" i="9"/>
  <c r="Z823" i="9"/>
  <c r="AA823" i="9"/>
  <c r="Z824" i="9"/>
  <c r="AA824" i="9"/>
  <c r="Z825" i="9"/>
  <c r="AA825" i="9"/>
  <c r="Z826" i="9"/>
  <c r="AA826" i="9"/>
  <c r="Z827" i="9"/>
  <c r="AA827" i="9"/>
  <c r="Z828" i="9"/>
  <c r="AA828" i="9"/>
  <c r="Z829" i="9"/>
  <c r="AA829" i="9"/>
  <c r="Z830" i="9"/>
  <c r="AA830" i="9"/>
  <c r="Z831" i="9"/>
  <c r="AA831" i="9"/>
  <c r="Z832" i="9"/>
  <c r="AA832" i="9"/>
  <c r="Z833" i="9"/>
  <c r="AA833" i="9"/>
  <c r="Z834" i="9"/>
  <c r="AA834" i="9"/>
  <c r="Z835" i="9"/>
  <c r="AA835" i="9"/>
  <c r="Z836" i="9"/>
  <c r="AA836" i="9"/>
  <c r="Z837" i="9"/>
  <c r="AA837" i="9"/>
  <c r="Z838" i="9"/>
  <c r="AA838" i="9"/>
  <c r="Z839" i="9"/>
  <c r="AA839" i="9"/>
  <c r="Z840" i="9"/>
  <c r="AA840" i="9"/>
  <c r="Z841" i="9"/>
  <c r="AA841" i="9"/>
  <c r="Z842" i="9"/>
  <c r="AA842" i="9"/>
  <c r="Z843" i="9"/>
  <c r="AA843" i="9"/>
  <c r="Z844" i="9"/>
  <c r="AA844" i="9"/>
  <c r="Z845" i="9"/>
  <c r="AA845" i="9"/>
  <c r="Z846" i="9"/>
  <c r="AA846" i="9"/>
  <c r="Z847" i="9"/>
  <c r="AA847" i="9"/>
  <c r="Z848" i="9"/>
  <c r="AA848" i="9"/>
  <c r="Z849" i="9"/>
  <c r="AA849" i="9"/>
  <c r="Z850" i="9"/>
  <c r="AA850" i="9"/>
  <c r="Z851" i="9"/>
  <c r="AA851" i="9"/>
  <c r="Z852" i="9"/>
  <c r="AA852" i="9"/>
  <c r="Z853" i="9"/>
  <c r="AA853" i="9"/>
  <c r="Z854" i="9"/>
  <c r="AA854" i="9"/>
  <c r="Z855" i="9"/>
  <c r="AA855" i="9"/>
  <c r="Z856" i="9"/>
  <c r="AA856" i="9"/>
  <c r="Z857" i="9"/>
  <c r="AA857" i="9"/>
  <c r="Z858" i="9"/>
  <c r="AA858" i="9"/>
  <c r="Z859" i="9"/>
  <c r="AA859" i="9"/>
  <c r="Z860" i="9"/>
  <c r="AA860" i="9"/>
  <c r="Z861" i="9"/>
  <c r="AA861" i="9"/>
  <c r="Z862" i="9"/>
  <c r="AA862" i="9"/>
  <c r="Z863" i="9"/>
  <c r="AA863" i="9"/>
  <c r="Z864" i="9"/>
  <c r="AA864" i="9"/>
  <c r="Z865" i="9"/>
  <c r="AA865" i="9"/>
  <c r="Z866" i="9"/>
  <c r="AA866" i="9"/>
  <c r="Z867" i="9"/>
  <c r="AA867" i="9"/>
  <c r="Z868" i="9"/>
  <c r="AA868" i="9"/>
  <c r="Z869" i="9"/>
  <c r="AA869" i="9"/>
  <c r="Z870" i="9"/>
  <c r="AA870" i="9"/>
  <c r="Z871" i="9"/>
  <c r="AA871" i="9"/>
  <c r="Z872" i="9"/>
  <c r="AA872" i="9"/>
  <c r="Z873" i="9"/>
  <c r="AA873" i="9"/>
  <c r="Z874" i="9"/>
  <c r="AA874" i="9"/>
  <c r="Z875" i="9"/>
  <c r="AA875" i="9"/>
  <c r="Z876" i="9"/>
  <c r="AA876" i="9"/>
  <c r="Z877" i="9"/>
  <c r="AA877" i="9"/>
  <c r="Z878" i="9"/>
  <c r="AA878" i="9"/>
  <c r="Z879" i="9"/>
  <c r="AA879" i="9"/>
  <c r="Z880" i="9"/>
  <c r="AA880" i="9"/>
  <c r="Z881" i="9"/>
  <c r="AA881" i="9"/>
  <c r="Z882" i="9"/>
  <c r="AA882" i="9"/>
  <c r="Z883" i="9"/>
  <c r="AA883" i="9"/>
  <c r="Z884" i="9"/>
  <c r="AA884" i="9"/>
  <c r="Z885" i="9"/>
  <c r="AA885" i="9"/>
  <c r="Z886" i="9"/>
  <c r="AA886" i="9"/>
  <c r="Z887" i="9"/>
  <c r="AA887" i="9"/>
  <c r="Z888" i="9"/>
  <c r="AA888" i="9"/>
  <c r="Z889" i="9"/>
  <c r="AA889" i="9"/>
  <c r="Z890" i="9"/>
  <c r="AA890" i="9"/>
  <c r="Z891" i="9"/>
  <c r="AA891" i="9"/>
  <c r="Z892" i="9"/>
  <c r="AA892" i="9"/>
  <c r="Z893" i="9"/>
  <c r="AA893" i="9"/>
  <c r="Z894" i="9"/>
  <c r="AA894" i="9"/>
  <c r="Z895" i="9"/>
  <c r="AA895" i="9"/>
  <c r="Z896" i="9"/>
  <c r="AA896" i="9"/>
  <c r="Z897" i="9"/>
  <c r="AA897" i="9"/>
  <c r="Z898" i="9"/>
  <c r="AA898" i="9"/>
  <c r="Z899" i="9"/>
  <c r="AA899" i="9"/>
  <c r="Z900" i="9"/>
  <c r="AA900" i="9"/>
  <c r="Z901" i="9"/>
  <c r="AA901" i="9"/>
  <c r="Z902" i="9"/>
  <c r="AA902" i="9"/>
  <c r="Z903" i="9"/>
  <c r="AA903" i="9"/>
  <c r="Z904" i="9"/>
  <c r="AA904" i="9"/>
  <c r="Z905" i="9"/>
  <c r="AA905" i="9"/>
  <c r="Z906" i="9"/>
  <c r="AA906" i="9"/>
  <c r="Z907" i="9"/>
  <c r="AA907" i="9"/>
  <c r="Z908" i="9"/>
  <c r="AA908" i="9"/>
  <c r="Z909" i="9"/>
  <c r="AA909" i="9"/>
  <c r="Z910" i="9"/>
  <c r="AA910" i="9"/>
  <c r="Z911" i="9"/>
  <c r="AA911" i="9"/>
  <c r="Z912" i="9"/>
  <c r="AA912" i="9"/>
  <c r="Z913" i="9"/>
  <c r="AA913" i="9"/>
  <c r="Z914" i="9"/>
  <c r="AA914" i="9"/>
  <c r="Z915" i="9"/>
  <c r="AA915" i="9"/>
  <c r="Z916" i="9"/>
  <c r="AA916" i="9"/>
  <c r="Z917" i="9"/>
  <c r="AA917" i="9"/>
  <c r="Z918" i="9"/>
  <c r="AA918" i="9"/>
  <c r="Z919" i="9"/>
  <c r="AA919" i="9"/>
  <c r="Z920" i="9"/>
  <c r="AA920" i="9"/>
  <c r="Z921" i="9"/>
  <c r="AA921" i="9"/>
  <c r="Z922" i="9"/>
  <c r="AA922" i="9"/>
  <c r="Z923" i="9"/>
  <c r="AA923" i="9"/>
  <c r="Z924" i="9"/>
  <c r="AA924" i="9"/>
  <c r="Z925" i="9"/>
  <c r="AA925" i="9"/>
  <c r="Z926" i="9"/>
  <c r="AA926" i="9"/>
  <c r="Z927" i="9"/>
  <c r="AA927" i="9"/>
  <c r="Z928" i="9"/>
  <c r="AA928" i="9"/>
  <c r="Z929" i="9"/>
  <c r="AA929" i="9"/>
  <c r="Z930" i="9"/>
  <c r="AA930" i="9"/>
  <c r="Z931" i="9"/>
  <c r="AA931" i="9"/>
  <c r="Z932" i="9"/>
  <c r="AA932" i="9"/>
  <c r="Z933" i="9"/>
  <c r="AA933" i="9"/>
  <c r="Z934" i="9"/>
  <c r="AA934" i="9"/>
  <c r="Z935" i="9"/>
  <c r="AA935" i="9"/>
  <c r="Z936" i="9"/>
  <c r="AA936" i="9"/>
  <c r="Z937" i="9"/>
  <c r="AA937" i="9"/>
  <c r="Z938" i="9"/>
  <c r="AA938" i="9"/>
  <c r="Z939" i="9"/>
  <c r="AA939" i="9"/>
  <c r="Z940" i="9"/>
  <c r="AA940" i="9"/>
  <c r="Z941" i="9"/>
  <c r="AA941" i="9"/>
  <c r="Z942" i="9"/>
  <c r="AA942" i="9"/>
  <c r="Z943" i="9"/>
  <c r="AA943" i="9"/>
  <c r="Z944" i="9"/>
  <c r="AA944" i="9"/>
  <c r="Z946" i="9"/>
  <c r="AA946" i="9"/>
  <c r="Z947" i="9"/>
  <c r="AA947" i="9"/>
  <c r="Z948" i="9"/>
  <c r="AA948" i="9"/>
  <c r="Z949" i="9"/>
  <c r="AA949" i="9"/>
  <c r="Z950" i="9"/>
  <c r="AA950" i="9"/>
  <c r="Z951" i="9"/>
  <c r="AA951" i="9"/>
  <c r="Z952" i="9"/>
  <c r="AA952" i="9"/>
  <c r="Z953" i="9"/>
  <c r="AA953" i="9"/>
  <c r="Z954" i="9"/>
  <c r="AA954" i="9"/>
  <c r="Z955" i="9"/>
  <c r="AA955" i="9"/>
  <c r="Z956" i="9"/>
  <c r="AA956" i="9"/>
  <c r="Z957" i="9"/>
  <c r="AA957" i="9"/>
  <c r="Z958" i="9"/>
  <c r="AA958" i="9"/>
  <c r="Z959" i="9"/>
  <c r="AA959" i="9"/>
  <c r="Z960" i="9"/>
  <c r="AA960" i="9"/>
  <c r="Z961" i="9"/>
  <c r="AA961" i="9"/>
  <c r="Z962" i="9"/>
  <c r="AA962" i="9"/>
  <c r="Z963" i="9"/>
  <c r="AA963" i="9"/>
  <c r="Z964" i="9"/>
  <c r="AA964" i="9"/>
  <c r="Z965" i="9"/>
  <c r="AA965" i="9"/>
  <c r="Z966" i="9"/>
  <c r="AA966" i="9"/>
  <c r="Z967" i="9"/>
  <c r="AA967" i="9"/>
  <c r="Z968" i="9"/>
  <c r="AA968" i="9"/>
  <c r="Z969" i="9"/>
  <c r="AA969" i="9"/>
  <c r="Z970" i="9"/>
  <c r="AA970" i="9"/>
  <c r="Z971" i="9"/>
  <c r="AA971" i="9"/>
  <c r="Z972" i="9"/>
  <c r="AA972" i="9"/>
  <c r="Z973" i="9"/>
  <c r="AA973" i="9"/>
  <c r="Z974" i="9"/>
  <c r="AA974" i="9"/>
  <c r="Z975" i="9"/>
  <c r="AA975" i="9"/>
  <c r="Z977" i="9"/>
  <c r="AA977" i="9"/>
  <c r="Z978" i="9"/>
  <c r="AA978" i="9"/>
  <c r="Z979" i="9"/>
  <c r="AA979" i="9"/>
  <c r="Z980" i="9"/>
  <c r="AA980" i="9"/>
  <c r="Z981" i="9"/>
  <c r="AA981" i="9"/>
  <c r="Z982" i="9"/>
  <c r="AA982" i="9"/>
  <c r="Z983" i="9"/>
  <c r="AA983" i="9"/>
  <c r="Z984" i="9"/>
  <c r="AA984" i="9"/>
  <c r="Z985" i="9"/>
  <c r="AA985" i="9"/>
  <c r="Z986" i="9"/>
  <c r="AA986" i="9"/>
  <c r="Z987" i="9"/>
  <c r="AA987" i="9"/>
  <c r="Z988" i="9"/>
  <c r="AA988" i="9"/>
  <c r="Z989" i="9"/>
  <c r="AA989" i="9"/>
  <c r="Z990" i="9"/>
  <c r="AA990" i="9"/>
  <c r="Z991" i="9"/>
  <c r="AA991" i="9"/>
  <c r="Z992" i="9"/>
  <c r="AA992" i="9"/>
  <c r="Z993" i="9"/>
  <c r="AA993" i="9"/>
  <c r="Z976" i="9"/>
  <c r="AA976" i="9"/>
  <c r="Z994" i="9"/>
  <c r="AA994" i="9"/>
  <c r="Z995" i="9"/>
  <c r="AA995" i="9"/>
  <c r="Z996" i="9"/>
  <c r="AA996" i="9"/>
  <c r="Z997" i="9"/>
  <c r="AA997" i="9"/>
  <c r="Z998" i="9"/>
  <c r="AA998" i="9"/>
  <c r="Z999" i="9"/>
  <c r="AA999" i="9"/>
  <c r="Z1000" i="9"/>
  <c r="AA1000" i="9"/>
  <c r="Z1001" i="9"/>
  <c r="AA1001" i="9"/>
  <c r="Z1002" i="9"/>
  <c r="AA1002" i="9"/>
  <c r="Z1003" i="9"/>
  <c r="AA1003" i="9"/>
  <c r="Z1004" i="9"/>
  <c r="AA1004" i="9"/>
  <c r="Z1005" i="9"/>
  <c r="AA1005" i="9"/>
  <c r="Z1006" i="9"/>
  <c r="AA1006" i="9"/>
  <c r="Z1007" i="9"/>
  <c r="AA1007" i="9"/>
  <c r="Z1008" i="9"/>
  <c r="AA1008" i="9"/>
  <c r="Z1009" i="9"/>
  <c r="AA1009" i="9"/>
  <c r="Z1010" i="9"/>
  <c r="AA1010" i="9"/>
  <c r="Z1011" i="9"/>
  <c r="AA1011" i="9"/>
  <c r="Z1012" i="9"/>
  <c r="AA1012" i="9"/>
  <c r="Z1013" i="9"/>
  <c r="AA1013" i="9"/>
  <c r="Z1014" i="9"/>
  <c r="AA1014" i="9"/>
  <c r="Z1015" i="9"/>
  <c r="AA1015" i="9"/>
  <c r="Z1016" i="9"/>
  <c r="AA1016" i="9"/>
  <c r="Z1017" i="9"/>
  <c r="AA1017" i="9"/>
  <c r="Z1018" i="9"/>
  <c r="AA1018" i="9"/>
  <c r="Z1019" i="9"/>
  <c r="AA1019" i="9"/>
  <c r="Z1020" i="9"/>
  <c r="AA1020" i="9"/>
  <c r="Z1022" i="9"/>
  <c r="AA1022" i="9"/>
  <c r="Z1023" i="9"/>
  <c r="AA1023" i="9"/>
  <c r="Z1024" i="9"/>
  <c r="AA1024" i="9"/>
  <c r="Z1025" i="9"/>
  <c r="AA1025" i="9"/>
  <c r="Z1026" i="9"/>
  <c r="AA1026" i="9"/>
  <c r="Z1027" i="9"/>
  <c r="AA1027" i="9"/>
  <c r="Z1028" i="9"/>
  <c r="AA1028" i="9"/>
  <c r="Z1029" i="9"/>
  <c r="AA1029" i="9"/>
  <c r="Z1030" i="9"/>
  <c r="AA1030" i="9"/>
  <c r="Z1031" i="9"/>
  <c r="AA1031" i="9"/>
  <c r="Z1032" i="9"/>
  <c r="AA1032" i="9"/>
  <c r="Z1033" i="9"/>
  <c r="AA1033" i="9"/>
  <c r="Z1034" i="9"/>
  <c r="AA1034" i="9"/>
  <c r="Z1035" i="9"/>
  <c r="AA1035" i="9"/>
  <c r="Z1036" i="9"/>
  <c r="AA1036" i="9"/>
  <c r="Z1037" i="9"/>
  <c r="AA1037" i="9"/>
  <c r="Z1038" i="9"/>
  <c r="AA1038" i="9"/>
  <c r="Z1021" i="9"/>
  <c r="AA1021" i="9"/>
  <c r="Z1039" i="9"/>
  <c r="AA1039" i="9"/>
  <c r="Z1040" i="9"/>
  <c r="AA1040" i="9"/>
  <c r="Z1041" i="9"/>
  <c r="AA1041" i="9"/>
  <c r="Z1042" i="9"/>
  <c r="AA1042" i="9"/>
  <c r="Z1043" i="9"/>
  <c r="AA1043" i="9"/>
  <c r="Z1044" i="9"/>
  <c r="AA1044" i="9"/>
  <c r="Z1045" i="9"/>
  <c r="AA1045" i="9"/>
  <c r="Z1046" i="9"/>
  <c r="AA1046" i="9"/>
  <c r="Z1047" i="9"/>
  <c r="AA1047" i="9"/>
  <c r="Z1048" i="9"/>
  <c r="AA1048" i="9"/>
  <c r="Z1049" i="9"/>
  <c r="AA1049" i="9"/>
  <c r="Z1050" i="9"/>
  <c r="AA1050" i="9"/>
  <c r="Z1051" i="9"/>
  <c r="AA1051" i="9"/>
  <c r="Z1052" i="9"/>
  <c r="AA1052" i="9"/>
  <c r="Z1053" i="9"/>
  <c r="AA1053" i="9"/>
  <c r="Z1054" i="9"/>
  <c r="AA1054" i="9"/>
  <c r="Z1055" i="9"/>
  <c r="AA1055" i="9"/>
  <c r="Z1056" i="9"/>
  <c r="AA1056" i="9"/>
  <c r="Z1057" i="9"/>
  <c r="AA1057" i="9"/>
  <c r="Z1058" i="9"/>
  <c r="AA1058" i="9"/>
  <c r="Z1059" i="9"/>
  <c r="AA1059" i="9"/>
  <c r="Z1060" i="9"/>
  <c r="AA1060" i="9"/>
  <c r="Z1061" i="9"/>
  <c r="AA1061" i="9"/>
  <c r="Z1062" i="9"/>
  <c r="AA1062" i="9"/>
  <c r="Z1063" i="9"/>
  <c r="AA1063" i="9"/>
  <c r="Z1064" i="9"/>
  <c r="AA1064" i="9"/>
  <c r="Z1066" i="9"/>
  <c r="AA1066" i="9"/>
  <c r="Z1067" i="9"/>
  <c r="AA1067" i="9"/>
  <c r="Z1068" i="9"/>
  <c r="AA1068" i="9"/>
  <c r="Z1069" i="9"/>
  <c r="AA1069" i="9"/>
  <c r="Z1070" i="9"/>
  <c r="AA1070" i="9"/>
  <c r="Z1071" i="9"/>
  <c r="AA1071" i="9"/>
  <c r="Z1072" i="9"/>
  <c r="AA1072" i="9"/>
  <c r="Z1073" i="9"/>
  <c r="AA1073" i="9"/>
  <c r="Z1074" i="9"/>
  <c r="AA1074" i="9"/>
  <c r="Z1075" i="9"/>
  <c r="AA1075" i="9"/>
  <c r="Z1076" i="9"/>
  <c r="AA1076" i="9"/>
  <c r="Z1077" i="9"/>
  <c r="AA1077" i="9"/>
  <c r="Z1078" i="9"/>
  <c r="AA1078" i="9"/>
  <c r="Z1079" i="9"/>
  <c r="AA1079" i="9"/>
  <c r="Z1080" i="9"/>
  <c r="AA1080" i="9"/>
  <c r="Z1081" i="9"/>
  <c r="AA1081" i="9"/>
  <c r="Z1082" i="9"/>
  <c r="AA1082" i="9"/>
  <c r="Z1065" i="9"/>
  <c r="AA1065" i="9"/>
  <c r="Z1083" i="9"/>
  <c r="AA1083" i="9"/>
  <c r="Z1084" i="9"/>
  <c r="AA1084" i="9"/>
  <c r="Z1086" i="9"/>
  <c r="AA1086" i="9"/>
  <c r="Z1087" i="9"/>
  <c r="AA1087" i="9"/>
  <c r="Z1088" i="9"/>
  <c r="AA1088" i="9"/>
  <c r="Z1089" i="9"/>
  <c r="AA1089" i="9"/>
  <c r="Z1090" i="9"/>
  <c r="AA1090" i="9"/>
  <c r="Z1091" i="9"/>
  <c r="AA1091" i="9"/>
  <c r="Z1092" i="9"/>
  <c r="AA1092" i="9"/>
  <c r="Z1093" i="9"/>
  <c r="AA1093" i="9"/>
  <c r="Z1094" i="9"/>
  <c r="AA1094" i="9"/>
  <c r="Z1095" i="9"/>
  <c r="AA1095" i="9"/>
  <c r="Z1096" i="9"/>
  <c r="AA1096" i="9"/>
  <c r="Z1097" i="9"/>
  <c r="AA1097" i="9"/>
  <c r="Z1098" i="9"/>
  <c r="AA1098" i="9"/>
  <c r="Z1099" i="9"/>
  <c r="AA1099" i="9"/>
  <c r="Z1100" i="9"/>
  <c r="AA1100" i="9"/>
  <c r="Z1101" i="9"/>
  <c r="AA1101" i="9"/>
  <c r="Z1102" i="9"/>
  <c r="AA1102" i="9"/>
  <c r="Z1103" i="9"/>
  <c r="AA1103" i="9"/>
  <c r="Z1104" i="9"/>
  <c r="AA1104" i="9"/>
  <c r="Z1105" i="9"/>
  <c r="AA1105" i="9"/>
  <c r="Z1106" i="9"/>
  <c r="AA1106" i="9"/>
  <c r="Z1107" i="9"/>
  <c r="AA1107" i="9"/>
  <c r="Z1108" i="9"/>
  <c r="AA1108" i="9"/>
  <c r="Z1109" i="9"/>
  <c r="AA1109" i="9"/>
  <c r="Z1110" i="9"/>
  <c r="AA1110" i="9"/>
  <c r="Z1112" i="9"/>
  <c r="AA1112" i="9"/>
  <c r="Z1113" i="9"/>
  <c r="AA1113" i="9"/>
  <c r="Z1114" i="9"/>
  <c r="AA1114" i="9"/>
  <c r="Z1115" i="9"/>
  <c r="AA1115" i="9"/>
  <c r="Z1116" i="9"/>
  <c r="AA1116" i="9"/>
  <c r="Z1117" i="9"/>
  <c r="AA1117" i="9"/>
  <c r="Z1118" i="9"/>
  <c r="AA1118" i="9"/>
  <c r="Z1119" i="9"/>
  <c r="AA1119" i="9"/>
  <c r="Z1120" i="9"/>
  <c r="AA1120" i="9"/>
  <c r="Z1121" i="9"/>
  <c r="AA1121" i="9"/>
  <c r="Z1122" i="9"/>
  <c r="AA1122" i="9"/>
  <c r="Z1123" i="9"/>
  <c r="AA1123" i="9"/>
  <c r="Z1111" i="9"/>
  <c r="AA1111" i="9"/>
  <c r="Z1124" i="9"/>
  <c r="AA1124" i="9"/>
  <c r="Z1125" i="9"/>
  <c r="AA1125" i="9"/>
  <c r="Z1126" i="9"/>
  <c r="AA1126" i="9"/>
  <c r="Z1127" i="9"/>
  <c r="AA1127" i="9"/>
  <c r="Z1128" i="9"/>
  <c r="AA1128" i="9"/>
  <c r="Z1129" i="9"/>
  <c r="AA1129" i="9"/>
  <c r="Z1130" i="9"/>
  <c r="AA1130" i="9"/>
  <c r="Z1131" i="9"/>
  <c r="AA1131" i="9"/>
  <c r="Z1132" i="9"/>
  <c r="AA1132" i="9"/>
  <c r="Z1133" i="9"/>
  <c r="AA1133" i="9"/>
  <c r="Z1134" i="9"/>
  <c r="AA1134" i="9"/>
  <c r="Z1135" i="9"/>
  <c r="AA1135" i="9"/>
  <c r="Z1136" i="9"/>
  <c r="AA1136" i="9"/>
  <c r="Z1137" i="9"/>
  <c r="AA1137" i="9"/>
  <c r="Z1138" i="9"/>
  <c r="AA1138" i="9"/>
  <c r="Z1139" i="9"/>
  <c r="AA1139" i="9"/>
  <c r="Z1140" i="9"/>
  <c r="AA1140" i="9"/>
  <c r="Z1141" i="9"/>
  <c r="AA1141" i="9"/>
  <c r="Z1142" i="9"/>
  <c r="AA1142" i="9"/>
  <c r="Z1143" i="9"/>
  <c r="AA1143" i="9"/>
  <c r="Z1144" i="9"/>
  <c r="AA1144" i="9"/>
  <c r="Z1145" i="9"/>
  <c r="AA1145" i="9"/>
  <c r="Z1146" i="9"/>
  <c r="AA1146" i="9"/>
  <c r="Z1147" i="9"/>
  <c r="AA1147" i="9"/>
  <c r="Z1148" i="9"/>
  <c r="AA1148" i="9"/>
  <c r="Z1149" i="9"/>
  <c r="AA1149" i="9"/>
  <c r="Z1150" i="9"/>
  <c r="AA1150" i="9"/>
  <c r="Z1151" i="9"/>
  <c r="AA1151" i="9"/>
  <c r="Z1153" i="9"/>
  <c r="AA1153" i="9"/>
  <c r="Z1154" i="9"/>
  <c r="AA1154" i="9"/>
  <c r="Z1155" i="9"/>
  <c r="AA1155" i="9"/>
  <c r="Z1156" i="9"/>
  <c r="AA1156" i="9"/>
  <c r="Z1157" i="9"/>
  <c r="AA1157" i="9"/>
  <c r="Z1158" i="9"/>
  <c r="AA1158" i="9"/>
  <c r="Z1159" i="9"/>
  <c r="AA1159" i="9"/>
  <c r="Z1160" i="9"/>
  <c r="AA1160" i="9"/>
  <c r="Z1161" i="9"/>
  <c r="AA1161" i="9"/>
  <c r="Z1162" i="9"/>
  <c r="AA1162" i="9"/>
  <c r="Z1163" i="9"/>
  <c r="AA1163" i="9"/>
  <c r="Z1164" i="9"/>
  <c r="AA1164" i="9"/>
  <c r="Z1165" i="9"/>
  <c r="AA1165" i="9"/>
  <c r="Z1166" i="9"/>
  <c r="AA1166" i="9"/>
  <c r="Z1152" i="9"/>
  <c r="AA1152" i="9"/>
  <c r="Z1167" i="9"/>
  <c r="AA1167" i="9"/>
  <c r="Z1168" i="9"/>
  <c r="AA1168" i="9"/>
  <c r="Z1169" i="9"/>
  <c r="AA1169" i="9"/>
  <c r="Z1170" i="9"/>
  <c r="AA1170" i="9"/>
  <c r="Z1171" i="9"/>
  <c r="AA1171" i="9"/>
  <c r="Z1172" i="9"/>
  <c r="AA1172" i="9"/>
  <c r="Z1173" i="9"/>
  <c r="AA1173" i="9"/>
  <c r="Z1174" i="9"/>
  <c r="AA1174" i="9"/>
  <c r="Z1175" i="9"/>
  <c r="AA1175" i="9"/>
  <c r="Z1176" i="9"/>
  <c r="AA1176" i="9"/>
  <c r="Z1177" i="9"/>
  <c r="AA1177" i="9"/>
  <c r="Z1178" i="9"/>
  <c r="AA1178" i="9"/>
  <c r="Z1179" i="9"/>
  <c r="AA1179" i="9"/>
  <c r="Z1180" i="9"/>
  <c r="AA1180" i="9"/>
  <c r="Z1181" i="9"/>
  <c r="AA1181" i="9"/>
  <c r="Z1182" i="9"/>
  <c r="AA1182" i="9"/>
  <c r="Z1183" i="9"/>
  <c r="AA1183" i="9"/>
  <c r="Z1184" i="9"/>
  <c r="AA1184" i="9"/>
  <c r="Z1185" i="9"/>
  <c r="AA1185" i="9"/>
  <c r="Z1186" i="9"/>
  <c r="AA1186" i="9"/>
  <c r="Z1187" i="9"/>
  <c r="AA1187" i="9"/>
  <c r="Z1188" i="9"/>
  <c r="AA1188" i="9"/>
  <c r="Z1189" i="9"/>
  <c r="AA1189" i="9"/>
  <c r="Z1190" i="9"/>
  <c r="AA1190" i="9"/>
  <c r="Z1191" i="9"/>
  <c r="AA1191" i="9"/>
  <c r="Z1192" i="9"/>
  <c r="AA1192" i="9"/>
  <c r="Z1193" i="9"/>
  <c r="AA1193" i="9"/>
  <c r="Z1194" i="9"/>
  <c r="AA1194" i="9"/>
  <c r="Z1195" i="9"/>
  <c r="AA1195" i="9"/>
  <c r="Z1196" i="9"/>
  <c r="AA1196" i="9"/>
  <c r="Z1197" i="9"/>
  <c r="AA1197" i="9"/>
  <c r="Z1198" i="9"/>
  <c r="AA1198" i="9"/>
  <c r="Z1200" i="9"/>
  <c r="AA1200" i="9"/>
  <c r="Z1201" i="9"/>
  <c r="AA1201" i="9"/>
  <c r="Z1202" i="9"/>
  <c r="AA1202" i="9"/>
  <c r="Z1204" i="9"/>
  <c r="AA1204" i="9"/>
  <c r="Z1205" i="9"/>
  <c r="AA1205" i="9"/>
  <c r="Z1206" i="9"/>
  <c r="AA1206" i="9"/>
  <c r="Z1207" i="9"/>
  <c r="AA1207" i="9"/>
  <c r="Z1208" i="9"/>
  <c r="AA1208" i="9"/>
  <c r="Z1209" i="9"/>
  <c r="AA1209" i="9"/>
  <c r="Z1210" i="9"/>
  <c r="AA1210" i="9"/>
  <c r="Z1211" i="9"/>
  <c r="AA1211" i="9"/>
  <c r="Z1212" i="9"/>
  <c r="AA1212" i="9"/>
  <c r="Z1213" i="9"/>
  <c r="AA1213" i="9"/>
  <c r="Z1214" i="9"/>
  <c r="AA1214" i="9"/>
  <c r="Z1215" i="9"/>
  <c r="AA1215" i="9"/>
  <c r="Z1216" i="9"/>
  <c r="AA1216" i="9"/>
  <c r="Z1217" i="9"/>
  <c r="AA1217" i="9"/>
  <c r="Z1199" i="9"/>
  <c r="AA1199" i="9"/>
  <c r="Z1218" i="9"/>
  <c r="AA1218" i="9"/>
  <c r="Z1219" i="9"/>
  <c r="AA1219" i="9"/>
  <c r="Z1220" i="9"/>
  <c r="AA1220" i="9"/>
  <c r="Z1221" i="9"/>
  <c r="AA1221" i="9"/>
  <c r="Z1222" i="9"/>
  <c r="AA1222" i="9"/>
  <c r="Z1223" i="9"/>
  <c r="AA1223" i="9"/>
  <c r="Z1224" i="9"/>
  <c r="AA1224" i="9"/>
  <c r="Z1225" i="9"/>
  <c r="AA1225" i="9"/>
  <c r="Z1226" i="9"/>
  <c r="AA1226" i="9"/>
  <c r="Z1227" i="9"/>
  <c r="AA1227" i="9"/>
  <c r="Z1228" i="9"/>
  <c r="AA1228" i="9"/>
  <c r="Z1229" i="9"/>
  <c r="AA1229" i="9"/>
  <c r="Z1230" i="9"/>
  <c r="AA1230" i="9"/>
  <c r="Z1231" i="9"/>
  <c r="AA1231" i="9"/>
  <c r="Z1232" i="9"/>
  <c r="AA1232" i="9"/>
  <c r="Z1233" i="9"/>
  <c r="AA1233" i="9"/>
  <c r="Z1234" i="9"/>
  <c r="AA1234" i="9"/>
  <c r="Z1235" i="9"/>
  <c r="AA1235" i="9"/>
  <c r="Z1236" i="9"/>
  <c r="AA1236" i="9"/>
  <c r="Z1237" i="9"/>
  <c r="AA1237" i="9"/>
  <c r="Z1238" i="9"/>
  <c r="AA1238" i="9"/>
  <c r="Z1239" i="9"/>
  <c r="AA1239" i="9"/>
  <c r="Z1240" i="9"/>
  <c r="AA1240" i="9"/>
  <c r="Z1241" i="9"/>
  <c r="AA1241" i="9"/>
  <c r="Z1242" i="9"/>
  <c r="AA1242" i="9"/>
  <c r="Z1243" i="9"/>
  <c r="AA1243" i="9"/>
  <c r="Z1244" i="9"/>
  <c r="AA1244" i="9"/>
  <c r="Z1246" i="9"/>
  <c r="AA1246" i="9"/>
  <c r="Z1248" i="9"/>
  <c r="AA1248" i="9"/>
  <c r="Z1249" i="9"/>
  <c r="AA1249" i="9"/>
  <c r="Z1250" i="9"/>
  <c r="AA1250" i="9"/>
  <c r="Z1251" i="9"/>
  <c r="AA1251" i="9"/>
  <c r="Z1252" i="9"/>
  <c r="AA1252" i="9"/>
  <c r="Z1253" i="9"/>
  <c r="AA1253" i="9"/>
  <c r="Z1254" i="9"/>
  <c r="AA1254" i="9"/>
  <c r="Z1255" i="9"/>
  <c r="AA1255" i="9"/>
  <c r="Z1256" i="9"/>
  <c r="AA1256" i="9"/>
  <c r="Z1257" i="9"/>
  <c r="AA1257" i="9"/>
  <c r="Z1258" i="9"/>
  <c r="AA1258" i="9"/>
  <c r="Z1259" i="9"/>
  <c r="AA1259" i="9"/>
  <c r="Z1260" i="9"/>
  <c r="AA1260" i="9"/>
  <c r="Z1261" i="9"/>
  <c r="AA1261" i="9"/>
  <c r="Z1247" i="9"/>
  <c r="AA1247" i="9"/>
  <c r="Z1262" i="9"/>
  <c r="AA1262" i="9"/>
  <c r="Z1245" i="9"/>
  <c r="AA1245" i="9"/>
  <c r="Z1263" i="9"/>
  <c r="AA1263" i="9"/>
  <c r="Z1264" i="9"/>
  <c r="AA1264" i="9"/>
  <c r="Z1265" i="9"/>
  <c r="AA1265" i="9"/>
  <c r="Z1266" i="9"/>
  <c r="AA1266" i="9"/>
  <c r="Z1267" i="9"/>
  <c r="AA1267" i="9"/>
  <c r="Z1268" i="9"/>
  <c r="AA1268" i="9"/>
  <c r="Z1269" i="9"/>
  <c r="AA1269" i="9"/>
  <c r="Z1270" i="9"/>
  <c r="AA1270" i="9"/>
  <c r="Z1271" i="9"/>
  <c r="AA1271" i="9"/>
  <c r="Z1272" i="9"/>
  <c r="AA1272" i="9"/>
  <c r="Z1273" i="9"/>
  <c r="AA1273" i="9"/>
  <c r="Z1274" i="9"/>
  <c r="AA1274" i="9"/>
  <c r="Z1275" i="9"/>
  <c r="AA1275" i="9"/>
  <c r="Z1276" i="9"/>
  <c r="AA1276" i="9"/>
  <c r="Z1277" i="9"/>
  <c r="AA1277" i="9"/>
  <c r="Z1278" i="9"/>
  <c r="AA1278" i="9"/>
  <c r="Z1279" i="9"/>
  <c r="AA1279" i="9"/>
  <c r="Z1280" i="9"/>
  <c r="AA1280" i="9"/>
  <c r="Z1281" i="9"/>
  <c r="AA1281" i="9"/>
  <c r="Z1282" i="9"/>
  <c r="AA1282" i="9"/>
  <c r="Z1283" i="9"/>
  <c r="AA1283" i="9"/>
  <c r="Z1284" i="9"/>
  <c r="AA1284" i="9"/>
  <c r="Z1285" i="9"/>
  <c r="AA1285" i="9"/>
  <c r="Z1286" i="9"/>
  <c r="AA1286" i="9"/>
  <c r="Z1287" i="9"/>
  <c r="AA1287" i="9"/>
  <c r="Z1288" i="9"/>
  <c r="AA1288" i="9"/>
  <c r="Z1289" i="9"/>
  <c r="AA1289" i="9"/>
  <c r="Z1290" i="9"/>
  <c r="AA1290" i="9"/>
  <c r="Z1291" i="9"/>
  <c r="AA1291" i="9"/>
  <c r="Z1292" i="9"/>
  <c r="AA1292" i="9"/>
  <c r="Z1293" i="9"/>
  <c r="AA1293" i="9"/>
  <c r="Z1294" i="9"/>
  <c r="AA1294" i="9"/>
  <c r="Z1295" i="9"/>
  <c r="AA1295" i="9"/>
  <c r="Z1296" i="9"/>
  <c r="AA1296" i="9"/>
  <c r="Z1297" i="9"/>
  <c r="AA1297" i="9"/>
  <c r="Z1298" i="9"/>
  <c r="AA1298" i="9"/>
  <c r="Z1299" i="9"/>
  <c r="AA1299" i="9"/>
  <c r="Z1300" i="9"/>
  <c r="AA1300" i="9"/>
  <c r="Z1301" i="9"/>
  <c r="AA1301" i="9"/>
  <c r="Z1302" i="9"/>
  <c r="AA1302" i="9"/>
  <c r="Z1303" i="9"/>
  <c r="AA1303" i="9"/>
  <c r="Z1304" i="9"/>
  <c r="AA1304" i="9"/>
  <c r="Z1305" i="9"/>
  <c r="AA1305" i="9"/>
  <c r="Z1306" i="9"/>
  <c r="AA1306" i="9"/>
  <c r="Z1308" i="9"/>
  <c r="AA1308" i="9"/>
  <c r="Z1309" i="9"/>
  <c r="AA1309" i="9"/>
  <c r="Z1310" i="9"/>
  <c r="AA1310" i="9"/>
  <c r="Z1311" i="9"/>
  <c r="AA1311" i="9"/>
  <c r="Z1312" i="9"/>
  <c r="AA1312" i="9"/>
  <c r="Z1313" i="9"/>
  <c r="AA1313" i="9"/>
  <c r="Z1314" i="9"/>
  <c r="AA1314" i="9"/>
  <c r="Z1315" i="9"/>
  <c r="AA1315" i="9"/>
  <c r="Z1316" i="9"/>
  <c r="AA1316" i="9"/>
  <c r="Z1317" i="9"/>
  <c r="AA1317" i="9"/>
  <c r="Z1318" i="9"/>
  <c r="AA1318" i="9"/>
  <c r="Z1319" i="9"/>
  <c r="AA1319" i="9"/>
  <c r="Z1320" i="9"/>
  <c r="AA1320" i="9"/>
  <c r="Z1321" i="9"/>
  <c r="AA1321" i="9"/>
  <c r="Z1322" i="9"/>
  <c r="AA1322" i="9"/>
  <c r="Z1323" i="9"/>
  <c r="AA1323" i="9"/>
  <c r="Z1324" i="9"/>
  <c r="AA1324" i="9"/>
  <c r="Z1325" i="9"/>
  <c r="AA1325" i="9"/>
  <c r="Z1326" i="9"/>
  <c r="AA1326" i="9"/>
  <c r="Z1328" i="9"/>
  <c r="AA1328" i="9"/>
  <c r="Z1329" i="9"/>
  <c r="AA1329" i="9"/>
  <c r="Z1330" i="9"/>
  <c r="AA1330" i="9"/>
  <c r="Z1331" i="9"/>
  <c r="AA1331" i="9"/>
  <c r="Z1334" i="9"/>
  <c r="AA1334" i="9"/>
  <c r="Z1335" i="9"/>
  <c r="AA1335" i="9"/>
  <c r="Z1336" i="9"/>
  <c r="AA1336" i="9"/>
  <c r="Z1337" i="9"/>
  <c r="AA1337" i="9"/>
  <c r="Z1338" i="9"/>
  <c r="AA1338" i="9"/>
  <c r="Z1339" i="9"/>
  <c r="AA1339" i="9"/>
  <c r="Z1340" i="9"/>
  <c r="AA1340" i="9"/>
  <c r="Z1341" i="9"/>
  <c r="AA1341" i="9"/>
  <c r="Z1342" i="9"/>
  <c r="AA1342" i="9"/>
  <c r="Z1343" i="9"/>
  <c r="AA1343" i="9"/>
  <c r="Z1344" i="9"/>
  <c r="AA1344" i="9"/>
  <c r="Z1345" i="9"/>
  <c r="AA1345" i="9"/>
  <c r="Z1346" i="9"/>
  <c r="AA1346" i="9"/>
  <c r="Z1347" i="9"/>
  <c r="AA1347" i="9"/>
  <c r="Z1348" i="9"/>
  <c r="AA1348" i="9"/>
  <c r="Z1349" i="9"/>
  <c r="AA1349" i="9"/>
  <c r="Z1350" i="9"/>
  <c r="AA1350" i="9"/>
  <c r="Z1333" i="9"/>
  <c r="AA1333" i="9"/>
  <c r="Z1351" i="9"/>
  <c r="AA1351" i="9"/>
  <c r="Z1352" i="9"/>
  <c r="AA1352" i="9"/>
  <c r="Z1353" i="9"/>
  <c r="AA1353" i="9"/>
  <c r="Z1354" i="9"/>
  <c r="AA1354" i="9"/>
  <c r="Z1356" i="9"/>
  <c r="AA1356" i="9"/>
  <c r="Z1357" i="9"/>
  <c r="AA1357" i="9"/>
  <c r="Z1358" i="9"/>
  <c r="AA1358" i="9"/>
  <c r="Z1359" i="9"/>
  <c r="AA1359" i="9"/>
  <c r="Z1360" i="9"/>
  <c r="AA1360" i="9"/>
  <c r="Z1361" i="9"/>
  <c r="AA1361" i="9"/>
  <c r="Z1362" i="9"/>
  <c r="AA1362" i="9"/>
  <c r="Z1363" i="9"/>
  <c r="AA1363" i="9"/>
  <c r="Z1364" i="9"/>
  <c r="AA1364" i="9"/>
  <c r="Z1365" i="9"/>
  <c r="AA1365" i="9"/>
  <c r="Z1366" i="9"/>
  <c r="AA1366" i="9"/>
  <c r="Z1367" i="9"/>
  <c r="AA1367" i="9"/>
  <c r="Z1368" i="9"/>
  <c r="AA1368" i="9"/>
  <c r="Z1369" i="9"/>
  <c r="AA1369" i="9"/>
  <c r="Z1370" i="9"/>
  <c r="AA1370" i="9"/>
  <c r="Z1372" i="9"/>
  <c r="AA1372" i="9"/>
  <c r="Z1373" i="9"/>
  <c r="AA1373" i="9"/>
  <c r="Z1374" i="9"/>
  <c r="AA1374" i="9"/>
  <c r="Z1375" i="9"/>
  <c r="AA1375" i="9"/>
  <c r="Z1377" i="9"/>
  <c r="AA1377" i="9"/>
  <c r="Z1378" i="9"/>
  <c r="AA1378" i="9"/>
  <c r="Z1379" i="9"/>
  <c r="AA1379" i="9"/>
  <c r="Z1381" i="9"/>
  <c r="AA1381" i="9"/>
  <c r="Z1382" i="9"/>
  <c r="AA1382" i="9"/>
  <c r="Z1383" i="9"/>
  <c r="AA1383" i="9"/>
  <c r="Z1384" i="9"/>
  <c r="AA1384" i="9"/>
  <c r="Z1385" i="9"/>
  <c r="AA1385" i="9"/>
  <c r="Z1386" i="9"/>
  <c r="AA1386" i="9"/>
  <c r="Z1387" i="9"/>
  <c r="AA1387" i="9"/>
  <c r="Z1388" i="9"/>
  <c r="AA1388" i="9"/>
  <c r="Z1389" i="9"/>
  <c r="AA1389" i="9"/>
  <c r="Z1390" i="9"/>
  <c r="AA1390" i="9"/>
  <c r="Z1391" i="9"/>
  <c r="AA1391" i="9"/>
  <c r="Z1380" i="9"/>
  <c r="AA1380" i="9"/>
  <c r="Z1393" i="9"/>
  <c r="AA1393" i="9"/>
  <c r="Z1376" i="9"/>
  <c r="AA1376" i="9"/>
  <c r="Z1394" i="9"/>
  <c r="AA1394" i="9"/>
  <c r="I288" i="3"/>
  <c r="K288" i="3" s="1"/>
  <c r="I289" i="3"/>
  <c r="K289" i="3" s="1"/>
  <c r="I290" i="3"/>
  <c r="K290" i="3" s="1"/>
  <c r="I291" i="3"/>
  <c r="K291" i="3" s="1"/>
  <c r="I292" i="3"/>
  <c r="K292" i="3" s="1"/>
  <c r="I293" i="3"/>
  <c r="K293" i="3" s="1"/>
  <c r="I294" i="3"/>
  <c r="K294" i="3" s="1"/>
  <c r="I295" i="3"/>
  <c r="K295" i="3" s="1"/>
  <c r="I296" i="3"/>
  <c r="K296" i="3" s="1"/>
  <c r="I297" i="3"/>
  <c r="K297" i="3" s="1"/>
  <c r="I298" i="3"/>
  <c r="K298" i="3" s="1"/>
  <c r="I299" i="3"/>
  <c r="K299" i="3" s="1"/>
  <c r="I300" i="3"/>
  <c r="K300" i="3" s="1"/>
  <c r="I301" i="3"/>
  <c r="K301" i="3" s="1"/>
  <c r="I302" i="3"/>
  <c r="K302" i="3" s="1"/>
  <c r="I303" i="3"/>
  <c r="K303" i="3" s="1"/>
  <c r="I304" i="3"/>
  <c r="K304" i="3" s="1"/>
  <c r="I305" i="3"/>
  <c r="K305" i="3" s="1"/>
  <c r="I306" i="3"/>
  <c r="K306" i="3" s="1"/>
  <c r="I307" i="3"/>
  <c r="K307" i="3" s="1"/>
  <c r="AB171" i="9" l="1"/>
  <c r="AB137" i="9"/>
  <c r="AB129" i="9"/>
  <c r="AB121" i="9"/>
  <c r="AB89" i="9"/>
  <c r="AB51" i="9"/>
  <c r="AB49" i="9"/>
  <c r="AB47" i="9"/>
  <c r="AB45" i="9"/>
  <c r="AB39" i="9"/>
  <c r="AB37" i="9"/>
  <c r="AB35" i="9"/>
  <c r="AB33" i="9"/>
  <c r="AB31" i="9"/>
  <c r="AB29" i="9"/>
  <c r="AB19" i="9"/>
  <c r="AB17" i="9"/>
  <c r="AB13" i="9"/>
  <c r="AB11" i="9"/>
  <c r="AB9" i="9"/>
  <c r="AB1203" i="9"/>
  <c r="AC1203" i="9" s="1"/>
  <c r="AB5" i="9"/>
  <c r="AB261" i="9"/>
  <c r="AB255" i="9"/>
  <c r="AB210" i="9"/>
  <c r="AB196" i="9"/>
  <c r="AB145" i="9"/>
  <c r="AB136" i="9"/>
  <c r="AB120" i="9"/>
  <c r="AB96" i="9"/>
  <c r="AB52" i="9"/>
  <c r="AB42" i="9"/>
  <c r="AB40" i="9"/>
  <c r="AB38" i="9"/>
  <c r="AB36" i="9"/>
  <c r="AB30" i="9"/>
  <c r="AB28" i="9"/>
  <c r="AB26" i="9"/>
  <c r="AB24" i="9"/>
  <c r="AB22" i="9"/>
  <c r="AB20" i="9"/>
  <c r="AB14" i="9"/>
  <c r="AB12" i="9"/>
  <c r="AB8" i="9"/>
  <c r="AB6" i="9"/>
  <c r="AB961" i="9"/>
  <c r="AB298" i="9"/>
  <c r="AB290" i="9"/>
  <c r="AB286" i="9"/>
  <c r="AB284" i="9"/>
  <c r="AB272" i="9"/>
  <c r="AB231" i="9"/>
  <c r="AB227" i="9"/>
  <c r="AB215" i="9"/>
  <c r="AB175" i="9"/>
  <c r="AB1376" i="9"/>
  <c r="AB1379" i="9"/>
  <c r="AB1374" i="9"/>
  <c r="AB1369" i="9"/>
  <c r="AB1365" i="9"/>
  <c r="AB1361" i="9"/>
  <c r="AB1357" i="9"/>
  <c r="AB1352" i="9"/>
  <c r="AB1347" i="9"/>
  <c r="AB1343" i="9"/>
  <c r="AB1339" i="9"/>
  <c r="AB1335" i="9"/>
  <c r="AB1329" i="9"/>
  <c r="AB1320" i="9"/>
  <c r="AB1394" i="9"/>
  <c r="AB1380" i="9"/>
  <c r="AB1390" i="9"/>
  <c r="AB1388" i="9"/>
  <c r="AB1386" i="9"/>
  <c r="AB1384" i="9"/>
  <c r="AB1382" i="9"/>
  <c r="AB1377" i="9"/>
  <c r="AB1372" i="9"/>
  <c r="AB1367" i="9"/>
  <c r="AB1363" i="9"/>
  <c r="AB1359" i="9"/>
  <c r="AB1354" i="9"/>
  <c r="AB1333" i="9"/>
  <c r="AB1349" i="9"/>
  <c r="AB1345" i="9"/>
  <c r="AB1341" i="9"/>
  <c r="AB1337" i="9"/>
  <c r="AB1331" i="9"/>
  <c r="AB1326" i="9"/>
  <c r="AB1324" i="9"/>
  <c r="AB1024" i="9"/>
  <c r="AB1001" i="9"/>
  <c r="AB997" i="9"/>
  <c r="AB1033" i="9"/>
  <c r="AB993" i="9"/>
  <c r="AB977" i="9"/>
  <c r="AB968" i="9"/>
  <c r="AB451" i="9"/>
  <c r="AB301" i="9"/>
  <c r="AB299" i="9"/>
  <c r="AB289" i="9"/>
  <c r="AB287" i="9"/>
  <c r="AB285" i="9"/>
  <c r="AB283" i="9"/>
  <c r="AB263" i="9"/>
  <c r="AB959" i="9"/>
  <c r="AC959" i="9" s="1"/>
  <c r="AB878" i="9"/>
  <c r="AB874" i="9"/>
  <c r="AB870" i="9"/>
  <c r="AB866" i="9"/>
  <c r="AB852" i="9"/>
  <c r="AB844" i="9"/>
  <c r="AB840" i="9"/>
  <c r="AB836" i="9"/>
  <c r="AB828" i="9"/>
  <c r="AB818" i="9"/>
  <c r="AB812" i="9"/>
  <c r="AB804" i="9"/>
  <c r="AB780" i="9"/>
  <c r="AC780" i="9" s="1"/>
  <c r="AB776" i="9"/>
  <c r="AB768" i="9"/>
  <c r="AB760" i="9"/>
  <c r="AB752" i="9"/>
  <c r="AB744" i="9"/>
  <c r="AB736" i="9"/>
  <c r="AB732" i="9"/>
  <c r="AB728" i="9"/>
  <c r="AB724" i="9"/>
  <c r="AB720" i="9"/>
  <c r="AC720" i="9" s="1"/>
  <c r="AB716" i="9"/>
  <c r="AB712" i="9"/>
  <c r="AB708" i="9"/>
  <c r="AB704" i="9"/>
  <c r="AB700" i="9"/>
  <c r="AB696" i="9"/>
  <c r="AB692" i="9"/>
  <c r="AB672" i="9"/>
  <c r="AB668" i="9"/>
  <c r="AB664" i="9"/>
  <c r="AB660" i="9"/>
  <c r="AB656" i="9"/>
  <c r="AB648" i="9"/>
  <c r="AB644" i="9"/>
  <c r="AB634" i="9"/>
  <c r="AB630" i="9"/>
  <c r="AB626" i="9"/>
  <c r="AB294" i="9"/>
  <c r="AB164" i="9"/>
  <c r="AB114" i="9"/>
  <c r="AB1304" i="9"/>
  <c r="AB1282" i="9"/>
  <c r="AB1272" i="9"/>
  <c r="AB1240" i="9"/>
  <c r="AB1211" i="9"/>
  <c r="AB1207" i="9"/>
  <c r="AB1195" i="9"/>
  <c r="AB1193" i="9"/>
  <c r="AB1189" i="9"/>
  <c r="AB1181" i="9"/>
  <c r="AB1166" i="9"/>
  <c r="AB1164" i="9"/>
  <c r="AB1162" i="9"/>
  <c r="AB1158" i="9"/>
  <c r="AB1154" i="9"/>
  <c r="AB1149" i="9"/>
  <c r="AB1139" i="9"/>
  <c r="AB1133" i="9"/>
  <c r="AB1131" i="9"/>
  <c r="AB1122" i="9"/>
  <c r="AB1118" i="9"/>
  <c r="AB1107" i="9"/>
  <c r="AB1101" i="9"/>
  <c r="AB1099" i="9"/>
  <c r="AB1084" i="9"/>
  <c r="AB1042" i="9"/>
  <c r="AB1025" i="9"/>
  <c r="AB239" i="9"/>
  <c r="AB199" i="9"/>
  <c r="AB876" i="9"/>
  <c r="AB868" i="9"/>
  <c r="AB862" i="9"/>
  <c r="AB858" i="9"/>
  <c r="AB854" i="9"/>
  <c r="AB846" i="9"/>
  <c r="AB838" i="9"/>
  <c r="AB826" i="9"/>
  <c r="AB820" i="9"/>
  <c r="AB816" i="9"/>
  <c r="AB808" i="9"/>
  <c r="AB796" i="9"/>
  <c r="AB794" i="9"/>
  <c r="AB792" i="9"/>
  <c r="AB788" i="9"/>
  <c r="AB784" i="9"/>
  <c r="AB772" i="9"/>
  <c r="AB764" i="9"/>
  <c r="AB756" i="9"/>
  <c r="AB748" i="9"/>
  <c r="AB740" i="9"/>
  <c r="AB652" i="9"/>
  <c r="AB638" i="9"/>
  <c r="AB162" i="9"/>
  <c r="AB98" i="9"/>
  <c r="AB1319" i="9"/>
  <c r="AB1306" i="9"/>
  <c r="AB1280" i="9"/>
  <c r="AB1274" i="9"/>
  <c r="AB1242" i="9"/>
  <c r="AB1209" i="9"/>
  <c r="AB1205" i="9"/>
  <c r="AB1197" i="9"/>
  <c r="AB1185" i="9"/>
  <c r="AB1173" i="9"/>
  <c r="AB1171" i="9"/>
  <c r="AB1141" i="9"/>
  <c r="AB1129" i="9"/>
  <c r="AB1125" i="9"/>
  <c r="AB1109" i="9"/>
  <c r="AB1097" i="9"/>
  <c r="AB1093" i="9"/>
  <c r="AB1089" i="9"/>
  <c r="AB1081" i="9"/>
  <c r="AB1077" i="9"/>
  <c r="AB1069" i="9"/>
  <c r="AB1067" i="9"/>
  <c r="AB1060" i="9"/>
  <c r="AB1058" i="9"/>
  <c r="AB1056" i="9"/>
  <c r="AB209" i="9"/>
  <c r="AB203" i="9"/>
  <c r="AB1038" i="9"/>
  <c r="AB1026" i="9"/>
  <c r="AB1013" i="9"/>
  <c r="AB1005" i="9"/>
  <c r="AB982" i="9"/>
  <c r="AB969" i="9"/>
  <c r="AB965" i="9"/>
  <c r="AB883" i="9"/>
  <c r="AB881" i="9"/>
  <c r="AB879" i="9"/>
  <c r="AB873" i="9"/>
  <c r="AB871" i="9"/>
  <c r="AB857" i="9"/>
  <c r="AB851" i="9"/>
  <c r="AB849" i="9"/>
  <c r="AB847" i="9"/>
  <c r="AB845" i="9"/>
  <c r="AB843" i="9"/>
  <c r="AB841" i="9"/>
  <c r="AB833" i="9"/>
  <c r="AB831" i="9"/>
  <c r="AB825" i="9"/>
  <c r="AB823" i="9"/>
  <c r="AB817" i="9"/>
  <c r="AB815" i="9"/>
  <c r="AB813" i="9"/>
  <c r="AB811" i="9"/>
  <c r="AB809" i="9"/>
  <c r="AB807" i="9"/>
  <c r="AC807" i="9" s="1"/>
  <c r="AB805" i="9"/>
  <c r="AB803" i="9"/>
  <c r="AB801" i="9"/>
  <c r="AB799" i="9"/>
  <c r="AB793" i="9"/>
  <c r="AB791" i="9"/>
  <c r="AB789" i="9"/>
  <c r="AB787" i="9"/>
  <c r="AB785" i="9"/>
  <c r="AB783" i="9"/>
  <c r="AB781" i="9"/>
  <c r="AB779" i="9"/>
  <c r="AB777" i="9"/>
  <c r="AB775" i="9"/>
  <c r="AB773" i="9"/>
  <c r="AB771" i="9"/>
  <c r="AB769" i="9"/>
  <c r="AB767" i="9"/>
  <c r="AB765" i="9"/>
  <c r="AB763" i="9"/>
  <c r="AB761" i="9"/>
  <c r="AB759" i="9"/>
  <c r="AB757" i="9"/>
  <c r="AB755" i="9"/>
  <c r="AB753" i="9"/>
  <c r="AB751" i="9"/>
  <c r="AB749" i="9"/>
  <c r="AB747" i="9"/>
  <c r="AB745" i="9"/>
  <c r="AB743" i="9"/>
  <c r="AB741" i="9"/>
  <c r="AB739" i="9"/>
  <c r="AB737" i="9"/>
  <c r="AB735" i="9"/>
  <c r="AB733" i="9"/>
  <c r="AB731" i="9"/>
  <c r="AB729" i="9"/>
  <c r="AB727" i="9"/>
  <c r="AB725" i="9"/>
  <c r="AB723" i="9"/>
  <c r="AB721" i="9"/>
  <c r="AB719" i="9"/>
  <c r="AB717" i="9"/>
  <c r="AB715" i="9"/>
  <c r="AB713" i="9"/>
  <c r="AB711" i="9"/>
  <c r="AB709" i="9"/>
  <c r="AB707" i="9"/>
  <c r="AB705" i="9"/>
  <c r="AB703" i="9"/>
  <c r="AB701" i="9"/>
  <c r="AB699" i="9"/>
  <c r="AB697" i="9"/>
  <c r="AB695" i="9"/>
  <c r="AB693" i="9"/>
  <c r="AB691" i="9"/>
  <c r="AB689" i="9"/>
  <c r="AC689" i="9" s="1"/>
  <c r="AB687" i="9"/>
  <c r="AB685" i="9"/>
  <c r="AB683" i="9"/>
  <c r="AB681" i="9"/>
  <c r="AB679" i="9"/>
  <c r="AB677" i="9"/>
  <c r="AB675" i="9"/>
  <c r="AB194" i="9"/>
  <c r="AC194" i="9" s="1"/>
  <c r="AB178" i="9"/>
  <c r="AB174" i="9"/>
  <c r="AB167" i="9"/>
  <c r="AB161" i="9"/>
  <c r="AB117" i="9"/>
  <c r="AB113" i="9"/>
  <c r="AB101" i="9"/>
  <c r="AB1321" i="9"/>
  <c r="AB1040" i="9"/>
  <c r="AB1034" i="9"/>
  <c r="AB1030" i="9"/>
  <c r="AB1017" i="9"/>
  <c r="AB1010" i="9"/>
  <c r="AB1000" i="9"/>
  <c r="AB992" i="9"/>
  <c r="AB986" i="9"/>
  <c r="AB975" i="9"/>
  <c r="AB1027" i="9"/>
  <c r="AB1016" i="9"/>
  <c r="AB979" i="9"/>
  <c r="AB622" i="9"/>
  <c r="AC622" i="9" s="1"/>
  <c r="AB618" i="9"/>
  <c r="AB616" i="9"/>
  <c r="AB612" i="9"/>
  <c r="AB608" i="9"/>
  <c r="AB604" i="9"/>
  <c r="AB600" i="9"/>
  <c r="AB596" i="9"/>
  <c r="AB592" i="9"/>
  <c r="AB586" i="9"/>
  <c r="AB584" i="9"/>
  <c r="AB580" i="9"/>
  <c r="AB562" i="9"/>
  <c r="AB560" i="9"/>
  <c r="AB554" i="9"/>
  <c r="AB550" i="9"/>
  <c r="AB546" i="9"/>
  <c r="AB542" i="9"/>
  <c r="AB538" i="9"/>
  <c r="AB536" i="9"/>
  <c r="AB530" i="9"/>
  <c r="AB526" i="9"/>
  <c r="AB520" i="9"/>
  <c r="AB516" i="9"/>
  <c r="AB500" i="9"/>
  <c r="AB450" i="9"/>
  <c r="AB446" i="9"/>
  <c r="AB442" i="9"/>
  <c r="AB440" i="9"/>
  <c r="AB434" i="9"/>
  <c r="AB430" i="9"/>
  <c r="AB426" i="9"/>
  <c r="AB424" i="9"/>
  <c r="AB418" i="9"/>
  <c r="AB416" i="9"/>
  <c r="AB410" i="9"/>
  <c r="AB408" i="9"/>
  <c r="AB406" i="9"/>
  <c r="AB402" i="9"/>
  <c r="AB398" i="9"/>
  <c r="AB394" i="9"/>
  <c r="AB386" i="9"/>
  <c r="AB382" i="9"/>
  <c r="AB378" i="9"/>
  <c r="AB376" i="9"/>
  <c r="AB370" i="9"/>
  <c r="AB366" i="9"/>
  <c r="AB362" i="9"/>
  <c r="AB360" i="9"/>
  <c r="AB354" i="9"/>
  <c r="AB352" i="9"/>
  <c r="AB346" i="9"/>
  <c r="AB344" i="9"/>
  <c r="AB342" i="9"/>
  <c r="AB338" i="9"/>
  <c r="AB334" i="9"/>
  <c r="AB330" i="9"/>
  <c r="AB328" i="9"/>
  <c r="AB322" i="9"/>
  <c r="AB320" i="9"/>
  <c r="AB314" i="9"/>
  <c r="AB312" i="9"/>
  <c r="AB310" i="9"/>
  <c r="AB306" i="9"/>
  <c r="AB302" i="9"/>
  <c r="AB292" i="9"/>
  <c r="AB271" i="9"/>
  <c r="AB257" i="9"/>
  <c r="AB242" i="9"/>
  <c r="AB236" i="9"/>
  <c r="AB234" i="9"/>
  <c r="AB232" i="9"/>
  <c r="AB225" i="9"/>
  <c r="AB219" i="9"/>
  <c r="AB195" i="9"/>
  <c r="AC195" i="9" s="1"/>
  <c r="AB180" i="9"/>
  <c r="AB154" i="9"/>
  <c r="AB144" i="9"/>
  <c r="AB133" i="9"/>
  <c r="AB127" i="9"/>
  <c r="AB109" i="9"/>
  <c r="AB97" i="9"/>
  <c r="AB282" i="9"/>
  <c r="AB276" i="9"/>
  <c r="AB268" i="9"/>
  <c r="AB264" i="9"/>
  <c r="AB235" i="9"/>
  <c r="AB228" i="9"/>
  <c r="AB226" i="9"/>
  <c r="AB193" i="9"/>
  <c r="AB187" i="9"/>
  <c r="AB183" i="9"/>
  <c r="AB179" i="9"/>
  <c r="AB163" i="9"/>
  <c r="AB155" i="9"/>
  <c r="AB130" i="9"/>
  <c r="AB128" i="9"/>
  <c r="AB112" i="9"/>
  <c r="AB108" i="9"/>
  <c r="AB104" i="9"/>
  <c r="AB95" i="9"/>
  <c r="AB1312" i="9"/>
  <c r="AB1310" i="9"/>
  <c r="AB1303" i="9"/>
  <c r="AB1301" i="9"/>
  <c r="AB1299" i="9"/>
  <c r="AB1295" i="9"/>
  <c r="AB1291" i="9"/>
  <c r="AB1287" i="9"/>
  <c r="AB1279" i="9"/>
  <c r="AB1271" i="9"/>
  <c r="AB1269" i="9"/>
  <c r="AB1263" i="9"/>
  <c r="AB1261" i="9"/>
  <c r="AB1257" i="9"/>
  <c r="AB1249" i="9"/>
  <c r="AB1246" i="9"/>
  <c r="AB1239" i="9"/>
  <c r="AB1237" i="9"/>
  <c r="AB1231" i="9"/>
  <c r="AB1227" i="9"/>
  <c r="AB1223" i="9"/>
  <c r="AB1216" i="9"/>
  <c r="AB1204" i="9"/>
  <c r="AB1201" i="9"/>
  <c r="AB1194" i="9"/>
  <c r="AB1192" i="9"/>
  <c r="AB1190" i="9"/>
  <c r="AB1188" i="9"/>
  <c r="AB1186" i="9"/>
  <c r="AB1184" i="9"/>
  <c r="AB1182" i="9"/>
  <c r="AB1180" i="9"/>
  <c r="AB1178" i="9"/>
  <c r="AB1176" i="9"/>
  <c r="AB1170" i="9"/>
  <c r="AB1168" i="9"/>
  <c r="AB1163" i="9"/>
  <c r="AB1161" i="9"/>
  <c r="AB1159" i="9"/>
  <c r="AB1157" i="9"/>
  <c r="AB1155" i="9"/>
  <c r="AB1153" i="9"/>
  <c r="AB1150" i="9"/>
  <c r="AB1148" i="9"/>
  <c r="AB1146" i="9"/>
  <c r="AB1144" i="9"/>
  <c r="AB1138" i="9"/>
  <c r="AB1136" i="9"/>
  <c r="AB1130" i="9"/>
  <c r="AB1128" i="9"/>
  <c r="AB1126" i="9"/>
  <c r="AB1124" i="9"/>
  <c r="AB1123" i="9"/>
  <c r="AB1121" i="9"/>
  <c r="AB1119" i="9"/>
  <c r="AB1117" i="9"/>
  <c r="AB1115" i="9"/>
  <c r="AB1113" i="9"/>
  <c r="AB1106" i="9"/>
  <c r="AB1104" i="9"/>
  <c r="AB1098" i="9"/>
  <c r="AB1096" i="9"/>
  <c r="AB1094" i="9"/>
  <c r="AB1092" i="9"/>
  <c r="AB1090" i="9"/>
  <c r="AB1088" i="9"/>
  <c r="AB1082" i="9"/>
  <c r="AB1080" i="9"/>
  <c r="AB1078" i="9"/>
  <c r="AB1076" i="9"/>
  <c r="AB1074" i="9"/>
  <c r="AB1072" i="9"/>
  <c r="AB1066" i="9"/>
  <c r="AB1063" i="9"/>
  <c r="AB1057" i="9"/>
  <c r="AB1055" i="9"/>
  <c r="AB1049" i="9"/>
  <c r="AB1045" i="9"/>
  <c r="AB1041" i="9"/>
  <c r="AB994" i="9"/>
  <c r="AB1393" i="9"/>
  <c r="AB1391" i="9"/>
  <c r="AB1389" i="9"/>
  <c r="AB1387" i="9"/>
  <c r="AB1385" i="9"/>
  <c r="AB1383" i="9"/>
  <c r="AB1381" i="9"/>
  <c r="AB1378" i="9"/>
  <c r="AB1375" i="9"/>
  <c r="AB1373" i="9"/>
  <c r="AB1370" i="9"/>
  <c r="AB1368" i="9"/>
  <c r="AB1366" i="9"/>
  <c r="AB1364" i="9"/>
  <c r="AB1362" i="9"/>
  <c r="AB1360" i="9"/>
  <c r="AB1358" i="9"/>
  <c r="AB1356" i="9"/>
  <c r="AB1353" i="9"/>
  <c r="AB1351" i="9"/>
  <c r="AB1350" i="9"/>
  <c r="AB1348" i="9"/>
  <c r="AB1346" i="9"/>
  <c r="AB1344" i="9"/>
  <c r="AB1342" i="9"/>
  <c r="AB1340" i="9"/>
  <c r="AB1338" i="9"/>
  <c r="AB1336" i="9"/>
  <c r="AB1322" i="9"/>
  <c r="AB1037" i="9"/>
  <c r="AB1008" i="9"/>
  <c r="AB1004" i="9"/>
  <c r="AB990" i="9"/>
  <c r="AB970" i="9"/>
  <c r="AB1020" i="9"/>
  <c r="AB1009" i="9"/>
  <c r="AB976" i="9"/>
  <c r="AB967" i="9"/>
  <c r="AB882" i="9"/>
  <c r="AB673" i="9"/>
  <c r="AC673" i="9" s="1"/>
  <c r="AB671" i="9"/>
  <c r="AB669" i="9"/>
  <c r="AB667" i="9"/>
  <c r="AB665" i="9"/>
  <c r="AB663" i="9"/>
  <c r="AB661" i="9"/>
  <c r="AB659" i="9"/>
  <c r="AB657" i="9"/>
  <c r="AB655" i="9"/>
  <c r="AB653" i="9"/>
  <c r="AB651" i="9"/>
  <c r="AB649" i="9"/>
  <c r="AB647" i="9"/>
  <c r="AB645" i="9"/>
  <c r="AB643" i="9"/>
  <c r="AB617" i="9"/>
  <c r="AB615" i="9"/>
  <c r="AB613" i="9"/>
  <c r="AB611" i="9"/>
  <c r="AB609" i="9"/>
  <c r="AB607" i="9"/>
  <c r="AB605" i="9"/>
  <c r="AB603" i="9"/>
  <c r="AB601" i="9"/>
  <c r="AB599" i="9"/>
  <c r="AB597" i="9"/>
  <c r="AB595" i="9"/>
  <c r="AB593" i="9"/>
  <c r="AB591" i="9"/>
  <c r="AB585" i="9"/>
  <c r="AB583" i="9"/>
  <c r="AB581" i="9"/>
  <c r="AB579" i="9"/>
  <c r="AB561" i="9"/>
  <c r="AB559" i="9"/>
  <c r="AB541" i="9"/>
  <c r="AB539" i="9"/>
  <c r="AB525" i="9"/>
  <c r="AB523" i="9"/>
  <c r="AB517" i="9"/>
  <c r="AB515" i="9"/>
  <c r="AB501" i="9"/>
  <c r="AB499" i="9"/>
  <c r="AB453" i="9"/>
  <c r="AB447" i="9"/>
  <c r="AB445" i="9"/>
  <c r="AB443" i="9"/>
  <c r="AB441" i="9"/>
  <c r="AB439" i="9"/>
  <c r="AB437" i="9"/>
  <c r="AB435" i="9"/>
  <c r="AB433" i="9"/>
  <c r="AB431" i="9"/>
  <c r="AB429" i="9"/>
  <c r="AB427" i="9"/>
  <c r="AB425" i="9"/>
  <c r="AB423" i="9"/>
  <c r="AB421" i="9"/>
  <c r="AB415" i="9"/>
  <c r="AB413" i="9"/>
  <c r="AB407" i="9"/>
  <c r="AB405" i="9"/>
  <c r="AB399" i="9"/>
  <c r="AB397" i="9"/>
  <c r="AB395" i="9"/>
  <c r="AB393" i="9"/>
  <c r="AB391" i="9"/>
  <c r="AB389" i="9"/>
  <c r="AB383" i="9"/>
  <c r="AB381" i="9"/>
  <c r="AB273" i="9"/>
  <c r="AB269" i="9"/>
  <c r="AB260" i="9"/>
  <c r="AB258" i="9"/>
  <c r="AB240" i="9"/>
  <c r="AB238" i="9"/>
  <c r="AB300" i="9"/>
  <c r="AB293" i="9"/>
  <c r="AB291" i="9"/>
  <c r="AB274" i="9"/>
  <c r="AB252" i="9"/>
  <c r="AB248" i="9"/>
  <c r="AB243" i="9"/>
  <c r="AB233" i="9"/>
  <c r="AB222" i="9"/>
  <c r="AB218" i="9"/>
  <c r="AB211" i="9"/>
  <c r="AB207" i="9"/>
  <c r="AB190" i="9"/>
  <c r="AB186" i="9"/>
  <c r="AB177" i="9"/>
  <c r="AB158" i="9"/>
  <c r="AB151" i="9"/>
  <c r="AB146" i="9"/>
  <c r="AB141" i="9"/>
  <c r="AB125" i="9"/>
  <c r="AB111" i="9"/>
  <c r="AB105" i="9"/>
  <c r="AB92" i="9"/>
  <c r="AB4" i="9"/>
  <c r="AB1334" i="9"/>
  <c r="AB1330" i="9"/>
  <c r="AB1328" i="9"/>
  <c r="AB1325" i="9"/>
  <c r="AB1323" i="9"/>
  <c r="AB1052" i="9"/>
  <c r="AB1048" i="9"/>
  <c r="AB1007" i="9"/>
  <c r="AB989" i="9"/>
  <c r="AB985" i="9"/>
  <c r="AB978" i="9"/>
  <c r="AB973" i="9"/>
  <c r="AB962" i="9"/>
  <c r="AB960" i="9"/>
  <c r="AB956" i="9"/>
  <c r="AB688" i="9"/>
  <c r="AB684" i="9"/>
  <c r="AB680" i="9"/>
  <c r="AB676" i="9"/>
  <c r="AB379" i="9"/>
  <c r="AC379" i="9" s="1"/>
  <c r="AB377" i="9"/>
  <c r="AB375" i="9"/>
  <c r="AB373" i="9"/>
  <c r="AB371" i="9"/>
  <c r="AB369" i="9"/>
  <c r="AB367" i="9"/>
  <c r="AB365" i="9"/>
  <c r="AB363" i="9"/>
  <c r="AB361" i="9"/>
  <c r="AB359" i="9"/>
  <c r="AB357" i="9"/>
  <c r="AB351" i="9"/>
  <c r="AB349" i="9"/>
  <c r="AB347" i="9"/>
  <c r="AB345" i="9"/>
  <c r="AB343" i="9"/>
  <c r="AB341" i="9"/>
  <c r="AB339" i="9"/>
  <c r="AB337" i="9"/>
  <c r="AB335" i="9"/>
  <c r="AB333" i="9"/>
  <c r="AB331" i="9"/>
  <c r="AB329" i="9"/>
  <c r="AB327" i="9"/>
  <c r="AB325" i="9"/>
  <c r="AB319" i="9"/>
  <c r="AB317" i="9"/>
  <c r="AB315" i="9"/>
  <c r="AB313" i="9"/>
  <c r="AB311" i="9"/>
  <c r="AB309" i="9"/>
  <c r="AC309" i="9" s="1"/>
  <c r="AB307" i="9"/>
  <c r="AB305" i="9"/>
  <c r="AB303" i="9"/>
  <c r="AB297" i="9"/>
  <c r="AB295" i="9"/>
  <c r="AB281" i="9"/>
  <c r="AB277" i="9"/>
  <c r="AB275" i="9"/>
  <c r="AB253" i="9"/>
  <c r="AB249" i="9"/>
  <c r="AB223" i="9"/>
  <c r="AB212" i="9"/>
  <c r="AB206" i="9"/>
  <c r="AB202" i="9"/>
  <c r="AB191" i="9"/>
  <c r="AB170" i="9"/>
  <c r="AB159" i="9"/>
  <c r="AB148" i="9"/>
  <c r="AB140" i="9"/>
  <c r="AB124" i="9"/>
  <c r="AB93" i="9"/>
  <c r="AB1315" i="9"/>
  <c r="AB1313" i="9"/>
  <c r="AB1267" i="9"/>
  <c r="AB1252" i="9"/>
  <c r="AB1250" i="9"/>
  <c r="AB1277" i="9"/>
  <c r="AB1214" i="9"/>
  <c r="AB1235" i="9"/>
  <c r="AB1218" i="9"/>
  <c r="AB1217" i="9"/>
  <c r="AB1318" i="9"/>
  <c r="AB1308" i="9"/>
  <c r="AB1290" i="9"/>
  <c r="AB1226" i="9"/>
  <c r="AB1224" i="9"/>
  <c r="AB1221" i="9"/>
  <c r="AB1212" i="9"/>
  <c r="AB1210" i="9"/>
  <c r="AB1202" i="9"/>
  <c r="AB1198" i="9"/>
  <c r="AB1196" i="9"/>
  <c r="AB1147" i="9"/>
  <c r="AB1137" i="9"/>
  <c r="AB1134" i="9"/>
  <c r="AB1132" i="9"/>
  <c r="AB1116" i="9"/>
  <c r="AB1105" i="9"/>
  <c r="AB1102" i="9"/>
  <c r="AC1102" i="9" s="1"/>
  <c r="AB1100" i="9"/>
  <c r="AB1064" i="9"/>
  <c r="AB1061" i="9"/>
  <c r="AB1059" i="9"/>
  <c r="AB1035" i="9"/>
  <c r="AB1032" i="9"/>
  <c r="AB1288" i="9"/>
  <c r="AB1285" i="9"/>
  <c r="AB1275" i="9"/>
  <c r="AB1260" i="9"/>
  <c r="AB1258" i="9"/>
  <c r="AB1255" i="9"/>
  <c r="AB1243" i="9"/>
  <c r="AB1179" i="9"/>
  <c r="AB1169" i="9"/>
  <c r="AB1152" i="9"/>
  <c r="AB1165" i="9"/>
  <c r="AB1316" i="9"/>
  <c r="AB1298" i="9"/>
  <c r="AB1296" i="9"/>
  <c r="AB1293" i="9"/>
  <c r="AB1283" i="9"/>
  <c r="AB1266" i="9"/>
  <c r="AB1264" i="9"/>
  <c r="AB1262" i="9"/>
  <c r="AB1253" i="9"/>
  <c r="AB1234" i="9"/>
  <c r="AB1232" i="9"/>
  <c r="AB1229" i="9"/>
  <c r="AB1219" i="9"/>
  <c r="AB1187" i="9"/>
  <c r="AB1177" i="9"/>
  <c r="AB1174" i="9"/>
  <c r="AB1172" i="9"/>
  <c r="AB1156" i="9"/>
  <c r="AB1145" i="9"/>
  <c r="AB1142" i="9"/>
  <c r="AB1140" i="9"/>
  <c r="AB1111" i="9"/>
  <c r="AB1114" i="9"/>
  <c r="AB1110" i="9"/>
  <c r="AB1108" i="9"/>
  <c r="AB1091" i="9"/>
  <c r="AB1086" i="9"/>
  <c r="AB1083" i="9"/>
  <c r="AB1075" i="9"/>
  <c r="AB1053" i="9"/>
  <c r="AB1044" i="9"/>
  <c r="AB1039" i="9"/>
  <c r="AB1002" i="9"/>
  <c r="AB999" i="9"/>
  <c r="AB957" i="9"/>
  <c r="AB1022" i="9"/>
  <c r="AB1012" i="9"/>
  <c r="AB981" i="9"/>
  <c r="AB1065" i="9"/>
  <c r="AB1073" i="9"/>
  <c r="AB1070" i="9"/>
  <c r="AB1068" i="9"/>
  <c r="AB1050" i="9"/>
  <c r="AB1047" i="9"/>
  <c r="AB1029" i="9"/>
  <c r="AB1018" i="9"/>
  <c r="AB1015" i="9"/>
  <c r="AB996" i="9"/>
  <c r="AB987" i="9"/>
  <c r="AB984" i="9"/>
  <c r="AB964" i="9"/>
  <c r="AB954" i="9"/>
  <c r="AB952" i="9"/>
  <c r="AB950" i="9"/>
  <c r="AB948" i="9"/>
  <c r="AB946" i="9"/>
  <c r="AC946" i="9" s="1"/>
  <c r="AB943" i="9"/>
  <c r="AB941" i="9"/>
  <c r="AB939" i="9"/>
  <c r="AB937" i="9"/>
  <c r="AB935" i="9"/>
  <c r="AB933" i="9"/>
  <c r="AB931" i="9"/>
  <c r="AB929" i="9"/>
  <c r="AB927" i="9"/>
  <c r="AB925" i="9"/>
  <c r="AB923" i="9"/>
  <c r="AB921" i="9"/>
  <c r="AB919" i="9"/>
  <c r="AB917" i="9"/>
  <c r="AC917" i="9" s="1"/>
  <c r="AB915" i="9"/>
  <c r="AB913" i="9"/>
  <c r="AB911" i="9"/>
  <c r="AC911" i="9" s="1"/>
  <c r="AB909" i="9"/>
  <c r="AB907" i="9"/>
  <c r="AB905" i="9"/>
  <c r="AB903" i="9"/>
  <c r="AB901" i="9"/>
  <c r="AB899" i="9"/>
  <c r="AB897" i="9"/>
  <c r="AB895" i="9"/>
  <c r="AB893" i="9"/>
  <c r="AB891" i="9"/>
  <c r="AB889" i="9"/>
  <c r="AB887" i="9"/>
  <c r="AB885" i="9"/>
  <c r="AB865" i="9"/>
  <c r="AB863" i="9"/>
  <c r="AB860" i="9"/>
  <c r="AB855" i="9"/>
  <c r="AB839" i="9"/>
  <c r="AB824" i="9"/>
  <c r="AB821" i="9"/>
  <c r="AC821" i="9" s="1"/>
  <c r="AB819" i="9"/>
  <c r="AB802" i="9"/>
  <c r="AB972" i="9"/>
  <c r="AB842" i="9"/>
  <c r="AB837" i="9"/>
  <c r="AB834" i="9"/>
  <c r="AB832" i="9"/>
  <c r="AB829" i="9"/>
  <c r="AB827" i="9"/>
  <c r="AB810" i="9"/>
  <c r="AB800" i="9"/>
  <c r="AB797" i="9"/>
  <c r="AB795" i="9"/>
  <c r="AB786" i="9"/>
  <c r="AB778" i="9"/>
  <c r="AB770" i="9"/>
  <c r="AB762" i="9"/>
  <c r="AB754" i="9"/>
  <c r="AB746" i="9"/>
  <c r="AB738" i="9"/>
  <c r="AB730" i="9"/>
  <c r="AB722" i="9"/>
  <c r="AB714" i="9"/>
  <c r="AB706" i="9"/>
  <c r="AB698" i="9"/>
  <c r="AB690" i="9"/>
  <c r="AB682" i="9"/>
  <c r="AB674" i="9"/>
  <c r="AB666" i="9"/>
  <c r="AB658" i="9"/>
  <c r="AB650" i="9"/>
  <c r="AB642" i="9"/>
  <c r="AB640" i="9"/>
  <c r="AB637" i="9"/>
  <c r="AB635" i="9"/>
  <c r="AB632" i="9"/>
  <c r="AB629" i="9"/>
  <c r="AB627" i="9"/>
  <c r="AB624" i="9"/>
  <c r="AB621" i="9"/>
  <c r="AB619" i="9"/>
  <c r="AB614" i="9"/>
  <c r="AB606" i="9"/>
  <c r="AB598" i="9"/>
  <c r="AB590" i="9"/>
  <c r="AB588" i="9"/>
  <c r="AB578" i="9"/>
  <c r="AB576" i="9"/>
  <c r="AB574" i="9"/>
  <c r="AB572" i="9"/>
  <c r="AB570" i="9"/>
  <c r="AB568" i="9"/>
  <c r="AB566" i="9"/>
  <c r="AB564" i="9"/>
  <c r="AC564" i="9" s="1"/>
  <c r="AB557" i="9"/>
  <c r="AB555" i="9"/>
  <c r="AB552" i="9"/>
  <c r="AB549" i="9"/>
  <c r="AB547" i="9"/>
  <c r="AB544" i="9"/>
  <c r="AB534" i="9"/>
  <c r="AC534" i="9" s="1"/>
  <c r="AB448" i="9"/>
  <c r="AB438" i="9"/>
  <c r="AB403" i="9"/>
  <c r="AB401" i="9"/>
  <c r="AB392" i="9"/>
  <c r="AB350" i="9"/>
  <c r="AB296" i="9"/>
  <c r="AB280" i="9"/>
  <c r="AB1317" i="9"/>
  <c r="AB1314" i="9"/>
  <c r="AB1311" i="9"/>
  <c r="AB1309" i="9"/>
  <c r="AB1305" i="9"/>
  <c r="AB1302" i="9"/>
  <c r="AB1300" i="9"/>
  <c r="AB1297" i="9"/>
  <c r="AB1294" i="9"/>
  <c r="AB1292" i="9"/>
  <c r="AB1289" i="9"/>
  <c r="AB1286" i="9"/>
  <c r="AB1284" i="9"/>
  <c r="AB1281" i="9"/>
  <c r="AB1278" i="9"/>
  <c r="AB1276" i="9"/>
  <c r="AB1273" i="9"/>
  <c r="AB1270" i="9"/>
  <c r="AB1268" i="9"/>
  <c r="AB1265" i="9"/>
  <c r="AB1245" i="9"/>
  <c r="AB1247" i="9"/>
  <c r="AB1259" i="9"/>
  <c r="AB1256" i="9"/>
  <c r="AB1254" i="9"/>
  <c r="AB1251" i="9"/>
  <c r="AB1248" i="9"/>
  <c r="AB1244" i="9"/>
  <c r="AB1241" i="9"/>
  <c r="AB1238" i="9"/>
  <c r="AB1236" i="9"/>
  <c r="AB1233" i="9"/>
  <c r="AB1230" i="9"/>
  <c r="AB1228" i="9"/>
  <c r="AB1225" i="9"/>
  <c r="AB1222" i="9"/>
  <c r="AB1220" i="9"/>
  <c r="AB1199" i="9"/>
  <c r="AB1215" i="9"/>
  <c r="AB1213" i="9"/>
  <c r="AB1208" i="9"/>
  <c r="AB1206" i="9"/>
  <c r="AB1200" i="9"/>
  <c r="AB1191" i="9"/>
  <c r="AB1183" i="9"/>
  <c r="AB1175" i="9"/>
  <c r="AB1167" i="9"/>
  <c r="AB1160" i="9"/>
  <c r="AB1151" i="9"/>
  <c r="AB1143" i="9"/>
  <c r="AB1135" i="9"/>
  <c r="AB1127" i="9"/>
  <c r="AB1120" i="9"/>
  <c r="AB1112" i="9"/>
  <c r="AB1103" i="9"/>
  <c r="AB1095" i="9"/>
  <c r="AB1087" i="9"/>
  <c r="AB1079" i="9"/>
  <c r="AB1071" i="9"/>
  <c r="AB1062" i="9"/>
  <c r="AB1054" i="9"/>
  <c r="AB1051" i="9"/>
  <c r="AB1046" i="9"/>
  <c r="AB1043" i="9"/>
  <c r="AB1021" i="9"/>
  <c r="AB1036" i="9"/>
  <c r="AB1031" i="9"/>
  <c r="AB1028" i="9"/>
  <c r="AB1023" i="9"/>
  <c r="AB1019" i="9"/>
  <c r="AB1014" i="9"/>
  <c r="AB1011" i="9"/>
  <c r="AB1006" i="9"/>
  <c r="AB1003" i="9"/>
  <c r="AB998" i="9"/>
  <c r="AB995" i="9"/>
  <c r="AB991" i="9"/>
  <c r="AB988" i="9"/>
  <c r="AB983" i="9"/>
  <c r="AB980" i="9"/>
  <c r="AB974" i="9"/>
  <c r="AB971" i="9"/>
  <c r="AB966" i="9"/>
  <c r="AB963" i="9"/>
  <c r="AB958" i="9"/>
  <c r="AB955" i="9"/>
  <c r="AB953" i="9"/>
  <c r="AB951" i="9"/>
  <c r="AB949" i="9"/>
  <c r="AB947" i="9"/>
  <c r="AB944" i="9"/>
  <c r="AB942" i="9"/>
  <c r="AB940" i="9"/>
  <c r="AB938" i="9"/>
  <c r="AB936" i="9"/>
  <c r="AB934" i="9"/>
  <c r="AB932" i="9"/>
  <c r="AB930" i="9"/>
  <c r="AB928" i="9"/>
  <c r="AB926" i="9"/>
  <c r="AB924" i="9"/>
  <c r="AB922" i="9"/>
  <c r="AB920" i="9"/>
  <c r="AB918" i="9"/>
  <c r="AB916" i="9"/>
  <c r="AB914" i="9"/>
  <c r="AB912" i="9"/>
  <c r="AB910" i="9"/>
  <c r="AB908" i="9"/>
  <c r="AB906" i="9"/>
  <c r="AB904" i="9"/>
  <c r="AB902" i="9"/>
  <c r="AB900" i="9"/>
  <c r="AB898" i="9"/>
  <c r="AB896" i="9"/>
  <c r="AB894" i="9"/>
  <c r="AB892" i="9"/>
  <c r="AB890" i="9"/>
  <c r="AB888" i="9"/>
  <c r="AB886" i="9"/>
  <c r="AB884" i="9"/>
  <c r="AB880" i="9"/>
  <c r="AB877" i="9"/>
  <c r="AB875" i="9"/>
  <c r="AB872" i="9"/>
  <c r="AB869" i="9"/>
  <c r="AB867" i="9"/>
  <c r="AB864" i="9"/>
  <c r="AB861" i="9"/>
  <c r="AB859" i="9"/>
  <c r="AB856" i="9"/>
  <c r="AC856" i="9" s="1"/>
  <c r="AB853" i="9"/>
  <c r="AB850" i="9"/>
  <c r="AB848" i="9"/>
  <c r="AB835" i="9"/>
  <c r="AB830" i="9"/>
  <c r="AB822" i="9"/>
  <c r="AB814" i="9"/>
  <c r="AB806" i="9"/>
  <c r="AB798" i="9"/>
  <c r="AB790" i="9"/>
  <c r="AB782" i="9"/>
  <c r="AB774" i="9"/>
  <c r="AB766" i="9"/>
  <c r="AB758" i="9"/>
  <c r="AB750" i="9"/>
  <c r="AB742" i="9"/>
  <c r="AB734" i="9"/>
  <c r="AB726" i="9"/>
  <c r="AB718" i="9"/>
  <c r="AB710" i="9"/>
  <c r="AB702" i="9"/>
  <c r="AB694" i="9"/>
  <c r="AB686" i="9"/>
  <c r="AB678" i="9"/>
  <c r="AB670" i="9"/>
  <c r="AB662" i="9"/>
  <c r="AB654" i="9"/>
  <c r="AB646" i="9"/>
  <c r="AB641" i="9"/>
  <c r="AB639" i="9"/>
  <c r="AB636" i="9"/>
  <c r="AB633" i="9"/>
  <c r="AB631" i="9"/>
  <c r="AB628" i="9"/>
  <c r="AB625" i="9"/>
  <c r="AB623" i="9"/>
  <c r="AB620" i="9"/>
  <c r="AB610" i="9"/>
  <c r="AB602" i="9"/>
  <c r="AB594" i="9"/>
  <c r="AB589" i="9"/>
  <c r="AB587" i="9"/>
  <c r="AB582" i="9"/>
  <c r="AC582" i="9" s="1"/>
  <c r="AB577" i="9"/>
  <c r="AB575" i="9"/>
  <c r="AB573" i="9"/>
  <c r="AB571" i="9"/>
  <c r="AB569" i="9"/>
  <c r="AB567" i="9"/>
  <c r="AB565" i="9"/>
  <c r="AB563" i="9"/>
  <c r="AB558" i="9"/>
  <c r="AB556" i="9"/>
  <c r="AB553" i="9"/>
  <c r="AB551" i="9"/>
  <c r="AB533" i="9"/>
  <c r="AB531" i="9"/>
  <c r="AB528" i="9"/>
  <c r="AB521" i="9"/>
  <c r="AB519" i="9"/>
  <c r="AB498" i="9"/>
  <c r="AB496" i="9"/>
  <c r="AB494" i="9"/>
  <c r="AB492" i="9"/>
  <c r="AB490" i="9"/>
  <c r="AB488" i="9"/>
  <c r="AB486" i="9"/>
  <c r="AC486" i="9" s="1"/>
  <c r="AB484" i="9"/>
  <c r="AB482" i="9"/>
  <c r="AB480" i="9"/>
  <c r="AB478" i="9"/>
  <c r="AB476" i="9"/>
  <c r="AB474" i="9"/>
  <c r="AB472" i="9"/>
  <c r="AB470" i="9"/>
  <c r="AB468" i="9"/>
  <c r="AB466" i="9"/>
  <c r="AB464" i="9"/>
  <c r="AB462" i="9"/>
  <c r="AB460" i="9"/>
  <c r="AB458" i="9"/>
  <c r="AC458" i="9" s="1"/>
  <c r="AB456" i="9"/>
  <c r="AB454" i="9"/>
  <c r="AB414" i="9"/>
  <c r="AB411" i="9"/>
  <c r="AB409" i="9"/>
  <c r="AB384" i="9"/>
  <c r="AB374" i="9"/>
  <c r="AB318" i="9"/>
  <c r="AB288" i="9"/>
  <c r="AB518" i="9"/>
  <c r="AB513" i="9"/>
  <c r="AB511" i="9"/>
  <c r="AB509" i="9"/>
  <c r="AB507" i="9"/>
  <c r="AB505" i="9"/>
  <c r="AB503" i="9"/>
  <c r="AB449" i="9"/>
  <c r="AB432" i="9"/>
  <c r="AB422" i="9"/>
  <c r="AB419" i="9"/>
  <c r="AB417" i="9"/>
  <c r="AB400" i="9"/>
  <c r="AB390" i="9"/>
  <c r="AB387" i="9"/>
  <c r="AC387" i="9" s="1"/>
  <c r="AB385" i="9"/>
  <c r="AB368" i="9"/>
  <c r="AB358" i="9"/>
  <c r="AB355" i="9"/>
  <c r="AB353" i="9"/>
  <c r="AB336" i="9"/>
  <c r="AB326" i="9"/>
  <c r="AB323" i="9"/>
  <c r="AB321" i="9"/>
  <c r="AB304" i="9"/>
  <c r="AB279" i="9"/>
  <c r="AB259" i="9"/>
  <c r="AB254" i="9"/>
  <c r="AB244" i="9"/>
  <c r="AB265" i="9"/>
  <c r="AB241" i="9"/>
  <c r="AB214" i="9"/>
  <c r="AB204" i="9"/>
  <c r="AB201" i="9"/>
  <c r="AB182" i="9"/>
  <c r="AB172" i="9"/>
  <c r="AB169" i="9"/>
  <c r="AB150" i="9"/>
  <c r="AB138" i="9"/>
  <c r="AB135" i="9"/>
  <c r="AB116" i="9"/>
  <c r="AB106" i="9"/>
  <c r="AB103" i="9"/>
  <c r="AB53" i="9"/>
  <c r="AB46" i="9"/>
  <c r="AB44" i="9"/>
  <c r="AB548" i="9"/>
  <c r="AB545" i="9"/>
  <c r="AB543" i="9"/>
  <c r="AB540" i="9"/>
  <c r="AB537" i="9"/>
  <c r="AB535" i="9"/>
  <c r="AB532" i="9"/>
  <c r="AB529" i="9"/>
  <c r="AB527" i="9"/>
  <c r="AB524" i="9"/>
  <c r="AB522" i="9"/>
  <c r="AB514" i="9"/>
  <c r="AB512" i="9"/>
  <c r="AB510" i="9"/>
  <c r="AB508" i="9"/>
  <c r="AB506" i="9"/>
  <c r="AB504" i="9"/>
  <c r="AB497" i="9"/>
  <c r="AB495" i="9"/>
  <c r="AB493" i="9"/>
  <c r="AB491" i="9"/>
  <c r="AB489" i="9"/>
  <c r="AB487" i="9"/>
  <c r="AB485" i="9"/>
  <c r="AB483" i="9"/>
  <c r="AB481" i="9"/>
  <c r="AB479" i="9"/>
  <c r="AB477" i="9"/>
  <c r="AB475" i="9"/>
  <c r="AB473" i="9"/>
  <c r="AB471" i="9"/>
  <c r="AB469" i="9"/>
  <c r="AB467" i="9"/>
  <c r="AB465" i="9"/>
  <c r="AB463" i="9"/>
  <c r="AB461" i="9"/>
  <c r="AB459" i="9"/>
  <c r="AB457" i="9"/>
  <c r="AB455" i="9"/>
  <c r="AB452" i="9"/>
  <c r="AB444" i="9"/>
  <c r="AB436" i="9"/>
  <c r="AB428" i="9"/>
  <c r="AB420" i="9"/>
  <c r="AB412" i="9"/>
  <c r="AB404" i="9"/>
  <c r="AB396" i="9"/>
  <c r="AB388" i="9"/>
  <c r="AB380" i="9"/>
  <c r="AB372" i="9"/>
  <c r="AB364" i="9"/>
  <c r="AB356" i="9"/>
  <c r="AB348" i="9"/>
  <c r="AB340" i="9"/>
  <c r="AB332" i="9"/>
  <c r="AB324" i="9"/>
  <c r="AB316" i="9"/>
  <c r="AB308" i="9"/>
  <c r="AC308" i="9" s="1"/>
  <c r="AB278" i="9"/>
  <c r="AB266" i="9"/>
  <c r="AB256" i="9"/>
  <c r="AB251" i="9"/>
  <c r="AB245" i="9"/>
  <c r="AB230" i="9"/>
  <c r="AB220" i="9"/>
  <c r="AB217" i="9"/>
  <c r="AB198" i="9"/>
  <c r="AB188" i="9"/>
  <c r="AB185" i="9"/>
  <c r="AB166" i="9"/>
  <c r="AB156" i="9"/>
  <c r="AB153" i="9"/>
  <c r="AB132" i="9"/>
  <c r="AB122" i="9"/>
  <c r="AB119" i="9"/>
  <c r="AB100" i="9"/>
  <c r="AB90" i="9"/>
  <c r="AB88" i="9"/>
  <c r="AB86" i="9"/>
  <c r="AB84" i="9"/>
  <c r="AB82" i="9"/>
  <c r="AB80" i="9"/>
  <c r="AB78" i="9"/>
  <c r="AB76" i="9"/>
  <c r="AB74" i="9"/>
  <c r="AB72" i="9"/>
  <c r="AB70" i="9"/>
  <c r="AB68" i="9"/>
  <c r="AB66" i="9"/>
  <c r="AB64" i="9"/>
  <c r="AB62" i="9"/>
  <c r="AB60" i="9"/>
  <c r="AB58" i="9"/>
  <c r="AB56" i="9"/>
  <c r="AB54" i="9"/>
  <c r="AB23" i="9"/>
  <c r="AB21" i="9"/>
  <c r="AB16" i="9"/>
  <c r="AB270" i="9"/>
  <c r="AB267" i="9"/>
  <c r="AB262" i="9"/>
  <c r="AB250" i="9"/>
  <c r="AB247" i="9"/>
  <c r="AB237" i="9"/>
  <c r="AB229" i="9"/>
  <c r="AB224" i="9"/>
  <c r="AB221" i="9"/>
  <c r="AB216" i="9"/>
  <c r="AB213" i="9"/>
  <c r="AB208" i="9"/>
  <c r="AB205" i="9"/>
  <c r="AB200" i="9"/>
  <c r="AB197" i="9"/>
  <c r="AB192" i="9"/>
  <c r="AB189" i="9"/>
  <c r="AB184" i="9"/>
  <c r="AB181" i="9"/>
  <c r="AB176" i="9"/>
  <c r="AB173" i="9"/>
  <c r="AB168" i="9"/>
  <c r="AB165" i="9"/>
  <c r="AB160" i="9"/>
  <c r="AB157" i="9"/>
  <c r="AB152" i="9"/>
  <c r="AC152" i="9" s="1"/>
  <c r="AB149" i="9"/>
  <c r="AB142" i="9"/>
  <c r="AB139" i="9"/>
  <c r="AB134" i="9"/>
  <c r="AB131" i="9"/>
  <c r="AB126" i="9"/>
  <c r="AB123" i="9"/>
  <c r="AB118" i="9"/>
  <c r="AB115" i="9"/>
  <c r="AB110" i="9"/>
  <c r="AB107" i="9"/>
  <c r="AC107" i="9" s="1"/>
  <c r="AB102" i="9"/>
  <c r="AB99" i="9"/>
  <c r="AB94" i="9"/>
  <c r="AB91" i="9"/>
  <c r="AB50" i="9"/>
  <c r="AB48" i="9"/>
  <c r="AB43" i="9"/>
  <c r="AB41" i="9"/>
  <c r="AB34" i="9"/>
  <c r="AB32" i="9"/>
  <c r="AB27" i="9"/>
  <c r="AB25" i="9"/>
  <c r="AB18" i="9"/>
  <c r="AB15" i="9"/>
  <c r="AB10" i="9"/>
  <c r="AB7" i="9"/>
  <c r="AB87" i="9"/>
  <c r="AB83" i="9"/>
  <c r="AB79" i="9"/>
  <c r="AB75" i="9"/>
  <c r="AB71" i="9"/>
  <c r="AB67" i="9"/>
  <c r="AB63" i="9"/>
  <c r="AB59" i="9"/>
  <c r="AB55" i="9"/>
  <c r="AC55" i="9" s="1"/>
  <c r="AB85" i="9"/>
  <c r="AB81" i="9"/>
  <c r="AB77" i="9"/>
  <c r="AB73" i="9"/>
  <c r="AB69" i="9"/>
  <c r="AB65" i="9"/>
  <c r="AB61" i="9"/>
  <c r="AB57" i="9"/>
  <c r="T1383" i="9"/>
  <c r="T1376" i="9"/>
  <c r="W1376" i="9" s="1"/>
  <c r="T1374" i="9"/>
  <c r="W1374" i="9" s="1"/>
  <c r="T1329" i="9"/>
  <c r="W1329" i="9" s="1"/>
  <c r="T1330" i="9"/>
  <c r="W1330" i="9" s="1"/>
  <c r="T1339" i="9"/>
  <c r="W1339" i="9" s="1"/>
  <c r="T1351" i="9"/>
  <c r="W1351" i="9" s="1"/>
  <c r="T1358" i="9"/>
  <c r="W1358" i="9" s="1"/>
  <c r="T1361" i="9"/>
  <c r="W1361" i="9" s="1"/>
  <c r="T1367" i="9"/>
  <c r="W1367" i="9" s="1"/>
  <c r="T1328" i="9"/>
  <c r="W1328" i="9" s="1"/>
  <c r="T1322" i="9"/>
  <c r="W1322" i="9" s="1"/>
  <c r="T1373" i="9"/>
  <c r="T1369" i="9"/>
  <c r="W1369" i="9" s="1"/>
  <c r="T1364" i="9"/>
  <c r="W1364" i="9" s="1"/>
  <c r="T1362" i="9"/>
  <c r="W1362" i="9" s="1"/>
  <c r="T1356" i="9"/>
  <c r="W1356" i="9" s="1"/>
  <c r="T1353" i="9"/>
  <c r="W1353" i="9" s="1"/>
  <c r="T1352" i="9"/>
  <c r="W1352" i="9" s="1"/>
  <c r="T1333" i="9"/>
  <c r="W1333" i="9" s="1"/>
  <c r="T1338" i="9"/>
  <c r="W1338" i="9" s="1"/>
  <c r="T1326" i="9"/>
  <c r="W1326" i="9" s="1"/>
  <c r="T1323" i="9"/>
  <c r="W1323" i="9" s="1"/>
  <c r="T1321" i="9"/>
  <c r="W1321" i="9" s="1"/>
  <c r="T1315" i="9"/>
  <c r="W1315" i="9" s="1"/>
  <c r="T1314" i="9"/>
  <c r="W1314" i="9" s="1"/>
  <c r="T1312" i="9"/>
  <c r="W1312" i="9" s="1"/>
  <c r="T1310" i="9"/>
  <c r="W1310" i="9" s="1"/>
  <c r="T1309" i="9"/>
  <c r="W1309" i="9" s="1"/>
  <c r="T1385" i="9"/>
  <c r="W1385" i="9" s="1"/>
  <c r="T1368" i="9"/>
  <c r="W1368" i="9" s="1"/>
  <c r="T1394" i="9" l="1"/>
  <c r="W1394" i="9" s="1"/>
  <c r="T1393" i="9"/>
  <c r="W1393" i="9" s="1"/>
  <c r="W1383" i="9"/>
  <c r="T1381" i="9"/>
  <c r="W1381" i="9" s="1"/>
  <c r="T1379" i="9"/>
  <c r="W1379" i="9" s="1"/>
  <c r="W1373" i="9"/>
  <c r="T1372" i="9"/>
  <c r="W1372" i="9" s="1"/>
  <c r="T1348" i="9"/>
  <c r="W1348" i="9" s="1"/>
  <c r="T1343" i="9"/>
  <c r="W1343" i="9" s="1"/>
  <c r="T1318" i="9"/>
  <c r="W1318" i="9" s="1"/>
  <c r="T1220" i="9"/>
  <c r="W1220" i="9" s="1"/>
  <c r="T1221" i="9"/>
  <c r="W1221" i="9" s="1"/>
  <c r="T1222" i="9"/>
  <c r="W1222" i="9" s="1"/>
  <c r="T1223" i="9"/>
  <c r="W1223" i="9" s="1"/>
  <c r="T1224" i="9"/>
  <c r="W1224" i="9" s="1"/>
  <c r="T1225" i="9"/>
  <c r="W1225" i="9" s="1"/>
  <c r="T1226" i="9"/>
  <c r="W1226" i="9" s="1"/>
  <c r="T1227" i="9"/>
  <c r="W1227" i="9" s="1"/>
  <c r="T1228" i="9"/>
  <c r="W1228" i="9" s="1"/>
  <c r="T1229" i="9"/>
  <c r="W1229" i="9" s="1"/>
  <c r="T1230" i="9"/>
  <c r="W1230" i="9" s="1"/>
  <c r="T1231" i="9"/>
  <c r="W1231" i="9" s="1"/>
  <c r="T1232" i="9"/>
  <c r="W1232" i="9" s="1"/>
  <c r="T1233" i="9"/>
  <c r="W1233" i="9" s="1"/>
  <c r="T1234" i="9"/>
  <c r="W1234" i="9" s="1"/>
  <c r="T1235" i="9"/>
  <c r="W1235" i="9" s="1"/>
  <c r="T1236" i="9"/>
  <c r="W1236" i="9" s="1"/>
  <c r="T1237" i="9"/>
  <c r="W1237" i="9" s="1"/>
  <c r="T1238" i="9"/>
  <c r="W1238" i="9" s="1"/>
  <c r="T1239" i="9"/>
  <c r="W1239" i="9" s="1"/>
  <c r="T1240" i="9"/>
  <c r="W1240" i="9" s="1"/>
  <c r="T1241" i="9"/>
  <c r="W1241" i="9" s="1"/>
  <c r="T1242" i="9"/>
  <c r="W1242" i="9" s="1"/>
  <c r="T1243" i="9"/>
  <c r="W1243" i="9" s="1"/>
  <c r="T1244" i="9"/>
  <c r="W1244" i="9" s="1"/>
  <c r="T1246" i="9"/>
  <c r="W1246" i="9" s="1"/>
  <c r="T1248" i="9"/>
  <c r="W1248" i="9" s="1"/>
  <c r="T1249" i="9"/>
  <c r="W1249" i="9" s="1"/>
  <c r="T1250" i="9"/>
  <c r="W1250" i="9" s="1"/>
  <c r="T1251" i="9"/>
  <c r="W1251" i="9" s="1"/>
  <c r="T1252" i="9"/>
  <c r="W1252" i="9" s="1"/>
  <c r="T1253" i="9"/>
  <c r="W1253" i="9" s="1"/>
  <c r="T1254" i="9"/>
  <c r="W1254" i="9" s="1"/>
  <c r="T1255" i="9"/>
  <c r="W1255" i="9" s="1"/>
  <c r="T1256" i="9"/>
  <c r="W1256" i="9" s="1"/>
  <c r="T1257" i="9"/>
  <c r="W1257" i="9" s="1"/>
  <c r="T1258" i="9"/>
  <c r="W1258" i="9" s="1"/>
  <c r="T1259" i="9"/>
  <c r="W1259" i="9" s="1"/>
  <c r="T1260" i="9"/>
  <c r="W1260" i="9" s="1"/>
  <c r="T1261" i="9"/>
  <c r="W1261" i="9" s="1"/>
  <c r="T1247" i="9"/>
  <c r="W1247" i="9" s="1"/>
  <c r="T1262" i="9"/>
  <c r="W1262" i="9" s="1"/>
  <c r="T1245" i="9"/>
  <c r="W1245" i="9" s="1"/>
  <c r="T1263" i="9"/>
  <c r="W1263" i="9" s="1"/>
  <c r="T1264" i="9"/>
  <c r="W1264" i="9" s="1"/>
  <c r="T1265" i="9"/>
  <c r="W1265" i="9" s="1"/>
  <c r="T1266" i="9"/>
  <c r="W1266" i="9" s="1"/>
  <c r="T1267" i="9"/>
  <c r="W1267" i="9" s="1"/>
  <c r="T1268" i="9"/>
  <c r="W1268" i="9" s="1"/>
  <c r="T1269" i="9"/>
  <c r="W1269" i="9" s="1"/>
  <c r="T1270" i="9"/>
  <c r="W1270" i="9" s="1"/>
  <c r="T1271" i="9"/>
  <c r="W1271" i="9" s="1"/>
  <c r="T1272" i="9"/>
  <c r="W1272" i="9" s="1"/>
  <c r="T1273" i="9"/>
  <c r="W1273" i="9" s="1"/>
  <c r="T1274" i="9"/>
  <c r="W1274" i="9" s="1"/>
  <c r="T1275" i="9"/>
  <c r="W1275" i="9" s="1"/>
  <c r="T1276" i="9"/>
  <c r="W1276" i="9" s="1"/>
  <c r="T1277" i="9"/>
  <c r="W1277" i="9" s="1"/>
  <c r="T1278" i="9"/>
  <c r="W1278" i="9" s="1"/>
  <c r="T1279" i="9"/>
  <c r="W1279" i="9" s="1"/>
  <c r="T1280" i="9"/>
  <c r="W1280" i="9" s="1"/>
  <c r="T1281" i="9"/>
  <c r="W1281" i="9" s="1"/>
  <c r="T1282" i="9"/>
  <c r="W1282" i="9" s="1"/>
  <c r="T1283" i="9"/>
  <c r="W1283" i="9" s="1"/>
  <c r="T1284" i="9"/>
  <c r="W1284" i="9" s="1"/>
  <c r="T1285" i="9"/>
  <c r="W1285" i="9" s="1"/>
  <c r="T1286" i="9"/>
  <c r="W1286" i="9" s="1"/>
  <c r="T1287" i="9"/>
  <c r="W1287" i="9" s="1"/>
  <c r="T1288" i="9"/>
  <c r="W1288" i="9" s="1"/>
  <c r="T1289" i="9"/>
  <c r="W1289" i="9" s="1"/>
  <c r="T1290" i="9"/>
  <c r="W1290" i="9" s="1"/>
  <c r="T1291" i="9"/>
  <c r="W1291" i="9" s="1"/>
  <c r="T1292" i="9"/>
  <c r="W1292" i="9" s="1"/>
  <c r="T1293" i="9"/>
  <c r="W1293" i="9" s="1"/>
  <c r="T1294" i="9"/>
  <c r="W1294" i="9" s="1"/>
  <c r="T1295" i="9"/>
  <c r="W1295" i="9" s="1"/>
  <c r="T1296" i="9"/>
  <c r="W1296" i="9" s="1"/>
  <c r="T1297" i="9"/>
  <c r="W1297" i="9" s="1"/>
  <c r="T1298" i="9"/>
  <c r="W1298" i="9" s="1"/>
  <c r="T1299" i="9"/>
  <c r="W1299" i="9" s="1"/>
  <c r="T1300" i="9"/>
  <c r="W1300" i="9" s="1"/>
  <c r="T1301" i="9"/>
  <c r="W1301" i="9" s="1"/>
  <c r="T1302" i="9"/>
  <c r="W1302" i="9" s="1"/>
  <c r="T1303" i="9"/>
  <c r="W1303" i="9" s="1"/>
  <c r="T1304" i="9"/>
  <c r="W1304" i="9" s="1"/>
  <c r="T1305" i="9"/>
  <c r="W1305" i="9" s="1"/>
  <c r="T1306" i="9"/>
  <c r="W1306" i="9" s="1"/>
  <c r="T1308" i="9"/>
  <c r="W1308" i="9" s="1"/>
  <c r="L1220" i="9"/>
  <c r="N1220" i="9" s="1"/>
  <c r="AC1220" i="9" s="1"/>
  <c r="L1221" i="9"/>
  <c r="N1221" i="9" s="1"/>
  <c r="AC1221" i="9" s="1"/>
  <c r="L1222" i="9"/>
  <c r="N1222" i="9" s="1"/>
  <c r="AC1222" i="9" s="1"/>
  <c r="L1223" i="9"/>
  <c r="N1223" i="9" s="1"/>
  <c r="AC1223" i="9" s="1"/>
  <c r="L1224" i="9"/>
  <c r="N1224" i="9" s="1"/>
  <c r="AC1224" i="9" s="1"/>
  <c r="L1225" i="9"/>
  <c r="N1225" i="9" s="1"/>
  <c r="AC1225" i="9" s="1"/>
  <c r="L1226" i="9"/>
  <c r="N1226" i="9" s="1"/>
  <c r="AC1226" i="9" s="1"/>
  <c r="L1227" i="9"/>
  <c r="N1227" i="9" s="1"/>
  <c r="AC1227" i="9" s="1"/>
  <c r="L1228" i="9"/>
  <c r="N1228" i="9" s="1"/>
  <c r="AC1228" i="9" s="1"/>
  <c r="L1229" i="9"/>
  <c r="N1229" i="9" s="1"/>
  <c r="AC1229" i="9" s="1"/>
  <c r="L1230" i="9"/>
  <c r="N1230" i="9" s="1"/>
  <c r="AC1230" i="9" s="1"/>
  <c r="L1231" i="9"/>
  <c r="N1231" i="9" s="1"/>
  <c r="AC1231" i="9" s="1"/>
  <c r="L1232" i="9"/>
  <c r="N1232" i="9" s="1"/>
  <c r="AC1232" i="9" s="1"/>
  <c r="L1233" i="9"/>
  <c r="N1233" i="9" s="1"/>
  <c r="AC1233" i="9" s="1"/>
  <c r="L1234" i="9"/>
  <c r="N1234" i="9" s="1"/>
  <c r="AC1234" i="9" s="1"/>
  <c r="L1235" i="9"/>
  <c r="N1235" i="9" s="1"/>
  <c r="AC1235" i="9" s="1"/>
  <c r="L1236" i="9"/>
  <c r="N1236" i="9" s="1"/>
  <c r="AC1236" i="9" s="1"/>
  <c r="L1237" i="9"/>
  <c r="N1237" i="9" s="1"/>
  <c r="AC1237" i="9" s="1"/>
  <c r="L1238" i="9"/>
  <c r="N1238" i="9" s="1"/>
  <c r="AC1238" i="9" s="1"/>
  <c r="L1239" i="9"/>
  <c r="N1239" i="9" s="1"/>
  <c r="AC1239" i="9" s="1"/>
  <c r="L1240" i="9"/>
  <c r="N1240" i="9" s="1"/>
  <c r="AC1240" i="9" s="1"/>
  <c r="L1241" i="9"/>
  <c r="N1241" i="9" s="1"/>
  <c r="AC1241" i="9" s="1"/>
  <c r="L1242" i="9"/>
  <c r="N1242" i="9" s="1"/>
  <c r="AC1242" i="9" s="1"/>
  <c r="L1243" i="9"/>
  <c r="N1243" i="9" s="1"/>
  <c r="AC1243" i="9" s="1"/>
  <c r="L1244" i="9"/>
  <c r="N1244" i="9" s="1"/>
  <c r="AC1244" i="9" s="1"/>
  <c r="L1246" i="9"/>
  <c r="N1246" i="9" s="1"/>
  <c r="AC1246" i="9" s="1"/>
  <c r="L1248" i="9"/>
  <c r="N1248" i="9" s="1"/>
  <c r="AC1248" i="9" s="1"/>
  <c r="L1249" i="9"/>
  <c r="N1249" i="9" s="1"/>
  <c r="AC1249" i="9" s="1"/>
  <c r="L1250" i="9"/>
  <c r="N1250" i="9" s="1"/>
  <c r="AC1250" i="9" s="1"/>
  <c r="L1251" i="9"/>
  <c r="N1251" i="9" s="1"/>
  <c r="AC1251" i="9" s="1"/>
  <c r="L1252" i="9"/>
  <c r="N1252" i="9" s="1"/>
  <c r="AC1252" i="9" s="1"/>
  <c r="L1253" i="9"/>
  <c r="N1253" i="9" s="1"/>
  <c r="AC1253" i="9" s="1"/>
  <c r="L1254" i="9"/>
  <c r="N1254" i="9" s="1"/>
  <c r="AC1254" i="9" s="1"/>
  <c r="L1255" i="9"/>
  <c r="N1255" i="9" s="1"/>
  <c r="AC1255" i="9" s="1"/>
  <c r="L1256" i="9"/>
  <c r="N1256" i="9" s="1"/>
  <c r="AC1256" i="9" s="1"/>
  <c r="L1257" i="9"/>
  <c r="N1257" i="9" s="1"/>
  <c r="AC1257" i="9" s="1"/>
  <c r="L1258" i="9"/>
  <c r="N1258" i="9" s="1"/>
  <c r="AC1258" i="9" s="1"/>
  <c r="L1259" i="9"/>
  <c r="N1259" i="9" s="1"/>
  <c r="AC1259" i="9" s="1"/>
  <c r="L1260" i="9"/>
  <c r="N1260" i="9" s="1"/>
  <c r="AC1260" i="9" s="1"/>
  <c r="L1261" i="9"/>
  <c r="N1261" i="9" s="1"/>
  <c r="AC1261" i="9" s="1"/>
  <c r="L1247" i="9"/>
  <c r="N1247" i="9" s="1"/>
  <c r="AC1247" i="9" s="1"/>
  <c r="L1262" i="9"/>
  <c r="N1262" i="9" s="1"/>
  <c r="AC1262" i="9" s="1"/>
  <c r="L1245" i="9"/>
  <c r="N1245" i="9" s="1"/>
  <c r="AC1245" i="9" s="1"/>
  <c r="L1263" i="9"/>
  <c r="N1263" i="9" s="1"/>
  <c r="AC1263" i="9" s="1"/>
  <c r="L1264" i="9"/>
  <c r="N1264" i="9" s="1"/>
  <c r="AC1264" i="9" s="1"/>
  <c r="L1265" i="9"/>
  <c r="N1265" i="9" s="1"/>
  <c r="AC1265" i="9" s="1"/>
  <c r="L1266" i="9"/>
  <c r="N1266" i="9" s="1"/>
  <c r="AC1266" i="9" s="1"/>
  <c r="L1267" i="9"/>
  <c r="N1267" i="9" s="1"/>
  <c r="AC1267" i="9" s="1"/>
  <c r="L1268" i="9"/>
  <c r="N1268" i="9" s="1"/>
  <c r="AC1268" i="9" s="1"/>
  <c r="L1269" i="9"/>
  <c r="N1269" i="9" s="1"/>
  <c r="AC1269" i="9" s="1"/>
  <c r="L1270" i="9"/>
  <c r="N1270" i="9" s="1"/>
  <c r="AC1270" i="9" s="1"/>
  <c r="L1271" i="9"/>
  <c r="N1271" i="9" s="1"/>
  <c r="AC1271" i="9" s="1"/>
  <c r="L1272" i="9"/>
  <c r="N1272" i="9" s="1"/>
  <c r="AC1272" i="9" s="1"/>
  <c r="L1273" i="9"/>
  <c r="N1273" i="9" s="1"/>
  <c r="AC1273" i="9" s="1"/>
  <c r="L1274" i="9"/>
  <c r="N1274" i="9" s="1"/>
  <c r="AC1274" i="9" s="1"/>
  <c r="L1275" i="9"/>
  <c r="N1275" i="9" s="1"/>
  <c r="AC1275" i="9" s="1"/>
  <c r="L1276" i="9"/>
  <c r="N1276" i="9" s="1"/>
  <c r="AC1276" i="9" s="1"/>
  <c r="L1277" i="9"/>
  <c r="N1277" i="9" s="1"/>
  <c r="AC1277" i="9" s="1"/>
  <c r="L1278" i="9"/>
  <c r="N1278" i="9" s="1"/>
  <c r="AC1278" i="9" s="1"/>
  <c r="L1279" i="9"/>
  <c r="N1279" i="9" s="1"/>
  <c r="AC1279" i="9" s="1"/>
  <c r="L1280" i="9"/>
  <c r="N1280" i="9" s="1"/>
  <c r="AC1280" i="9" s="1"/>
  <c r="L1281" i="9"/>
  <c r="N1281" i="9" s="1"/>
  <c r="AC1281" i="9" s="1"/>
  <c r="L1282" i="9"/>
  <c r="N1282" i="9" s="1"/>
  <c r="AC1282" i="9" s="1"/>
  <c r="L1283" i="9"/>
  <c r="N1283" i="9" s="1"/>
  <c r="AC1283" i="9" s="1"/>
  <c r="L1284" i="9"/>
  <c r="N1284" i="9" s="1"/>
  <c r="AC1284" i="9" s="1"/>
  <c r="L1285" i="9"/>
  <c r="N1285" i="9" s="1"/>
  <c r="AC1285" i="9" s="1"/>
  <c r="L1286" i="9"/>
  <c r="N1286" i="9" s="1"/>
  <c r="AC1286" i="9" s="1"/>
  <c r="L1287" i="9"/>
  <c r="N1287" i="9" s="1"/>
  <c r="AC1287" i="9" s="1"/>
  <c r="L1288" i="9"/>
  <c r="N1288" i="9" s="1"/>
  <c r="AC1288" i="9" s="1"/>
  <c r="L1289" i="9"/>
  <c r="N1289" i="9" s="1"/>
  <c r="AC1289" i="9" s="1"/>
  <c r="L1290" i="9"/>
  <c r="N1290" i="9" s="1"/>
  <c r="AC1290" i="9" s="1"/>
  <c r="L1291" i="9"/>
  <c r="N1291" i="9" s="1"/>
  <c r="AC1291" i="9" s="1"/>
  <c r="L1292" i="9"/>
  <c r="N1292" i="9" s="1"/>
  <c r="AC1292" i="9" s="1"/>
  <c r="L1293" i="9"/>
  <c r="N1293" i="9" s="1"/>
  <c r="AC1293" i="9" s="1"/>
  <c r="L1294" i="9"/>
  <c r="N1294" i="9" s="1"/>
  <c r="AC1294" i="9" s="1"/>
  <c r="L1295" i="9"/>
  <c r="N1295" i="9" s="1"/>
  <c r="AC1295" i="9" s="1"/>
  <c r="L1296" i="9"/>
  <c r="N1296" i="9" s="1"/>
  <c r="AC1296" i="9" s="1"/>
  <c r="L1297" i="9"/>
  <c r="N1297" i="9" s="1"/>
  <c r="AC1297" i="9" s="1"/>
  <c r="L1298" i="9"/>
  <c r="N1298" i="9" s="1"/>
  <c r="AC1298" i="9" s="1"/>
  <c r="L1299" i="9"/>
  <c r="N1299" i="9" s="1"/>
  <c r="AC1299" i="9" s="1"/>
  <c r="L1300" i="9"/>
  <c r="N1300" i="9" s="1"/>
  <c r="AC1300" i="9" s="1"/>
  <c r="L1301" i="9"/>
  <c r="N1301" i="9" s="1"/>
  <c r="AC1301" i="9" s="1"/>
  <c r="L1302" i="9"/>
  <c r="N1302" i="9" s="1"/>
  <c r="AC1302" i="9" s="1"/>
  <c r="L1303" i="9"/>
  <c r="N1303" i="9" s="1"/>
  <c r="AC1303" i="9" s="1"/>
  <c r="L1304" i="9"/>
  <c r="N1304" i="9" s="1"/>
  <c r="AC1304" i="9" s="1"/>
  <c r="L1305" i="9"/>
  <c r="N1305" i="9" s="1"/>
  <c r="AC1305" i="9" s="1"/>
  <c r="L1306" i="9"/>
  <c r="N1306" i="9" s="1"/>
  <c r="AC1306" i="9" s="1"/>
  <c r="L1308" i="9"/>
  <c r="N1308" i="9" s="1"/>
  <c r="AC1308" i="9" s="1"/>
  <c r="L1309" i="9"/>
  <c r="N1309" i="9" s="1"/>
  <c r="AC1309" i="9" s="1"/>
  <c r="L1310" i="9"/>
  <c r="N1310" i="9" s="1"/>
  <c r="AC1310" i="9" s="1"/>
  <c r="L1311" i="9"/>
  <c r="N1311" i="9" s="1"/>
  <c r="AC1311" i="9" s="1"/>
  <c r="L1312" i="9"/>
  <c r="N1312" i="9" s="1"/>
  <c r="AC1312" i="9" s="1"/>
  <c r="L1313" i="9"/>
  <c r="N1313" i="9" s="1"/>
  <c r="AC1313" i="9" s="1"/>
  <c r="L1314" i="9"/>
  <c r="N1314" i="9" s="1"/>
  <c r="AC1314" i="9" s="1"/>
  <c r="L1315" i="9"/>
  <c r="N1315" i="9" s="1"/>
  <c r="AC1315" i="9" s="1"/>
  <c r="L1316" i="9"/>
  <c r="N1316" i="9" s="1"/>
  <c r="AC1316" i="9" s="1"/>
  <c r="L1317" i="9"/>
  <c r="N1317" i="9" s="1"/>
  <c r="AC1317" i="9" s="1"/>
  <c r="L1318" i="9"/>
  <c r="N1318" i="9" s="1"/>
  <c r="AC1318" i="9" s="1"/>
  <c r="L1319" i="9"/>
  <c r="N1319" i="9" s="1"/>
  <c r="AC1319" i="9" s="1"/>
  <c r="L1320" i="9"/>
  <c r="N1320" i="9" s="1"/>
  <c r="AC1320" i="9" s="1"/>
  <c r="L1321" i="9"/>
  <c r="N1321" i="9" s="1"/>
  <c r="AC1321" i="9" s="1"/>
  <c r="L1322" i="9"/>
  <c r="N1322" i="9" s="1"/>
  <c r="AC1322" i="9" s="1"/>
  <c r="L1323" i="9"/>
  <c r="N1323" i="9" s="1"/>
  <c r="AC1323" i="9" s="1"/>
  <c r="L1324" i="9"/>
  <c r="N1324" i="9" s="1"/>
  <c r="AC1324" i="9" s="1"/>
  <c r="L1325" i="9"/>
  <c r="N1325" i="9" s="1"/>
  <c r="AC1325" i="9" s="1"/>
  <c r="L1326" i="9"/>
  <c r="N1326" i="9" s="1"/>
  <c r="AC1326" i="9" s="1"/>
  <c r="L1328" i="9"/>
  <c r="N1328" i="9" s="1"/>
  <c r="AC1328" i="9" s="1"/>
  <c r="L1329" i="9"/>
  <c r="N1329" i="9" s="1"/>
  <c r="AC1329" i="9" s="1"/>
  <c r="L1330" i="9"/>
  <c r="N1330" i="9" s="1"/>
  <c r="AC1330" i="9" s="1"/>
  <c r="L1331" i="9"/>
  <c r="N1331" i="9" s="1"/>
  <c r="AC1331" i="9" s="1"/>
  <c r="L1334" i="9"/>
  <c r="N1334" i="9" s="1"/>
  <c r="AC1334" i="9" s="1"/>
  <c r="L1335" i="9"/>
  <c r="N1335" i="9" s="1"/>
  <c r="AC1335" i="9" s="1"/>
  <c r="L1336" i="9"/>
  <c r="N1336" i="9" s="1"/>
  <c r="AC1336" i="9" s="1"/>
  <c r="L1337" i="9"/>
  <c r="N1337" i="9" s="1"/>
  <c r="AC1337" i="9" s="1"/>
  <c r="L1338" i="9"/>
  <c r="N1338" i="9" s="1"/>
  <c r="AC1338" i="9" s="1"/>
  <c r="L1339" i="9"/>
  <c r="N1339" i="9" s="1"/>
  <c r="AC1339" i="9" s="1"/>
  <c r="L1340" i="9"/>
  <c r="N1340" i="9" s="1"/>
  <c r="AC1340" i="9" s="1"/>
  <c r="L1341" i="9"/>
  <c r="N1341" i="9" s="1"/>
  <c r="AC1341" i="9" s="1"/>
  <c r="L1342" i="9"/>
  <c r="N1342" i="9" s="1"/>
  <c r="AC1342" i="9" s="1"/>
  <c r="L1343" i="9"/>
  <c r="N1343" i="9" s="1"/>
  <c r="AC1343" i="9" s="1"/>
  <c r="L1344" i="9"/>
  <c r="N1344" i="9" s="1"/>
  <c r="AC1344" i="9" s="1"/>
  <c r="L1345" i="9"/>
  <c r="N1345" i="9" s="1"/>
  <c r="AC1345" i="9" s="1"/>
  <c r="L1346" i="9"/>
  <c r="N1346" i="9" s="1"/>
  <c r="AC1346" i="9" s="1"/>
  <c r="L1347" i="9"/>
  <c r="N1347" i="9" s="1"/>
  <c r="AC1347" i="9" s="1"/>
  <c r="L1348" i="9"/>
  <c r="N1348" i="9" s="1"/>
  <c r="AC1348" i="9" s="1"/>
  <c r="L1349" i="9"/>
  <c r="N1349" i="9" s="1"/>
  <c r="AC1349" i="9" s="1"/>
  <c r="L1350" i="9"/>
  <c r="N1350" i="9" s="1"/>
  <c r="AC1350" i="9" s="1"/>
  <c r="L1333" i="9"/>
  <c r="N1333" i="9" s="1"/>
  <c r="AC1333" i="9" s="1"/>
  <c r="L1351" i="9"/>
  <c r="N1351" i="9" s="1"/>
  <c r="AC1351" i="9" s="1"/>
  <c r="L1352" i="9"/>
  <c r="N1352" i="9" s="1"/>
  <c r="AC1352" i="9" s="1"/>
  <c r="L1353" i="9"/>
  <c r="N1353" i="9" s="1"/>
  <c r="AC1353" i="9" s="1"/>
  <c r="L1354" i="9"/>
  <c r="N1354" i="9" s="1"/>
  <c r="AC1354" i="9" s="1"/>
  <c r="L1356" i="9"/>
  <c r="N1356" i="9" s="1"/>
  <c r="AC1356" i="9" s="1"/>
  <c r="L1357" i="9"/>
  <c r="N1357" i="9" s="1"/>
  <c r="AC1357" i="9" s="1"/>
  <c r="L1358" i="9"/>
  <c r="N1358" i="9" s="1"/>
  <c r="AC1358" i="9" s="1"/>
  <c r="L1359" i="9"/>
  <c r="N1359" i="9" s="1"/>
  <c r="AC1359" i="9" s="1"/>
  <c r="L1360" i="9"/>
  <c r="N1360" i="9" s="1"/>
  <c r="AC1360" i="9" s="1"/>
  <c r="L1361" i="9"/>
  <c r="N1361" i="9" s="1"/>
  <c r="AC1361" i="9" s="1"/>
  <c r="L1362" i="9"/>
  <c r="N1362" i="9" s="1"/>
  <c r="AC1362" i="9" s="1"/>
  <c r="L1363" i="9"/>
  <c r="N1363" i="9" s="1"/>
  <c r="AC1363" i="9" s="1"/>
  <c r="L1364" i="9"/>
  <c r="N1364" i="9" s="1"/>
  <c r="AC1364" i="9" s="1"/>
  <c r="L1365" i="9"/>
  <c r="N1365" i="9" s="1"/>
  <c r="AC1365" i="9" s="1"/>
  <c r="L1366" i="9"/>
  <c r="N1366" i="9" s="1"/>
  <c r="AC1366" i="9" s="1"/>
  <c r="L1367" i="9"/>
  <c r="N1367" i="9" s="1"/>
  <c r="AC1367" i="9" s="1"/>
  <c r="L1368" i="9"/>
  <c r="N1368" i="9" s="1"/>
  <c r="AC1368" i="9" s="1"/>
  <c r="L1369" i="9"/>
  <c r="N1369" i="9" s="1"/>
  <c r="AC1369" i="9" s="1"/>
  <c r="L1370" i="9"/>
  <c r="N1370" i="9" s="1"/>
  <c r="AC1370" i="9" s="1"/>
  <c r="L1372" i="9"/>
  <c r="N1372" i="9" s="1"/>
  <c r="AC1372" i="9" s="1"/>
  <c r="L1373" i="9"/>
  <c r="N1373" i="9" s="1"/>
  <c r="AC1373" i="9" s="1"/>
  <c r="L1374" i="9"/>
  <c r="N1374" i="9" s="1"/>
  <c r="AC1374" i="9" s="1"/>
  <c r="L1375" i="9"/>
  <c r="N1375" i="9" s="1"/>
  <c r="AC1375" i="9" s="1"/>
  <c r="L1377" i="9"/>
  <c r="N1377" i="9" s="1"/>
  <c r="AC1377" i="9" s="1"/>
  <c r="L1378" i="9"/>
  <c r="N1378" i="9" s="1"/>
  <c r="AC1378" i="9" s="1"/>
  <c r="L1379" i="9"/>
  <c r="N1379" i="9" s="1"/>
  <c r="AC1379" i="9" s="1"/>
  <c r="L1381" i="9"/>
  <c r="N1381" i="9" s="1"/>
  <c r="AC1381" i="9" s="1"/>
  <c r="L1382" i="9"/>
  <c r="N1382" i="9" s="1"/>
  <c r="AC1382" i="9" s="1"/>
  <c r="L1383" i="9"/>
  <c r="N1383" i="9" s="1"/>
  <c r="AC1383" i="9" s="1"/>
  <c r="L1384" i="9"/>
  <c r="N1384" i="9" s="1"/>
  <c r="AC1384" i="9" s="1"/>
  <c r="L1385" i="9"/>
  <c r="N1385" i="9" s="1"/>
  <c r="AC1385" i="9" s="1"/>
  <c r="L1386" i="9"/>
  <c r="N1386" i="9" s="1"/>
  <c r="AC1386" i="9" s="1"/>
  <c r="L1387" i="9"/>
  <c r="N1387" i="9" s="1"/>
  <c r="AC1387" i="9" s="1"/>
  <c r="L1388" i="9"/>
  <c r="N1388" i="9" s="1"/>
  <c r="AC1388" i="9" s="1"/>
  <c r="L1389" i="9"/>
  <c r="N1389" i="9" s="1"/>
  <c r="AC1389" i="9" s="1"/>
  <c r="L1390" i="9"/>
  <c r="N1390" i="9" s="1"/>
  <c r="AC1390" i="9" s="1"/>
  <c r="L1391" i="9"/>
  <c r="N1391" i="9" s="1"/>
  <c r="AC1391" i="9" s="1"/>
  <c r="L1380" i="9"/>
  <c r="N1380" i="9" s="1"/>
  <c r="AC1380" i="9" s="1"/>
  <c r="L1393" i="9"/>
  <c r="N1393" i="9" s="1"/>
  <c r="AC1393" i="9" s="1"/>
  <c r="L1376" i="9"/>
  <c r="N1376" i="9" s="1"/>
  <c r="AC1376" i="9" s="1"/>
  <c r="L1394" i="9"/>
  <c r="N1394" i="9" s="1"/>
  <c r="AC1394" i="9" s="1"/>
  <c r="I285" i="3"/>
  <c r="K285" i="3" s="1"/>
  <c r="I286" i="3"/>
  <c r="K286" i="3" s="1"/>
  <c r="I287" i="3"/>
  <c r="K287" i="3" s="1"/>
  <c r="T1173" i="9" l="1"/>
  <c r="W1173" i="9" s="1"/>
  <c r="T1174" i="9"/>
  <c r="W1174" i="9" s="1"/>
  <c r="T1175" i="9"/>
  <c r="W1175" i="9" s="1"/>
  <c r="T1176" i="9"/>
  <c r="W1176" i="9" s="1"/>
  <c r="T1177" i="9"/>
  <c r="W1177" i="9" s="1"/>
  <c r="T1178" i="9"/>
  <c r="W1178" i="9" s="1"/>
  <c r="T1179" i="9"/>
  <c r="W1179" i="9" s="1"/>
  <c r="T1180" i="9"/>
  <c r="W1180" i="9" s="1"/>
  <c r="T1181" i="9"/>
  <c r="W1181" i="9" s="1"/>
  <c r="T1182" i="9"/>
  <c r="W1182" i="9" s="1"/>
  <c r="T1183" i="9"/>
  <c r="W1183" i="9" s="1"/>
  <c r="T1184" i="9"/>
  <c r="W1184" i="9" s="1"/>
  <c r="T1185" i="9"/>
  <c r="W1185" i="9" s="1"/>
  <c r="T1186" i="9"/>
  <c r="W1186" i="9" s="1"/>
  <c r="T1187" i="9"/>
  <c r="W1187" i="9" s="1"/>
  <c r="T1188" i="9"/>
  <c r="W1188" i="9" s="1"/>
  <c r="T1189" i="9"/>
  <c r="W1189" i="9" s="1"/>
  <c r="T1190" i="9"/>
  <c r="W1190" i="9" s="1"/>
  <c r="T1191" i="9"/>
  <c r="W1191" i="9" s="1"/>
  <c r="T1192" i="9"/>
  <c r="W1192" i="9" s="1"/>
  <c r="T1193" i="9"/>
  <c r="W1193" i="9" s="1"/>
  <c r="T1194" i="9"/>
  <c r="W1194" i="9" s="1"/>
  <c r="T1195" i="9"/>
  <c r="W1195" i="9" s="1"/>
  <c r="T1196" i="9"/>
  <c r="W1196" i="9" s="1"/>
  <c r="T1197" i="9"/>
  <c r="W1197" i="9" s="1"/>
  <c r="T1198" i="9"/>
  <c r="W1198" i="9" s="1"/>
  <c r="T1200" i="9"/>
  <c r="W1200" i="9" s="1"/>
  <c r="T1201" i="9"/>
  <c r="W1201" i="9" s="1"/>
  <c r="T1202" i="9"/>
  <c r="W1202" i="9" s="1"/>
  <c r="T1204" i="9"/>
  <c r="W1204" i="9" s="1"/>
  <c r="T1205" i="9"/>
  <c r="W1205" i="9" s="1"/>
  <c r="T1206" i="9"/>
  <c r="W1206" i="9" s="1"/>
  <c r="T1207" i="9"/>
  <c r="W1207" i="9" s="1"/>
  <c r="T1208" i="9"/>
  <c r="W1208" i="9" s="1"/>
  <c r="T1209" i="9"/>
  <c r="W1209" i="9" s="1"/>
  <c r="T1210" i="9"/>
  <c r="W1210" i="9" s="1"/>
  <c r="T1211" i="9"/>
  <c r="W1211" i="9" s="1"/>
  <c r="T1212" i="9"/>
  <c r="W1212" i="9" s="1"/>
  <c r="T1213" i="9"/>
  <c r="W1213" i="9" s="1"/>
  <c r="T1214" i="9"/>
  <c r="W1214" i="9" s="1"/>
  <c r="T1215" i="9"/>
  <c r="W1215" i="9" s="1"/>
  <c r="T1216" i="9"/>
  <c r="W1216" i="9" s="1"/>
  <c r="T1217" i="9"/>
  <c r="W1217" i="9" s="1"/>
  <c r="T1199" i="9"/>
  <c r="W1199" i="9" s="1"/>
  <c r="T1218" i="9"/>
  <c r="W1218" i="9" s="1"/>
  <c r="T1219" i="9"/>
  <c r="W1219" i="9" s="1"/>
  <c r="L1173" i="9"/>
  <c r="N1173" i="9" s="1"/>
  <c r="AC1173" i="9" s="1"/>
  <c r="L1174" i="9"/>
  <c r="N1174" i="9" s="1"/>
  <c r="AC1174" i="9" s="1"/>
  <c r="L1175" i="9"/>
  <c r="N1175" i="9" s="1"/>
  <c r="AC1175" i="9" s="1"/>
  <c r="L1176" i="9"/>
  <c r="N1176" i="9" s="1"/>
  <c r="AC1176" i="9" s="1"/>
  <c r="L1177" i="9"/>
  <c r="N1177" i="9" s="1"/>
  <c r="AC1177" i="9" s="1"/>
  <c r="L1178" i="9"/>
  <c r="N1178" i="9" s="1"/>
  <c r="AC1178" i="9" s="1"/>
  <c r="L1179" i="9"/>
  <c r="N1179" i="9" s="1"/>
  <c r="AC1179" i="9" s="1"/>
  <c r="L1180" i="9"/>
  <c r="N1180" i="9" s="1"/>
  <c r="AC1180" i="9" s="1"/>
  <c r="L1181" i="9"/>
  <c r="N1181" i="9" s="1"/>
  <c r="AC1181" i="9" s="1"/>
  <c r="L1182" i="9"/>
  <c r="N1182" i="9" s="1"/>
  <c r="AC1182" i="9" s="1"/>
  <c r="L1183" i="9"/>
  <c r="N1183" i="9" s="1"/>
  <c r="AC1183" i="9" s="1"/>
  <c r="L1184" i="9"/>
  <c r="N1184" i="9" s="1"/>
  <c r="AC1184" i="9" s="1"/>
  <c r="L1185" i="9"/>
  <c r="N1185" i="9" s="1"/>
  <c r="AC1185" i="9" s="1"/>
  <c r="L1186" i="9"/>
  <c r="N1186" i="9" s="1"/>
  <c r="AC1186" i="9" s="1"/>
  <c r="L1187" i="9"/>
  <c r="N1187" i="9" s="1"/>
  <c r="AC1187" i="9" s="1"/>
  <c r="L1188" i="9"/>
  <c r="N1188" i="9" s="1"/>
  <c r="AC1188" i="9" s="1"/>
  <c r="L1189" i="9"/>
  <c r="N1189" i="9" s="1"/>
  <c r="AC1189" i="9" s="1"/>
  <c r="L1190" i="9"/>
  <c r="N1190" i="9" s="1"/>
  <c r="AC1190" i="9" s="1"/>
  <c r="L1191" i="9"/>
  <c r="N1191" i="9" s="1"/>
  <c r="AC1191" i="9" s="1"/>
  <c r="L1192" i="9"/>
  <c r="N1192" i="9" s="1"/>
  <c r="AC1192" i="9" s="1"/>
  <c r="L1193" i="9"/>
  <c r="N1193" i="9" s="1"/>
  <c r="AC1193" i="9" s="1"/>
  <c r="L1194" i="9"/>
  <c r="N1194" i="9" s="1"/>
  <c r="AC1194" i="9" s="1"/>
  <c r="L1195" i="9"/>
  <c r="N1195" i="9" s="1"/>
  <c r="AC1195" i="9" s="1"/>
  <c r="L1196" i="9"/>
  <c r="N1196" i="9" s="1"/>
  <c r="AC1196" i="9" s="1"/>
  <c r="L1197" i="9"/>
  <c r="N1197" i="9" s="1"/>
  <c r="AC1197" i="9" s="1"/>
  <c r="L1198" i="9"/>
  <c r="N1198" i="9" s="1"/>
  <c r="AC1198" i="9" s="1"/>
  <c r="L1200" i="9"/>
  <c r="N1200" i="9" s="1"/>
  <c r="AC1200" i="9" s="1"/>
  <c r="L1201" i="9"/>
  <c r="N1201" i="9" s="1"/>
  <c r="AC1201" i="9" s="1"/>
  <c r="L1202" i="9"/>
  <c r="N1202" i="9" s="1"/>
  <c r="AC1202" i="9" s="1"/>
  <c r="L1204" i="9"/>
  <c r="N1204" i="9" s="1"/>
  <c r="AC1204" i="9" s="1"/>
  <c r="L1205" i="9"/>
  <c r="N1205" i="9" s="1"/>
  <c r="AC1205" i="9" s="1"/>
  <c r="L1206" i="9"/>
  <c r="N1206" i="9" s="1"/>
  <c r="AC1206" i="9" s="1"/>
  <c r="L1207" i="9"/>
  <c r="N1207" i="9" s="1"/>
  <c r="AC1207" i="9" s="1"/>
  <c r="L1208" i="9"/>
  <c r="N1208" i="9" s="1"/>
  <c r="AC1208" i="9" s="1"/>
  <c r="L1209" i="9"/>
  <c r="N1209" i="9" s="1"/>
  <c r="AC1209" i="9" s="1"/>
  <c r="L1210" i="9"/>
  <c r="N1210" i="9" s="1"/>
  <c r="AC1210" i="9" s="1"/>
  <c r="L1211" i="9"/>
  <c r="N1211" i="9" s="1"/>
  <c r="AC1211" i="9" s="1"/>
  <c r="L1212" i="9"/>
  <c r="N1212" i="9" s="1"/>
  <c r="AC1212" i="9" s="1"/>
  <c r="L1213" i="9"/>
  <c r="N1213" i="9" s="1"/>
  <c r="AC1213" i="9" s="1"/>
  <c r="L1214" i="9"/>
  <c r="N1214" i="9" s="1"/>
  <c r="AC1214" i="9" s="1"/>
  <c r="L1215" i="9"/>
  <c r="N1215" i="9" s="1"/>
  <c r="AC1215" i="9" s="1"/>
  <c r="L1216" i="9"/>
  <c r="N1216" i="9" s="1"/>
  <c r="AC1216" i="9" s="1"/>
  <c r="L1217" i="9"/>
  <c r="N1217" i="9" s="1"/>
  <c r="AC1217" i="9" s="1"/>
  <c r="L1199" i="9"/>
  <c r="N1199" i="9" s="1"/>
  <c r="AC1199" i="9" s="1"/>
  <c r="L1218" i="9"/>
  <c r="N1218" i="9" s="1"/>
  <c r="AC1218" i="9" s="1"/>
  <c r="L1219" i="9"/>
  <c r="N1219" i="9" s="1"/>
  <c r="AC1219" i="9" s="1"/>
  <c r="T1167" i="9"/>
  <c r="W1167" i="9" s="1"/>
  <c r="L1167" i="9"/>
  <c r="N1167" i="9" s="1"/>
  <c r="AC1167" i="9" s="1"/>
  <c r="I283" i="3"/>
  <c r="K283" i="3" s="1"/>
  <c r="I284" i="3"/>
  <c r="K284" i="3" s="1"/>
  <c r="I279" i="3"/>
  <c r="K279" i="3" s="1"/>
  <c r="I280" i="3"/>
  <c r="K280" i="3" s="1"/>
  <c r="I281" i="3"/>
  <c r="K281" i="3" s="1"/>
  <c r="I282" i="3"/>
  <c r="K282" i="3" s="1"/>
  <c r="T1128" i="9"/>
  <c r="W1128" i="9" s="1"/>
  <c r="T1129" i="9"/>
  <c r="W1129" i="9" s="1"/>
  <c r="T1130" i="9"/>
  <c r="W1130" i="9" s="1"/>
  <c r="T1131" i="9"/>
  <c r="W1131" i="9" s="1"/>
  <c r="T1132" i="9"/>
  <c r="W1132" i="9" s="1"/>
  <c r="T1133" i="9"/>
  <c r="W1133" i="9" s="1"/>
  <c r="T1134" i="9"/>
  <c r="W1134" i="9" s="1"/>
  <c r="T1135" i="9"/>
  <c r="W1135" i="9" s="1"/>
  <c r="T1136" i="9"/>
  <c r="W1136" i="9" s="1"/>
  <c r="T1137" i="9"/>
  <c r="W1137" i="9" s="1"/>
  <c r="T1138" i="9"/>
  <c r="W1138" i="9" s="1"/>
  <c r="T1139" i="9"/>
  <c r="W1139" i="9" s="1"/>
  <c r="T1140" i="9"/>
  <c r="W1140" i="9" s="1"/>
  <c r="T1141" i="9"/>
  <c r="W1141" i="9" s="1"/>
  <c r="T1142" i="9"/>
  <c r="W1142" i="9" s="1"/>
  <c r="T1143" i="9"/>
  <c r="W1143" i="9" s="1"/>
  <c r="T1144" i="9"/>
  <c r="W1144" i="9" s="1"/>
  <c r="T1145" i="9"/>
  <c r="W1145" i="9" s="1"/>
  <c r="T1146" i="9"/>
  <c r="W1146" i="9" s="1"/>
  <c r="T1147" i="9"/>
  <c r="W1147" i="9" s="1"/>
  <c r="T1148" i="9"/>
  <c r="W1148" i="9" s="1"/>
  <c r="T1149" i="9"/>
  <c r="W1149" i="9" s="1"/>
  <c r="T1150" i="9"/>
  <c r="W1150" i="9" s="1"/>
  <c r="T1151" i="9"/>
  <c r="W1151" i="9" s="1"/>
  <c r="T1153" i="9"/>
  <c r="W1153" i="9" s="1"/>
  <c r="T1154" i="9"/>
  <c r="W1154" i="9" s="1"/>
  <c r="T1155" i="9"/>
  <c r="W1155" i="9" s="1"/>
  <c r="T1156" i="9"/>
  <c r="W1156" i="9" s="1"/>
  <c r="T1157" i="9"/>
  <c r="W1157" i="9" s="1"/>
  <c r="T1158" i="9"/>
  <c r="W1158" i="9" s="1"/>
  <c r="T1159" i="9"/>
  <c r="W1159" i="9" s="1"/>
  <c r="T1160" i="9"/>
  <c r="W1160" i="9" s="1"/>
  <c r="T1161" i="9"/>
  <c r="W1161" i="9" s="1"/>
  <c r="T1162" i="9"/>
  <c r="W1162" i="9" s="1"/>
  <c r="T1163" i="9"/>
  <c r="W1163" i="9" s="1"/>
  <c r="T1164" i="9"/>
  <c r="W1164" i="9" s="1"/>
  <c r="T1165" i="9"/>
  <c r="W1165" i="9" s="1"/>
  <c r="T1166" i="9"/>
  <c r="W1166" i="9" s="1"/>
  <c r="T1152" i="9"/>
  <c r="W1152" i="9" s="1"/>
  <c r="T1168" i="9"/>
  <c r="W1168" i="9" s="1"/>
  <c r="T1169" i="9"/>
  <c r="W1169" i="9" s="1"/>
  <c r="T1170" i="9"/>
  <c r="W1170" i="9" s="1"/>
  <c r="T1171" i="9"/>
  <c r="W1171" i="9" s="1"/>
  <c r="T1172" i="9"/>
  <c r="W1172" i="9" s="1"/>
  <c r="L1128" i="9"/>
  <c r="N1128" i="9" s="1"/>
  <c r="AC1128" i="9" s="1"/>
  <c r="L1129" i="9"/>
  <c r="N1129" i="9" s="1"/>
  <c r="AC1129" i="9" s="1"/>
  <c r="L1130" i="9"/>
  <c r="N1130" i="9" s="1"/>
  <c r="AC1130" i="9" s="1"/>
  <c r="L1131" i="9"/>
  <c r="N1131" i="9" s="1"/>
  <c r="AC1131" i="9" s="1"/>
  <c r="L1132" i="9"/>
  <c r="N1132" i="9" s="1"/>
  <c r="AC1132" i="9" s="1"/>
  <c r="L1133" i="9"/>
  <c r="N1133" i="9" s="1"/>
  <c r="AC1133" i="9" s="1"/>
  <c r="L1134" i="9"/>
  <c r="N1134" i="9" s="1"/>
  <c r="AC1134" i="9" s="1"/>
  <c r="L1135" i="9"/>
  <c r="N1135" i="9" s="1"/>
  <c r="AC1135" i="9" s="1"/>
  <c r="L1136" i="9"/>
  <c r="N1136" i="9" s="1"/>
  <c r="AC1136" i="9" s="1"/>
  <c r="L1137" i="9"/>
  <c r="N1137" i="9" s="1"/>
  <c r="AC1137" i="9" s="1"/>
  <c r="L1138" i="9"/>
  <c r="N1138" i="9" s="1"/>
  <c r="AC1138" i="9" s="1"/>
  <c r="L1139" i="9"/>
  <c r="N1139" i="9" s="1"/>
  <c r="AC1139" i="9" s="1"/>
  <c r="L1140" i="9"/>
  <c r="N1140" i="9" s="1"/>
  <c r="AC1140" i="9" s="1"/>
  <c r="L1141" i="9"/>
  <c r="N1141" i="9" s="1"/>
  <c r="AC1141" i="9" s="1"/>
  <c r="L1142" i="9"/>
  <c r="N1142" i="9" s="1"/>
  <c r="AC1142" i="9" s="1"/>
  <c r="L1143" i="9"/>
  <c r="N1143" i="9" s="1"/>
  <c r="AC1143" i="9" s="1"/>
  <c r="L1144" i="9"/>
  <c r="N1144" i="9" s="1"/>
  <c r="AC1144" i="9" s="1"/>
  <c r="L1145" i="9"/>
  <c r="N1145" i="9" s="1"/>
  <c r="AC1145" i="9" s="1"/>
  <c r="L1146" i="9"/>
  <c r="N1146" i="9" s="1"/>
  <c r="AC1146" i="9" s="1"/>
  <c r="L1147" i="9"/>
  <c r="N1147" i="9" s="1"/>
  <c r="AC1147" i="9" s="1"/>
  <c r="L1148" i="9"/>
  <c r="N1148" i="9" s="1"/>
  <c r="AC1148" i="9" s="1"/>
  <c r="L1149" i="9"/>
  <c r="N1149" i="9" s="1"/>
  <c r="AC1149" i="9" s="1"/>
  <c r="L1150" i="9"/>
  <c r="N1150" i="9" s="1"/>
  <c r="AC1150" i="9" s="1"/>
  <c r="L1151" i="9"/>
  <c r="N1151" i="9" s="1"/>
  <c r="AC1151" i="9" s="1"/>
  <c r="L1153" i="9"/>
  <c r="N1153" i="9" s="1"/>
  <c r="AC1153" i="9" s="1"/>
  <c r="L1154" i="9"/>
  <c r="N1154" i="9" s="1"/>
  <c r="AC1154" i="9" s="1"/>
  <c r="L1155" i="9"/>
  <c r="N1155" i="9" s="1"/>
  <c r="AC1155" i="9" s="1"/>
  <c r="L1156" i="9"/>
  <c r="N1156" i="9" s="1"/>
  <c r="AC1156" i="9" s="1"/>
  <c r="L1157" i="9"/>
  <c r="N1157" i="9" s="1"/>
  <c r="AC1157" i="9" s="1"/>
  <c r="L1158" i="9"/>
  <c r="N1158" i="9" s="1"/>
  <c r="AC1158" i="9" s="1"/>
  <c r="L1159" i="9"/>
  <c r="N1159" i="9" s="1"/>
  <c r="AC1159" i="9" s="1"/>
  <c r="L1160" i="9"/>
  <c r="N1160" i="9" s="1"/>
  <c r="AC1160" i="9" s="1"/>
  <c r="L1161" i="9"/>
  <c r="N1161" i="9" s="1"/>
  <c r="AC1161" i="9" s="1"/>
  <c r="L1162" i="9"/>
  <c r="N1162" i="9" s="1"/>
  <c r="AC1162" i="9" s="1"/>
  <c r="L1163" i="9"/>
  <c r="N1163" i="9" s="1"/>
  <c r="AC1163" i="9" s="1"/>
  <c r="L1164" i="9"/>
  <c r="N1164" i="9" s="1"/>
  <c r="AC1164" i="9" s="1"/>
  <c r="L1165" i="9"/>
  <c r="N1165" i="9" s="1"/>
  <c r="AC1165" i="9" s="1"/>
  <c r="L1166" i="9"/>
  <c r="N1166" i="9" s="1"/>
  <c r="AC1166" i="9" s="1"/>
  <c r="L1152" i="9"/>
  <c r="N1152" i="9" s="1"/>
  <c r="AC1152" i="9" s="1"/>
  <c r="L1168" i="9"/>
  <c r="N1168" i="9" s="1"/>
  <c r="AC1168" i="9" s="1"/>
  <c r="L1169" i="9"/>
  <c r="N1169" i="9" s="1"/>
  <c r="AC1169" i="9" s="1"/>
  <c r="L1170" i="9"/>
  <c r="N1170" i="9" s="1"/>
  <c r="AC1170" i="9" s="1"/>
  <c r="L1171" i="9"/>
  <c r="N1171" i="9" s="1"/>
  <c r="AC1171" i="9" s="1"/>
  <c r="L1172" i="9"/>
  <c r="N1172" i="9" s="1"/>
  <c r="AC1172" i="9" s="1"/>
  <c r="I274" i="3"/>
  <c r="K274" i="3" s="1"/>
  <c r="I275" i="3"/>
  <c r="K275" i="3" s="1"/>
  <c r="I276" i="3"/>
  <c r="K276" i="3" s="1"/>
  <c r="I277" i="3"/>
  <c r="K277" i="3" s="1"/>
  <c r="I278" i="3"/>
  <c r="K278" i="3" s="1"/>
  <c r="T1086" i="9"/>
  <c r="W1086" i="9" s="1"/>
  <c r="T1087" i="9"/>
  <c r="W1087" i="9" s="1"/>
  <c r="T1088" i="9"/>
  <c r="W1088" i="9" s="1"/>
  <c r="T1089" i="9"/>
  <c r="W1089" i="9" s="1"/>
  <c r="T1090" i="9"/>
  <c r="W1090" i="9" s="1"/>
  <c r="T1091" i="9"/>
  <c r="W1091" i="9" s="1"/>
  <c r="T1092" i="9"/>
  <c r="W1092" i="9" s="1"/>
  <c r="T1093" i="9"/>
  <c r="W1093" i="9" s="1"/>
  <c r="T1094" i="9"/>
  <c r="W1094" i="9" s="1"/>
  <c r="T1095" i="9"/>
  <c r="W1095" i="9" s="1"/>
  <c r="T1096" i="9"/>
  <c r="W1096" i="9" s="1"/>
  <c r="T1097" i="9"/>
  <c r="W1097" i="9" s="1"/>
  <c r="T1098" i="9"/>
  <c r="W1098" i="9" s="1"/>
  <c r="T1099" i="9"/>
  <c r="W1099" i="9" s="1"/>
  <c r="T1100" i="9"/>
  <c r="W1100" i="9" s="1"/>
  <c r="T1101" i="9"/>
  <c r="W1101" i="9" s="1"/>
  <c r="T1103" i="9"/>
  <c r="W1103" i="9" s="1"/>
  <c r="T1104" i="9"/>
  <c r="W1104" i="9" s="1"/>
  <c r="T1105" i="9"/>
  <c r="W1105" i="9" s="1"/>
  <c r="T1106" i="9"/>
  <c r="W1106" i="9" s="1"/>
  <c r="T1107" i="9"/>
  <c r="W1107" i="9" s="1"/>
  <c r="T1108" i="9"/>
  <c r="W1108" i="9" s="1"/>
  <c r="T1109" i="9"/>
  <c r="W1109" i="9" s="1"/>
  <c r="T1110" i="9"/>
  <c r="W1110" i="9" s="1"/>
  <c r="T1112" i="9"/>
  <c r="W1112" i="9" s="1"/>
  <c r="T1113" i="9"/>
  <c r="W1113" i="9" s="1"/>
  <c r="T1114" i="9"/>
  <c r="W1114" i="9" s="1"/>
  <c r="T1115" i="9"/>
  <c r="W1115" i="9" s="1"/>
  <c r="T1116" i="9"/>
  <c r="W1116" i="9" s="1"/>
  <c r="T1117" i="9"/>
  <c r="W1117" i="9" s="1"/>
  <c r="T1118" i="9"/>
  <c r="W1118" i="9" s="1"/>
  <c r="T1119" i="9"/>
  <c r="W1119" i="9" s="1"/>
  <c r="T1120" i="9"/>
  <c r="W1120" i="9" s="1"/>
  <c r="T1121" i="9"/>
  <c r="W1121" i="9" s="1"/>
  <c r="T1122" i="9"/>
  <c r="W1122" i="9" s="1"/>
  <c r="T1123" i="9"/>
  <c r="W1123" i="9" s="1"/>
  <c r="T1111" i="9"/>
  <c r="W1111" i="9" s="1"/>
  <c r="T1124" i="9"/>
  <c r="W1124" i="9" s="1"/>
  <c r="T1125" i="9"/>
  <c r="W1125" i="9" s="1"/>
  <c r="T1126" i="9"/>
  <c r="W1126" i="9" s="1"/>
  <c r="T1127" i="9"/>
  <c r="W1127" i="9" s="1"/>
  <c r="L1086" i="9"/>
  <c r="N1086" i="9" s="1"/>
  <c r="AC1086" i="9" s="1"/>
  <c r="L1087" i="9"/>
  <c r="N1087" i="9" s="1"/>
  <c r="AC1087" i="9" s="1"/>
  <c r="L1088" i="9"/>
  <c r="N1088" i="9" s="1"/>
  <c r="AC1088" i="9" s="1"/>
  <c r="L1089" i="9"/>
  <c r="N1089" i="9" s="1"/>
  <c r="AC1089" i="9" s="1"/>
  <c r="L1090" i="9"/>
  <c r="N1090" i="9" s="1"/>
  <c r="AC1090" i="9" s="1"/>
  <c r="L1091" i="9"/>
  <c r="N1091" i="9" s="1"/>
  <c r="AC1091" i="9" s="1"/>
  <c r="L1092" i="9"/>
  <c r="N1092" i="9" s="1"/>
  <c r="AC1092" i="9" s="1"/>
  <c r="L1093" i="9"/>
  <c r="N1093" i="9" s="1"/>
  <c r="AC1093" i="9" s="1"/>
  <c r="L1094" i="9"/>
  <c r="N1094" i="9" s="1"/>
  <c r="AC1094" i="9" s="1"/>
  <c r="L1095" i="9"/>
  <c r="N1095" i="9" s="1"/>
  <c r="AC1095" i="9" s="1"/>
  <c r="L1096" i="9"/>
  <c r="N1096" i="9" s="1"/>
  <c r="AC1096" i="9" s="1"/>
  <c r="L1097" i="9"/>
  <c r="N1097" i="9" s="1"/>
  <c r="AC1097" i="9" s="1"/>
  <c r="L1098" i="9"/>
  <c r="N1098" i="9" s="1"/>
  <c r="AC1098" i="9" s="1"/>
  <c r="L1099" i="9"/>
  <c r="N1099" i="9" s="1"/>
  <c r="AC1099" i="9" s="1"/>
  <c r="L1100" i="9"/>
  <c r="N1100" i="9" s="1"/>
  <c r="AC1100" i="9" s="1"/>
  <c r="L1101" i="9"/>
  <c r="N1101" i="9" s="1"/>
  <c r="AC1101" i="9" s="1"/>
  <c r="L1103" i="9"/>
  <c r="N1103" i="9" s="1"/>
  <c r="AC1103" i="9" s="1"/>
  <c r="L1104" i="9"/>
  <c r="N1104" i="9" s="1"/>
  <c r="AC1104" i="9" s="1"/>
  <c r="L1105" i="9"/>
  <c r="N1105" i="9" s="1"/>
  <c r="AC1105" i="9" s="1"/>
  <c r="L1106" i="9"/>
  <c r="N1106" i="9" s="1"/>
  <c r="AC1106" i="9" s="1"/>
  <c r="L1107" i="9"/>
  <c r="N1107" i="9" s="1"/>
  <c r="AC1107" i="9" s="1"/>
  <c r="L1108" i="9"/>
  <c r="N1108" i="9" s="1"/>
  <c r="AC1108" i="9" s="1"/>
  <c r="L1109" i="9"/>
  <c r="N1109" i="9" s="1"/>
  <c r="AC1109" i="9" s="1"/>
  <c r="L1110" i="9"/>
  <c r="N1110" i="9" s="1"/>
  <c r="AC1110" i="9" s="1"/>
  <c r="L1112" i="9"/>
  <c r="N1112" i="9" s="1"/>
  <c r="AC1112" i="9" s="1"/>
  <c r="L1113" i="9"/>
  <c r="N1113" i="9" s="1"/>
  <c r="AC1113" i="9" s="1"/>
  <c r="L1114" i="9"/>
  <c r="N1114" i="9" s="1"/>
  <c r="AC1114" i="9" s="1"/>
  <c r="L1115" i="9"/>
  <c r="N1115" i="9" s="1"/>
  <c r="AC1115" i="9" s="1"/>
  <c r="L1116" i="9"/>
  <c r="N1116" i="9" s="1"/>
  <c r="AC1116" i="9" s="1"/>
  <c r="L1117" i="9"/>
  <c r="N1117" i="9" s="1"/>
  <c r="AC1117" i="9" s="1"/>
  <c r="L1118" i="9"/>
  <c r="N1118" i="9" s="1"/>
  <c r="AC1118" i="9" s="1"/>
  <c r="L1119" i="9"/>
  <c r="N1119" i="9" s="1"/>
  <c r="AC1119" i="9" s="1"/>
  <c r="L1120" i="9"/>
  <c r="N1120" i="9" s="1"/>
  <c r="AC1120" i="9" s="1"/>
  <c r="L1121" i="9"/>
  <c r="N1121" i="9" s="1"/>
  <c r="AC1121" i="9" s="1"/>
  <c r="L1122" i="9"/>
  <c r="N1122" i="9" s="1"/>
  <c r="AC1122" i="9" s="1"/>
  <c r="L1123" i="9"/>
  <c r="N1123" i="9" s="1"/>
  <c r="AC1123" i="9" s="1"/>
  <c r="L1111" i="9"/>
  <c r="N1111" i="9" s="1"/>
  <c r="AC1111" i="9" s="1"/>
  <c r="L1124" i="9"/>
  <c r="N1124" i="9" s="1"/>
  <c r="AC1124" i="9" s="1"/>
  <c r="L1125" i="9"/>
  <c r="N1125" i="9" s="1"/>
  <c r="AC1125" i="9" s="1"/>
  <c r="L1126" i="9"/>
  <c r="N1126" i="9" s="1"/>
  <c r="AC1126" i="9" s="1"/>
  <c r="L1127" i="9"/>
  <c r="N1127" i="9" s="1"/>
  <c r="AC1127" i="9" s="1"/>
  <c r="I267" i="3"/>
  <c r="K267" i="3" s="1"/>
  <c r="I268" i="3"/>
  <c r="K268" i="3" s="1"/>
  <c r="I269" i="3"/>
  <c r="K269" i="3" s="1"/>
  <c r="I270" i="3"/>
  <c r="K270" i="3" s="1"/>
  <c r="I271" i="3"/>
  <c r="K271" i="3" s="1"/>
  <c r="I272" i="3"/>
  <c r="K272" i="3" s="1"/>
  <c r="I273" i="3"/>
  <c r="K273" i="3" s="1"/>
  <c r="T996" i="9"/>
  <c r="W996" i="9" s="1"/>
  <c r="T997" i="9"/>
  <c r="W997" i="9" s="1"/>
  <c r="T998" i="9"/>
  <c r="W998" i="9" s="1"/>
  <c r="T999" i="9"/>
  <c r="W999" i="9" s="1"/>
  <c r="T1000" i="9"/>
  <c r="W1000" i="9" s="1"/>
  <c r="T1001" i="9"/>
  <c r="W1001" i="9" s="1"/>
  <c r="T1002" i="9"/>
  <c r="W1002" i="9" s="1"/>
  <c r="T1003" i="9"/>
  <c r="W1003" i="9" s="1"/>
  <c r="T1004" i="9"/>
  <c r="W1004" i="9" s="1"/>
  <c r="T1005" i="9"/>
  <c r="W1005" i="9" s="1"/>
  <c r="T1006" i="9"/>
  <c r="W1006" i="9" s="1"/>
  <c r="T1007" i="9"/>
  <c r="W1007" i="9" s="1"/>
  <c r="T1008" i="9"/>
  <c r="W1008" i="9" s="1"/>
  <c r="T1009" i="9"/>
  <c r="W1009" i="9" s="1"/>
  <c r="T1010" i="9"/>
  <c r="W1010" i="9" s="1"/>
  <c r="T1011" i="9"/>
  <c r="W1011" i="9" s="1"/>
  <c r="T1012" i="9"/>
  <c r="W1012" i="9" s="1"/>
  <c r="T1013" i="9"/>
  <c r="W1013" i="9" s="1"/>
  <c r="T1014" i="9"/>
  <c r="W1014" i="9" s="1"/>
  <c r="T1015" i="9"/>
  <c r="W1015" i="9" s="1"/>
  <c r="T1016" i="9"/>
  <c r="W1016" i="9" s="1"/>
  <c r="T1017" i="9"/>
  <c r="W1017" i="9" s="1"/>
  <c r="T1018" i="9"/>
  <c r="W1018" i="9" s="1"/>
  <c r="T1019" i="9"/>
  <c r="W1019" i="9" s="1"/>
  <c r="T1020" i="9"/>
  <c r="W1020" i="9" s="1"/>
  <c r="T1022" i="9"/>
  <c r="W1022" i="9" s="1"/>
  <c r="T1023" i="9"/>
  <c r="W1023" i="9" s="1"/>
  <c r="T1024" i="9"/>
  <c r="W1024" i="9" s="1"/>
  <c r="T1025" i="9"/>
  <c r="W1025" i="9" s="1"/>
  <c r="T1026" i="9"/>
  <c r="W1026" i="9" s="1"/>
  <c r="T1027" i="9"/>
  <c r="W1027" i="9" s="1"/>
  <c r="T1028" i="9"/>
  <c r="W1028" i="9" s="1"/>
  <c r="T1029" i="9"/>
  <c r="W1029" i="9" s="1"/>
  <c r="T1030" i="9"/>
  <c r="W1030" i="9" s="1"/>
  <c r="T1031" i="9"/>
  <c r="W1031" i="9" s="1"/>
  <c r="T1032" i="9"/>
  <c r="W1032" i="9" s="1"/>
  <c r="T1033" i="9"/>
  <c r="W1033" i="9" s="1"/>
  <c r="T1034" i="9"/>
  <c r="W1034" i="9" s="1"/>
  <c r="T1035" i="9"/>
  <c r="W1035" i="9" s="1"/>
  <c r="T1036" i="9"/>
  <c r="W1036" i="9" s="1"/>
  <c r="T1037" i="9"/>
  <c r="W1037" i="9" s="1"/>
  <c r="T1038" i="9"/>
  <c r="W1038" i="9" s="1"/>
  <c r="T1021" i="9"/>
  <c r="W1021" i="9" s="1"/>
  <c r="T1039" i="9"/>
  <c r="W1039" i="9" s="1"/>
  <c r="T1040" i="9"/>
  <c r="W1040" i="9" s="1"/>
  <c r="T1041" i="9"/>
  <c r="W1041" i="9" s="1"/>
  <c r="T1042" i="9"/>
  <c r="W1042" i="9" s="1"/>
  <c r="T1043" i="9"/>
  <c r="W1043" i="9" s="1"/>
  <c r="T1044" i="9"/>
  <c r="W1044" i="9" s="1"/>
  <c r="T1045" i="9"/>
  <c r="W1045" i="9" s="1"/>
  <c r="T1046" i="9"/>
  <c r="W1046" i="9" s="1"/>
  <c r="T1047" i="9"/>
  <c r="W1047" i="9" s="1"/>
  <c r="T1048" i="9"/>
  <c r="W1048" i="9" s="1"/>
  <c r="T1049" i="9"/>
  <c r="W1049" i="9" s="1"/>
  <c r="T1050" i="9"/>
  <c r="W1050" i="9" s="1"/>
  <c r="T1051" i="9"/>
  <c r="W1051" i="9" s="1"/>
  <c r="T1052" i="9"/>
  <c r="W1052" i="9" s="1"/>
  <c r="T1053" i="9"/>
  <c r="W1053" i="9" s="1"/>
  <c r="T1054" i="9"/>
  <c r="W1054" i="9" s="1"/>
  <c r="T1055" i="9"/>
  <c r="W1055" i="9" s="1"/>
  <c r="T1056" i="9"/>
  <c r="W1056" i="9" s="1"/>
  <c r="T1057" i="9"/>
  <c r="W1057" i="9" s="1"/>
  <c r="T1058" i="9"/>
  <c r="W1058" i="9" s="1"/>
  <c r="T1059" i="9"/>
  <c r="W1059" i="9" s="1"/>
  <c r="T1060" i="9"/>
  <c r="W1060" i="9" s="1"/>
  <c r="T1061" i="9"/>
  <c r="W1061" i="9" s="1"/>
  <c r="T1062" i="9"/>
  <c r="W1062" i="9" s="1"/>
  <c r="T1063" i="9"/>
  <c r="W1063" i="9" s="1"/>
  <c r="T1064" i="9"/>
  <c r="W1064" i="9" s="1"/>
  <c r="T1066" i="9"/>
  <c r="W1066" i="9" s="1"/>
  <c r="T1067" i="9"/>
  <c r="W1067" i="9" s="1"/>
  <c r="T1068" i="9"/>
  <c r="W1068" i="9" s="1"/>
  <c r="T1069" i="9"/>
  <c r="W1069" i="9" s="1"/>
  <c r="T1070" i="9"/>
  <c r="W1070" i="9" s="1"/>
  <c r="T1071" i="9"/>
  <c r="W1071" i="9" s="1"/>
  <c r="T1072" i="9"/>
  <c r="W1072" i="9" s="1"/>
  <c r="T1073" i="9"/>
  <c r="W1073" i="9" s="1"/>
  <c r="T1074" i="9"/>
  <c r="W1074" i="9" s="1"/>
  <c r="T1075" i="9"/>
  <c r="W1075" i="9" s="1"/>
  <c r="T1076" i="9"/>
  <c r="W1076" i="9" s="1"/>
  <c r="T1077" i="9"/>
  <c r="W1077" i="9" s="1"/>
  <c r="T1078" i="9"/>
  <c r="W1078" i="9" s="1"/>
  <c r="T1079" i="9"/>
  <c r="W1079" i="9" s="1"/>
  <c r="T1080" i="9"/>
  <c r="W1080" i="9" s="1"/>
  <c r="T1081" i="9"/>
  <c r="W1081" i="9" s="1"/>
  <c r="T1082" i="9"/>
  <c r="W1082" i="9" s="1"/>
  <c r="T1065" i="9"/>
  <c r="W1065" i="9" s="1"/>
  <c r="T1083" i="9"/>
  <c r="W1083" i="9" s="1"/>
  <c r="T1084" i="9"/>
  <c r="W1084" i="9" s="1"/>
  <c r="L996" i="9"/>
  <c r="N996" i="9" s="1"/>
  <c r="AC996" i="9" s="1"/>
  <c r="L997" i="9"/>
  <c r="N997" i="9" s="1"/>
  <c r="AC997" i="9" s="1"/>
  <c r="L998" i="9"/>
  <c r="N998" i="9" s="1"/>
  <c r="AC998" i="9" s="1"/>
  <c r="L999" i="9"/>
  <c r="N999" i="9" s="1"/>
  <c r="AC999" i="9" s="1"/>
  <c r="L1000" i="9"/>
  <c r="N1000" i="9" s="1"/>
  <c r="AC1000" i="9" s="1"/>
  <c r="L1001" i="9"/>
  <c r="N1001" i="9" s="1"/>
  <c r="AC1001" i="9" s="1"/>
  <c r="L1002" i="9"/>
  <c r="N1002" i="9" s="1"/>
  <c r="AC1002" i="9" s="1"/>
  <c r="L1003" i="9"/>
  <c r="N1003" i="9" s="1"/>
  <c r="AC1003" i="9" s="1"/>
  <c r="L1004" i="9"/>
  <c r="N1004" i="9" s="1"/>
  <c r="AC1004" i="9" s="1"/>
  <c r="L1005" i="9"/>
  <c r="N1005" i="9" s="1"/>
  <c r="AC1005" i="9" s="1"/>
  <c r="L1006" i="9"/>
  <c r="N1006" i="9" s="1"/>
  <c r="AC1006" i="9" s="1"/>
  <c r="L1007" i="9"/>
  <c r="N1007" i="9" s="1"/>
  <c r="AC1007" i="9" s="1"/>
  <c r="L1008" i="9"/>
  <c r="N1008" i="9" s="1"/>
  <c r="AC1008" i="9" s="1"/>
  <c r="L1009" i="9"/>
  <c r="N1009" i="9" s="1"/>
  <c r="AC1009" i="9" s="1"/>
  <c r="L1010" i="9"/>
  <c r="N1010" i="9" s="1"/>
  <c r="AC1010" i="9" s="1"/>
  <c r="L1011" i="9"/>
  <c r="N1011" i="9" s="1"/>
  <c r="AC1011" i="9" s="1"/>
  <c r="L1012" i="9"/>
  <c r="N1012" i="9" s="1"/>
  <c r="AC1012" i="9" s="1"/>
  <c r="L1013" i="9"/>
  <c r="N1013" i="9" s="1"/>
  <c r="AC1013" i="9" s="1"/>
  <c r="L1014" i="9"/>
  <c r="N1014" i="9" s="1"/>
  <c r="AC1014" i="9" s="1"/>
  <c r="L1015" i="9"/>
  <c r="N1015" i="9" s="1"/>
  <c r="AC1015" i="9" s="1"/>
  <c r="L1016" i="9"/>
  <c r="N1016" i="9" s="1"/>
  <c r="AC1016" i="9" s="1"/>
  <c r="L1017" i="9"/>
  <c r="N1017" i="9" s="1"/>
  <c r="AC1017" i="9" s="1"/>
  <c r="L1018" i="9"/>
  <c r="N1018" i="9" s="1"/>
  <c r="AC1018" i="9" s="1"/>
  <c r="L1019" i="9"/>
  <c r="N1019" i="9" s="1"/>
  <c r="AC1019" i="9" s="1"/>
  <c r="L1020" i="9"/>
  <c r="N1020" i="9" s="1"/>
  <c r="AC1020" i="9" s="1"/>
  <c r="L1022" i="9"/>
  <c r="N1022" i="9" s="1"/>
  <c r="AC1022" i="9" s="1"/>
  <c r="L1023" i="9"/>
  <c r="N1023" i="9" s="1"/>
  <c r="AC1023" i="9" s="1"/>
  <c r="L1024" i="9"/>
  <c r="N1024" i="9" s="1"/>
  <c r="AC1024" i="9" s="1"/>
  <c r="L1025" i="9"/>
  <c r="N1025" i="9" s="1"/>
  <c r="AC1025" i="9" s="1"/>
  <c r="L1026" i="9"/>
  <c r="N1026" i="9" s="1"/>
  <c r="AC1026" i="9" s="1"/>
  <c r="L1027" i="9"/>
  <c r="N1027" i="9" s="1"/>
  <c r="AC1027" i="9" s="1"/>
  <c r="L1028" i="9"/>
  <c r="N1028" i="9" s="1"/>
  <c r="AC1028" i="9" s="1"/>
  <c r="L1029" i="9"/>
  <c r="N1029" i="9" s="1"/>
  <c r="AC1029" i="9" s="1"/>
  <c r="L1030" i="9"/>
  <c r="N1030" i="9" s="1"/>
  <c r="AC1030" i="9" s="1"/>
  <c r="L1031" i="9"/>
  <c r="N1031" i="9" s="1"/>
  <c r="AC1031" i="9" s="1"/>
  <c r="L1032" i="9"/>
  <c r="N1032" i="9" s="1"/>
  <c r="AC1032" i="9" s="1"/>
  <c r="L1033" i="9"/>
  <c r="N1033" i="9" s="1"/>
  <c r="AC1033" i="9" s="1"/>
  <c r="L1034" i="9"/>
  <c r="N1034" i="9" s="1"/>
  <c r="AC1034" i="9" s="1"/>
  <c r="L1035" i="9"/>
  <c r="N1035" i="9" s="1"/>
  <c r="AC1035" i="9" s="1"/>
  <c r="L1036" i="9"/>
  <c r="N1036" i="9" s="1"/>
  <c r="AC1036" i="9" s="1"/>
  <c r="L1037" i="9"/>
  <c r="N1037" i="9" s="1"/>
  <c r="AC1037" i="9" s="1"/>
  <c r="L1038" i="9"/>
  <c r="N1038" i="9" s="1"/>
  <c r="AC1038" i="9" s="1"/>
  <c r="L1021" i="9"/>
  <c r="N1021" i="9" s="1"/>
  <c r="AC1021" i="9" s="1"/>
  <c r="L1039" i="9"/>
  <c r="N1039" i="9" s="1"/>
  <c r="AC1039" i="9" s="1"/>
  <c r="L1040" i="9"/>
  <c r="N1040" i="9" s="1"/>
  <c r="AC1040" i="9" s="1"/>
  <c r="L1041" i="9"/>
  <c r="N1041" i="9" s="1"/>
  <c r="AC1041" i="9" s="1"/>
  <c r="L1042" i="9"/>
  <c r="N1042" i="9" s="1"/>
  <c r="AC1042" i="9" s="1"/>
  <c r="L1043" i="9"/>
  <c r="N1043" i="9" s="1"/>
  <c r="AC1043" i="9" s="1"/>
  <c r="L1044" i="9"/>
  <c r="N1044" i="9" s="1"/>
  <c r="AC1044" i="9" s="1"/>
  <c r="L1045" i="9"/>
  <c r="N1045" i="9" s="1"/>
  <c r="AC1045" i="9" s="1"/>
  <c r="L1046" i="9"/>
  <c r="N1046" i="9" s="1"/>
  <c r="AC1046" i="9" s="1"/>
  <c r="L1047" i="9"/>
  <c r="N1047" i="9" s="1"/>
  <c r="AC1047" i="9" s="1"/>
  <c r="L1048" i="9"/>
  <c r="N1048" i="9" s="1"/>
  <c r="AC1048" i="9" s="1"/>
  <c r="L1049" i="9"/>
  <c r="N1049" i="9" s="1"/>
  <c r="AC1049" i="9" s="1"/>
  <c r="L1050" i="9"/>
  <c r="N1050" i="9" s="1"/>
  <c r="AC1050" i="9" s="1"/>
  <c r="L1051" i="9"/>
  <c r="N1051" i="9" s="1"/>
  <c r="AC1051" i="9" s="1"/>
  <c r="L1052" i="9"/>
  <c r="N1052" i="9" s="1"/>
  <c r="AC1052" i="9" s="1"/>
  <c r="L1053" i="9"/>
  <c r="N1053" i="9" s="1"/>
  <c r="AC1053" i="9" s="1"/>
  <c r="L1054" i="9"/>
  <c r="N1054" i="9" s="1"/>
  <c r="AC1054" i="9" s="1"/>
  <c r="L1055" i="9"/>
  <c r="N1055" i="9" s="1"/>
  <c r="AC1055" i="9" s="1"/>
  <c r="L1056" i="9"/>
  <c r="N1056" i="9" s="1"/>
  <c r="AC1056" i="9" s="1"/>
  <c r="L1057" i="9"/>
  <c r="N1057" i="9" s="1"/>
  <c r="AC1057" i="9" s="1"/>
  <c r="L1058" i="9"/>
  <c r="N1058" i="9" s="1"/>
  <c r="AC1058" i="9" s="1"/>
  <c r="L1059" i="9"/>
  <c r="N1059" i="9" s="1"/>
  <c r="AC1059" i="9" s="1"/>
  <c r="L1060" i="9"/>
  <c r="N1060" i="9" s="1"/>
  <c r="AC1060" i="9" s="1"/>
  <c r="L1061" i="9"/>
  <c r="N1061" i="9" s="1"/>
  <c r="AC1061" i="9" s="1"/>
  <c r="L1062" i="9"/>
  <c r="N1062" i="9" s="1"/>
  <c r="AC1062" i="9" s="1"/>
  <c r="L1063" i="9"/>
  <c r="N1063" i="9" s="1"/>
  <c r="AC1063" i="9" s="1"/>
  <c r="L1064" i="9"/>
  <c r="N1064" i="9" s="1"/>
  <c r="AC1064" i="9" s="1"/>
  <c r="L1066" i="9"/>
  <c r="N1066" i="9" s="1"/>
  <c r="AC1066" i="9" s="1"/>
  <c r="L1067" i="9"/>
  <c r="N1067" i="9" s="1"/>
  <c r="AC1067" i="9" s="1"/>
  <c r="L1068" i="9"/>
  <c r="N1068" i="9" s="1"/>
  <c r="AC1068" i="9" s="1"/>
  <c r="L1069" i="9"/>
  <c r="N1069" i="9" s="1"/>
  <c r="AC1069" i="9" s="1"/>
  <c r="L1070" i="9"/>
  <c r="N1070" i="9" s="1"/>
  <c r="AC1070" i="9" s="1"/>
  <c r="L1071" i="9"/>
  <c r="N1071" i="9" s="1"/>
  <c r="AC1071" i="9" s="1"/>
  <c r="L1072" i="9"/>
  <c r="N1072" i="9" s="1"/>
  <c r="AC1072" i="9" s="1"/>
  <c r="L1073" i="9"/>
  <c r="N1073" i="9" s="1"/>
  <c r="AC1073" i="9" s="1"/>
  <c r="L1074" i="9"/>
  <c r="N1074" i="9" s="1"/>
  <c r="AC1074" i="9" s="1"/>
  <c r="L1075" i="9"/>
  <c r="N1075" i="9" s="1"/>
  <c r="AC1075" i="9" s="1"/>
  <c r="L1076" i="9"/>
  <c r="N1076" i="9" s="1"/>
  <c r="AC1076" i="9" s="1"/>
  <c r="L1077" i="9"/>
  <c r="N1077" i="9" s="1"/>
  <c r="AC1077" i="9" s="1"/>
  <c r="L1078" i="9"/>
  <c r="N1078" i="9" s="1"/>
  <c r="AC1078" i="9" s="1"/>
  <c r="L1079" i="9"/>
  <c r="N1079" i="9" s="1"/>
  <c r="AC1079" i="9" s="1"/>
  <c r="L1080" i="9"/>
  <c r="N1080" i="9" s="1"/>
  <c r="AC1080" i="9" s="1"/>
  <c r="L1081" i="9"/>
  <c r="N1081" i="9" s="1"/>
  <c r="AC1081" i="9" s="1"/>
  <c r="L1082" i="9"/>
  <c r="N1082" i="9" s="1"/>
  <c r="AC1082" i="9" s="1"/>
  <c r="L1065" i="9"/>
  <c r="N1065" i="9" s="1"/>
  <c r="AC1065" i="9" s="1"/>
  <c r="L1083" i="9"/>
  <c r="N1083" i="9" s="1"/>
  <c r="AC1083" i="9" s="1"/>
  <c r="L1084" i="9"/>
  <c r="N1084" i="9" s="1"/>
  <c r="AC1084" i="9" s="1"/>
  <c r="T617" i="9"/>
  <c r="T948" i="9"/>
  <c r="W948" i="9" s="1"/>
  <c r="I263" i="3"/>
  <c r="K263" i="3" s="1"/>
  <c r="I264" i="3"/>
  <c r="K264" i="3" s="1"/>
  <c r="I265" i="3"/>
  <c r="K265" i="3" s="1"/>
  <c r="I266" i="3"/>
  <c r="K266" i="3" s="1"/>
  <c r="T995" i="9"/>
  <c r="W995" i="9" s="1"/>
  <c r="T985" i="9"/>
  <c r="W985" i="9" s="1"/>
  <c r="T979" i="9"/>
  <c r="W979" i="9" s="1"/>
  <c r="T972" i="9"/>
  <c r="W972" i="9" s="1"/>
  <c r="T965" i="9"/>
  <c r="W965" i="9" s="1"/>
  <c r="T994" i="9"/>
  <c r="W994" i="9" s="1"/>
  <c r="T976" i="9"/>
  <c r="W976" i="9" s="1"/>
  <c r="T993" i="9"/>
  <c r="W993" i="9" s="1"/>
  <c r="T992" i="9"/>
  <c r="W992" i="9" s="1"/>
  <c r="T991" i="9"/>
  <c r="W991" i="9" s="1"/>
  <c r="T990" i="9"/>
  <c r="W990" i="9" s="1"/>
  <c r="T989" i="9"/>
  <c r="W989" i="9" s="1"/>
  <c r="T988" i="9"/>
  <c r="W988" i="9" s="1"/>
  <c r="T987" i="9"/>
  <c r="W987" i="9" s="1"/>
  <c r="T983" i="9"/>
  <c r="W983" i="9" s="1"/>
  <c r="T980" i="9"/>
  <c r="W980" i="9" s="1"/>
  <c r="T978" i="9"/>
  <c r="W978" i="9" s="1"/>
  <c r="T975" i="9"/>
  <c r="W975" i="9" s="1"/>
  <c r="T973" i="9"/>
  <c r="W973" i="9" s="1"/>
  <c r="T969" i="9"/>
  <c r="W969" i="9" s="1"/>
  <c r="T968" i="9"/>
  <c r="W968" i="9" s="1"/>
  <c r="T966" i="9"/>
  <c r="W966" i="9" s="1"/>
  <c r="T964" i="9"/>
  <c r="W964" i="9" s="1"/>
  <c r="T963" i="9"/>
  <c r="W963" i="9" s="1"/>
  <c r="T961" i="9"/>
  <c r="W961" i="9" s="1"/>
  <c r="T958" i="9"/>
  <c r="W958" i="9" s="1"/>
  <c r="T957" i="9"/>
  <c r="W957" i="9" s="1"/>
  <c r="T956" i="9"/>
  <c r="W956" i="9" s="1"/>
  <c r="T955" i="9"/>
  <c r="W955" i="9" s="1"/>
  <c r="T954" i="9"/>
  <c r="W954" i="9" s="1"/>
  <c r="T953" i="9"/>
  <c r="W953" i="9" s="1"/>
  <c r="T986" i="9"/>
  <c r="W986" i="9" s="1"/>
  <c r="T984" i="9"/>
  <c r="W984" i="9" s="1"/>
  <c r="T982" i="9"/>
  <c r="W982" i="9" s="1"/>
  <c r="T981" i="9"/>
  <c r="W981" i="9" s="1"/>
  <c r="T977" i="9"/>
  <c r="W977" i="9" s="1"/>
  <c r="T974" i="9"/>
  <c r="W974" i="9" s="1"/>
  <c r="T971" i="9"/>
  <c r="W971" i="9" s="1"/>
  <c r="T970" i="9"/>
  <c r="W970" i="9" s="1"/>
  <c r="T967" i="9"/>
  <c r="W967" i="9" s="1"/>
  <c r="T962" i="9"/>
  <c r="W962" i="9" s="1"/>
  <c r="T960" i="9"/>
  <c r="W960" i="9" s="1"/>
  <c r="T952" i="9"/>
  <c r="W952" i="9" s="1"/>
  <c r="T951" i="9"/>
  <c r="W951" i="9" s="1"/>
  <c r="T950" i="9"/>
  <c r="W950" i="9" s="1"/>
  <c r="T949" i="9"/>
  <c r="W949" i="9" s="1"/>
  <c r="W947" i="9"/>
  <c r="L949" i="9"/>
  <c r="N949" i="9" s="1"/>
  <c r="AC949" i="9" s="1"/>
  <c r="L950" i="9"/>
  <c r="N950" i="9" s="1"/>
  <c r="AC950" i="9" s="1"/>
  <c r="L951" i="9"/>
  <c r="N951" i="9" s="1"/>
  <c r="AC951" i="9" s="1"/>
  <c r="L952" i="9"/>
  <c r="N952" i="9" s="1"/>
  <c r="AC952" i="9" s="1"/>
  <c r="L953" i="9"/>
  <c r="N953" i="9" s="1"/>
  <c r="AC953" i="9" s="1"/>
  <c r="L954" i="9"/>
  <c r="N954" i="9" s="1"/>
  <c r="AC954" i="9" s="1"/>
  <c r="L955" i="9"/>
  <c r="N955" i="9" s="1"/>
  <c r="AC955" i="9" s="1"/>
  <c r="L956" i="9"/>
  <c r="N956" i="9" s="1"/>
  <c r="AC956" i="9" s="1"/>
  <c r="L957" i="9"/>
  <c r="N957" i="9" s="1"/>
  <c r="AC957" i="9" s="1"/>
  <c r="L958" i="9"/>
  <c r="N958" i="9" s="1"/>
  <c r="AC958" i="9" s="1"/>
  <c r="L960" i="9"/>
  <c r="N960" i="9" s="1"/>
  <c r="AC960" i="9" s="1"/>
  <c r="L961" i="9"/>
  <c r="N961" i="9" s="1"/>
  <c r="AC961" i="9" s="1"/>
  <c r="L962" i="9"/>
  <c r="N962" i="9" s="1"/>
  <c r="AC962" i="9" s="1"/>
  <c r="L963" i="9"/>
  <c r="N963" i="9" s="1"/>
  <c r="AC963" i="9" s="1"/>
  <c r="L964" i="9"/>
  <c r="N964" i="9" s="1"/>
  <c r="AC964" i="9" s="1"/>
  <c r="L965" i="9"/>
  <c r="N965" i="9" s="1"/>
  <c r="AC965" i="9" s="1"/>
  <c r="L966" i="9"/>
  <c r="N966" i="9" s="1"/>
  <c r="AC966" i="9" s="1"/>
  <c r="L967" i="9"/>
  <c r="N967" i="9" s="1"/>
  <c r="AC967" i="9" s="1"/>
  <c r="L968" i="9"/>
  <c r="N968" i="9" s="1"/>
  <c r="AC968" i="9" s="1"/>
  <c r="L969" i="9"/>
  <c r="N969" i="9" s="1"/>
  <c r="AC969" i="9" s="1"/>
  <c r="L970" i="9"/>
  <c r="N970" i="9" s="1"/>
  <c r="AC970" i="9" s="1"/>
  <c r="L971" i="9"/>
  <c r="N971" i="9" s="1"/>
  <c r="AC971" i="9" s="1"/>
  <c r="L972" i="9"/>
  <c r="N972" i="9" s="1"/>
  <c r="AC972" i="9" s="1"/>
  <c r="L973" i="9"/>
  <c r="N973" i="9" s="1"/>
  <c r="AC973" i="9" s="1"/>
  <c r="L974" i="9"/>
  <c r="N974" i="9" s="1"/>
  <c r="AC974" i="9" s="1"/>
  <c r="L975" i="9"/>
  <c r="N975" i="9" s="1"/>
  <c r="AC975" i="9" s="1"/>
  <c r="L977" i="9"/>
  <c r="N977" i="9" s="1"/>
  <c r="AC977" i="9" s="1"/>
  <c r="L978" i="9"/>
  <c r="N978" i="9" s="1"/>
  <c r="AC978" i="9" s="1"/>
  <c r="L979" i="9"/>
  <c r="N979" i="9" s="1"/>
  <c r="AC979" i="9" s="1"/>
  <c r="L980" i="9"/>
  <c r="N980" i="9" s="1"/>
  <c r="AC980" i="9" s="1"/>
  <c r="L981" i="9"/>
  <c r="N981" i="9" s="1"/>
  <c r="AC981" i="9" s="1"/>
  <c r="L982" i="9"/>
  <c r="N982" i="9" s="1"/>
  <c r="AC982" i="9" s="1"/>
  <c r="L983" i="9"/>
  <c r="N983" i="9" s="1"/>
  <c r="AC983" i="9" s="1"/>
  <c r="L984" i="9"/>
  <c r="N984" i="9" s="1"/>
  <c r="AC984" i="9" s="1"/>
  <c r="L985" i="9"/>
  <c r="N985" i="9" s="1"/>
  <c r="AC985" i="9" s="1"/>
  <c r="L986" i="9"/>
  <c r="N986" i="9" s="1"/>
  <c r="AC986" i="9" s="1"/>
  <c r="L987" i="9"/>
  <c r="N987" i="9" s="1"/>
  <c r="AC987" i="9" s="1"/>
  <c r="L988" i="9"/>
  <c r="N988" i="9" s="1"/>
  <c r="AC988" i="9" s="1"/>
  <c r="L989" i="9"/>
  <c r="N989" i="9" s="1"/>
  <c r="AC989" i="9" s="1"/>
  <c r="L990" i="9"/>
  <c r="N990" i="9" s="1"/>
  <c r="AC990" i="9" s="1"/>
  <c r="L991" i="9"/>
  <c r="N991" i="9" s="1"/>
  <c r="AC991" i="9" s="1"/>
  <c r="L992" i="9"/>
  <c r="N992" i="9" s="1"/>
  <c r="AC992" i="9" s="1"/>
  <c r="L993" i="9"/>
  <c r="N993" i="9" s="1"/>
  <c r="AC993" i="9" s="1"/>
  <c r="L976" i="9"/>
  <c r="N976" i="9" s="1"/>
  <c r="AC976" i="9" s="1"/>
  <c r="L994" i="9"/>
  <c r="N994" i="9" s="1"/>
  <c r="AC994" i="9" s="1"/>
  <c r="L995" i="9"/>
  <c r="N995" i="9" s="1"/>
  <c r="AC995" i="9" s="1"/>
  <c r="T893" i="9"/>
  <c r="W893" i="9" s="1"/>
  <c r="L893" i="9"/>
  <c r="N893" i="9" s="1"/>
  <c r="AC893" i="9" s="1"/>
  <c r="L646" i="9"/>
  <c r="N646" i="9" s="1"/>
  <c r="AC646" i="9" s="1"/>
  <c r="L854" i="9" l="1"/>
  <c r="N854" i="9" s="1"/>
  <c r="AC854" i="9" s="1"/>
  <c r="L245" i="9"/>
  <c r="I260" i="3"/>
  <c r="K260" i="3" s="1"/>
  <c r="I261" i="3"/>
  <c r="K261" i="3" s="1"/>
  <c r="I262" i="3"/>
  <c r="K262" i="3" s="1"/>
  <c r="T894" i="9"/>
  <c r="W894" i="9" s="1"/>
  <c r="T895" i="9"/>
  <c r="W895" i="9" s="1"/>
  <c r="T896" i="9"/>
  <c r="W896" i="9" s="1"/>
  <c r="T897" i="9"/>
  <c r="W897" i="9" s="1"/>
  <c r="T898" i="9"/>
  <c r="W898" i="9" s="1"/>
  <c r="T899" i="9"/>
  <c r="W899" i="9" s="1"/>
  <c r="T900" i="9"/>
  <c r="W900" i="9" s="1"/>
  <c r="T901" i="9"/>
  <c r="W901" i="9" s="1"/>
  <c r="T902" i="9"/>
  <c r="W902" i="9" s="1"/>
  <c r="T903" i="9"/>
  <c r="W903" i="9" s="1"/>
  <c r="T904" i="9"/>
  <c r="W904" i="9" s="1"/>
  <c r="T905" i="9"/>
  <c r="W905" i="9" s="1"/>
  <c r="T906" i="9"/>
  <c r="W906" i="9" s="1"/>
  <c r="T907" i="9"/>
  <c r="W907" i="9" s="1"/>
  <c r="T908" i="9"/>
  <c r="W908" i="9" s="1"/>
  <c r="T909" i="9"/>
  <c r="W909" i="9" s="1"/>
  <c r="T910" i="9"/>
  <c r="W910" i="9" s="1"/>
  <c r="T912" i="9"/>
  <c r="W912" i="9" s="1"/>
  <c r="T913" i="9"/>
  <c r="W913" i="9" s="1"/>
  <c r="T914" i="9"/>
  <c r="W914" i="9" s="1"/>
  <c r="T915" i="9"/>
  <c r="W915" i="9" s="1"/>
  <c r="T916" i="9"/>
  <c r="W916" i="9" s="1"/>
  <c r="T918" i="9"/>
  <c r="W918" i="9" s="1"/>
  <c r="T919" i="9"/>
  <c r="W919" i="9" s="1"/>
  <c r="T920" i="9"/>
  <c r="W920" i="9" s="1"/>
  <c r="T921" i="9"/>
  <c r="W921" i="9" s="1"/>
  <c r="T923" i="9"/>
  <c r="W923" i="9" s="1"/>
  <c r="T924" i="9"/>
  <c r="W924" i="9" s="1"/>
  <c r="T926" i="9"/>
  <c r="W926" i="9" s="1"/>
  <c r="T927" i="9"/>
  <c r="W927" i="9" s="1"/>
  <c r="T928" i="9"/>
  <c r="W928" i="9" s="1"/>
  <c r="T929" i="9"/>
  <c r="W929" i="9" s="1"/>
  <c r="T930" i="9"/>
  <c r="W930" i="9" s="1"/>
  <c r="T931" i="9"/>
  <c r="W931" i="9" s="1"/>
  <c r="T932" i="9"/>
  <c r="W932" i="9" s="1"/>
  <c r="T933" i="9"/>
  <c r="W933" i="9" s="1"/>
  <c r="T934" i="9"/>
  <c r="W934" i="9" s="1"/>
  <c r="T935" i="9"/>
  <c r="W935" i="9" s="1"/>
  <c r="T936" i="9"/>
  <c r="W936" i="9" s="1"/>
  <c r="T937" i="9"/>
  <c r="W937" i="9" s="1"/>
  <c r="T938" i="9"/>
  <c r="W938" i="9" s="1"/>
  <c r="T925" i="9"/>
  <c r="W925" i="9" s="1"/>
  <c r="T939" i="9"/>
  <c r="W939" i="9" s="1"/>
  <c r="T940" i="9"/>
  <c r="W940" i="9" s="1"/>
  <c r="T941" i="9"/>
  <c r="W941" i="9" s="1"/>
  <c r="T922" i="9"/>
  <c r="W922" i="9" s="1"/>
  <c r="T942" i="9"/>
  <c r="W942" i="9" s="1"/>
  <c r="T943" i="9"/>
  <c r="W943" i="9" s="1"/>
  <c r="T944" i="9"/>
  <c r="W944" i="9" s="1"/>
  <c r="L894" i="9"/>
  <c r="N894" i="9" s="1"/>
  <c r="AC894" i="9" s="1"/>
  <c r="L895" i="9"/>
  <c r="N895" i="9" s="1"/>
  <c r="AC895" i="9" s="1"/>
  <c r="L896" i="9"/>
  <c r="N896" i="9" s="1"/>
  <c r="AC896" i="9" s="1"/>
  <c r="L897" i="9"/>
  <c r="N897" i="9" s="1"/>
  <c r="AC897" i="9" s="1"/>
  <c r="L898" i="9"/>
  <c r="N898" i="9" s="1"/>
  <c r="AC898" i="9" s="1"/>
  <c r="L899" i="9"/>
  <c r="N899" i="9" s="1"/>
  <c r="AC899" i="9" s="1"/>
  <c r="L900" i="9"/>
  <c r="N900" i="9" s="1"/>
  <c r="AC900" i="9" s="1"/>
  <c r="L901" i="9"/>
  <c r="N901" i="9" s="1"/>
  <c r="AC901" i="9" s="1"/>
  <c r="L902" i="9"/>
  <c r="N902" i="9" s="1"/>
  <c r="AC902" i="9" s="1"/>
  <c r="L903" i="9"/>
  <c r="N903" i="9" s="1"/>
  <c r="AC903" i="9" s="1"/>
  <c r="L904" i="9"/>
  <c r="N904" i="9" s="1"/>
  <c r="AC904" i="9" s="1"/>
  <c r="L905" i="9"/>
  <c r="N905" i="9" s="1"/>
  <c r="AC905" i="9" s="1"/>
  <c r="L906" i="9"/>
  <c r="N906" i="9" s="1"/>
  <c r="AC906" i="9" s="1"/>
  <c r="L907" i="9"/>
  <c r="N907" i="9" s="1"/>
  <c r="AC907" i="9" s="1"/>
  <c r="L908" i="9"/>
  <c r="N908" i="9" s="1"/>
  <c r="AC908" i="9" s="1"/>
  <c r="L909" i="9"/>
  <c r="N909" i="9" s="1"/>
  <c r="AC909" i="9" s="1"/>
  <c r="L910" i="9"/>
  <c r="N910" i="9" s="1"/>
  <c r="AC910" i="9" s="1"/>
  <c r="L912" i="9"/>
  <c r="N912" i="9" s="1"/>
  <c r="AC912" i="9" s="1"/>
  <c r="L913" i="9"/>
  <c r="N913" i="9" s="1"/>
  <c r="AC913" i="9" s="1"/>
  <c r="L914" i="9"/>
  <c r="N914" i="9" s="1"/>
  <c r="AC914" i="9" s="1"/>
  <c r="L915" i="9"/>
  <c r="N915" i="9" s="1"/>
  <c r="AC915" i="9" s="1"/>
  <c r="L916" i="9"/>
  <c r="N916" i="9" s="1"/>
  <c r="AC916" i="9" s="1"/>
  <c r="L918" i="9"/>
  <c r="N918" i="9" s="1"/>
  <c r="AC918" i="9" s="1"/>
  <c r="L919" i="9"/>
  <c r="N919" i="9" s="1"/>
  <c r="AC919" i="9" s="1"/>
  <c r="L920" i="9"/>
  <c r="N920" i="9" s="1"/>
  <c r="AC920" i="9" s="1"/>
  <c r="L921" i="9"/>
  <c r="N921" i="9" s="1"/>
  <c r="AC921" i="9" s="1"/>
  <c r="L923" i="9"/>
  <c r="N923" i="9" s="1"/>
  <c r="AC923" i="9" s="1"/>
  <c r="L924" i="9"/>
  <c r="N924" i="9" s="1"/>
  <c r="AC924" i="9" s="1"/>
  <c r="L926" i="9"/>
  <c r="N926" i="9" s="1"/>
  <c r="AC926" i="9" s="1"/>
  <c r="L927" i="9"/>
  <c r="N927" i="9" s="1"/>
  <c r="AC927" i="9" s="1"/>
  <c r="L928" i="9"/>
  <c r="N928" i="9" s="1"/>
  <c r="AC928" i="9" s="1"/>
  <c r="L929" i="9"/>
  <c r="N929" i="9" s="1"/>
  <c r="AC929" i="9" s="1"/>
  <c r="L930" i="9"/>
  <c r="N930" i="9" s="1"/>
  <c r="AC930" i="9" s="1"/>
  <c r="L931" i="9"/>
  <c r="N931" i="9" s="1"/>
  <c r="AC931" i="9" s="1"/>
  <c r="L932" i="9"/>
  <c r="N932" i="9" s="1"/>
  <c r="AC932" i="9" s="1"/>
  <c r="L933" i="9"/>
  <c r="N933" i="9" s="1"/>
  <c r="AC933" i="9" s="1"/>
  <c r="L934" i="9"/>
  <c r="N934" i="9" s="1"/>
  <c r="AC934" i="9" s="1"/>
  <c r="L935" i="9"/>
  <c r="N935" i="9" s="1"/>
  <c r="AC935" i="9" s="1"/>
  <c r="L936" i="9"/>
  <c r="N936" i="9" s="1"/>
  <c r="AC936" i="9" s="1"/>
  <c r="L937" i="9"/>
  <c r="N937" i="9" s="1"/>
  <c r="AC937" i="9" s="1"/>
  <c r="L938" i="9"/>
  <c r="N938" i="9" s="1"/>
  <c r="AC938" i="9" s="1"/>
  <c r="L925" i="9"/>
  <c r="N925" i="9" s="1"/>
  <c r="AC925" i="9" s="1"/>
  <c r="L939" i="9"/>
  <c r="N939" i="9" s="1"/>
  <c r="AC939" i="9" s="1"/>
  <c r="L940" i="9"/>
  <c r="N940" i="9" s="1"/>
  <c r="AC940" i="9" s="1"/>
  <c r="L941" i="9"/>
  <c r="N941" i="9" s="1"/>
  <c r="AC941" i="9" s="1"/>
  <c r="L922" i="9"/>
  <c r="N922" i="9" s="1"/>
  <c r="AC922" i="9" s="1"/>
  <c r="L942" i="9"/>
  <c r="N942" i="9" s="1"/>
  <c r="AC942" i="9" s="1"/>
  <c r="L943" i="9"/>
  <c r="N943" i="9" s="1"/>
  <c r="AC943" i="9" s="1"/>
  <c r="L944" i="9"/>
  <c r="N944" i="9" s="1"/>
  <c r="AC944" i="9" s="1"/>
  <c r="L947" i="9"/>
  <c r="N947" i="9" s="1"/>
  <c r="AC947" i="9" s="1"/>
  <c r="L948" i="9"/>
  <c r="N948" i="9" s="1"/>
  <c r="AC948" i="9" s="1"/>
  <c r="I259" i="3"/>
  <c r="K259" i="3" s="1"/>
  <c r="T853" i="9"/>
  <c r="W853" i="9" s="1"/>
  <c r="T854" i="9"/>
  <c r="W854" i="9" s="1"/>
  <c r="T855" i="9"/>
  <c r="W855" i="9" s="1"/>
  <c r="T857" i="9"/>
  <c r="W857" i="9" s="1"/>
  <c r="T858" i="9"/>
  <c r="W858" i="9" s="1"/>
  <c r="T859" i="9"/>
  <c r="W859" i="9" s="1"/>
  <c r="T860" i="9"/>
  <c r="W860" i="9" s="1"/>
  <c r="T861" i="9"/>
  <c r="W861" i="9" s="1"/>
  <c r="T862" i="9"/>
  <c r="W862" i="9" s="1"/>
  <c r="T863" i="9"/>
  <c r="W863" i="9" s="1"/>
  <c r="T864" i="9"/>
  <c r="W864" i="9" s="1"/>
  <c r="T865" i="9"/>
  <c r="W865" i="9" s="1"/>
  <c r="T866" i="9"/>
  <c r="W866" i="9" s="1"/>
  <c r="T867" i="9"/>
  <c r="W867" i="9" s="1"/>
  <c r="T868" i="9"/>
  <c r="W868" i="9" s="1"/>
  <c r="T869" i="9"/>
  <c r="W869" i="9" s="1"/>
  <c r="T870" i="9"/>
  <c r="W870" i="9" s="1"/>
  <c r="T871" i="9"/>
  <c r="W871" i="9" s="1"/>
  <c r="T872" i="9"/>
  <c r="W872" i="9" s="1"/>
  <c r="T873" i="9"/>
  <c r="W873" i="9" s="1"/>
  <c r="T874" i="9"/>
  <c r="W874" i="9" s="1"/>
  <c r="T875" i="9"/>
  <c r="W875" i="9" s="1"/>
  <c r="T876" i="9"/>
  <c r="W876" i="9" s="1"/>
  <c r="T877" i="9"/>
  <c r="W877" i="9" s="1"/>
  <c r="T878" i="9"/>
  <c r="W878" i="9" s="1"/>
  <c r="T879" i="9"/>
  <c r="W879" i="9" s="1"/>
  <c r="T880" i="9"/>
  <c r="W880" i="9" s="1"/>
  <c r="T881" i="9"/>
  <c r="W881" i="9" s="1"/>
  <c r="T882" i="9"/>
  <c r="W882" i="9" s="1"/>
  <c r="T883" i="9"/>
  <c r="W883" i="9" s="1"/>
  <c r="T884" i="9"/>
  <c r="W884" i="9" s="1"/>
  <c r="T885" i="9"/>
  <c r="W885" i="9" s="1"/>
  <c r="T886" i="9"/>
  <c r="W886" i="9" s="1"/>
  <c r="T887" i="9"/>
  <c r="W887" i="9" s="1"/>
  <c r="T888" i="9"/>
  <c r="W888" i="9" s="1"/>
  <c r="T889" i="9"/>
  <c r="W889" i="9" s="1"/>
  <c r="T890" i="9"/>
  <c r="W890" i="9" s="1"/>
  <c r="T891" i="9"/>
  <c r="W891" i="9" s="1"/>
  <c r="T892" i="9"/>
  <c r="W892" i="9" s="1"/>
  <c r="L853" i="9"/>
  <c r="N853" i="9" s="1"/>
  <c r="AC853" i="9" s="1"/>
  <c r="L855" i="9"/>
  <c r="N855" i="9" s="1"/>
  <c r="AC855" i="9" s="1"/>
  <c r="L857" i="9"/>
  <c r="N857" i="9" s="1"/>
  <c r="AC857" i="9" s="1"/>
  <c r="L858" i="9"/>
  <c r="N858" i="9" s="1"/>
  <c r="AC858" i="9" s="1"/>
  <c r="L859" i="9"/>
  <c r="N859" i="9" s="1"/>
  <c r="AC859" i="9" s="1"/>
  <c r="L860" i="9"/>
  <c r="N860" i="9" s="1"/>
  <c r="AC860" i="9" s="1"/>
  <c r="L861" i="9"/>
  <c r="N861" i="9" s="1"/>
  <c r="AC861" i="9" s="1"/>
  <c r="L862" i="9"/>
  <c r="N862" i="9" s="1"/>
  <c r="AC862" i="9" s="1"/>
  <c r="L863" i="9"/>
  <c r="N863" i="9" s="1"/>
  <c r="AC863" i="9" s="1"/>
  <c r="L864" i="9"/>
  <c r="N864" i="9" s="1"/>
  <c r="AC864" i="9" s="1"/>
  <c r="L865" i="9"/>
  <c r="N865" i="9" s="1"/>
  <c r="AC865" i="9" s="1"/>
  <c r="L866" i="9"/>
  <c r="N866" i="9" s="1"/>
  <c r="AC866" i="9" s="1"/>
  <c r="L867" i="9"/>
  <c r="N867" i="9" s="1"/>
  <c r="AC867" i="9" s="1"/>
  <c r="L868" i="9"/>
  <c r="N868" i="9" s="1"/>
  <c r="AC868" i="9" s="1"/>
  <c r="L869" i="9"/>
  <c r="N869" i="9" s="1"/>
  <c r="AC869" i="9" s="1"/>
  <c r="L870" i="9"/>
  <c r="N870" i="9" s="1"/>
  <c r="AC870" i="9" s="1"/>
  <c r="L871" i="9"/>
  <c r="N871" i="9" s="1"/>
  <c r="AC871" i="9" s="1"/>
  <c r="L872" i="9"/>
  <c r="N872" i="9" s="1"/>
  <c r="AC872" i="9" s="1"/>
  <c r="L873" i="9"/>
  <c r="N873" i="9" s="1"/>
  <c r="AC873" i="9" s="1"/>
  <c r="L874" i="9"/>
  <c r="N874" i="9" s="1"/>
  <c r="AC874" i="9" s="1"/>
  <c r="L875" i="9"/>
  <c r="N875" i="9" s="1"/>
  <c r="AC875" i="9" s="1"/>
  <c r="L876" i="9"/>
  <c r="N876" i="9" s="1"/>
  <c r="AC876" i="9" s="1"/>
  <c r="L877" i="9"/>
  <c r="N877" i="9" s="1"/>
  <c r="AC877" i="9" s="1"/>
  <c r="L878" i="9"/>
  <c r="N878" i="9" s="1"/>
  <c r="AC878" i="9" s="1"/>
  <c r="L879" i="9"/>
  <c r="N879" i="9" s="1"/>
  <c r="AC879" i="9" s="1"/>
  <c r="L880" i="9"/>
  <c r="N880" i="9" s="1"/>
  <c r="AC880" i="9" s="1"/>
  <c r="L881" i="9"/>
  <c r="N881" i="9" s="1"/>
  <c r="AC881" i="9" s="1"/>
  <c r="L882" i="9"/>
  <c r="N882" i="9" s="1"/>
  <c r="AC882" i="9" s="1"/>
  <c r="L883" i="9"/>
  <c r="N883" i="9" s="1"/>
  <c r="AC883" i="9" s="1"/>
  <c r="L884" i="9"/>
  <c r="N884" i="9" s="1"/>
  <c r="AC884" i="9" s="1"/>
  <c r="L885" i="9"/>
  <c r="N885" i="9" s="1"/>
  <c r="AC885" i="9" s="1"/>
  <c r="L886" i="9"/>
  <c r="N886" i="9" s="1"/>
  <c r="AC886" i="9" s="1"/>
  <c r="L887" i="9"/>
  <c r="N887" i="9" s="1"/>
  <c r="AC887" i="9" s="1"/>
  <c r="L888" i="9"/>
  <c r="N888" i="9" s="1"/>
  <c r="AC888" i="9" s="1"/>
  <c r="L889" i="9"/>
  <c r="N889" i="9" s="1"/>
  <c r="AC889" i="9" s="1"/>
  <c r="L890" i="9"/>
  <c r="N890" i="9" s="1"/>
  <c r="AC890" i="9" s="1"/>
  <c r="L891" i="9"/>
  <c r="N891" i="9" s="1"/>
  <c r="AC891" i="9" s="1"/>
  <c r="L892" i="9"/>
  <c r="N892" i="9" s="1"/>
  <c r="AC892" i="9" s="1"/>
  <c r="I253" i="3"/>
  <c r="K253" i="3" s="1"/>
  <c r="I254" i="3"/>
  <c r="K254" i="3" s="1"/>
  <c r="I255" i="3"/>
  <c r="K255" i="3" s="1"/>
  <c r="I256" i="3"/>
  <c r="K256" i="3" s="1"/>
  <c r="I257" i="3"/>
  <c r="K257" i="3" s="1"/>
  <c r="I258" i="3"/>
  <c r="K258" i="3" s="1"/>
  <c r="T804" i="9" l="1"/>
  <c r="W804" i="9" s="1"/>
  <c r="T805" i="9"/>
  <c r="W805" i="9" s="1"/>
  <c r="T806" i="9"/>
  <c r="W806" i="9" s="1"/>
  <c r="T808" i="9"/>
  <c r="W808" i="9" s="1"/>
  <c r="T809" i="9"/>
  <c r="W809" i="9" s="1"/>
  <c r="T810" i="9"/>
  <c r="W810" i="9" s="1"/>
  <c r="T811" i="9"/>
  <c r="W811" i="9" s="1"/>
  <c r="T812" i="9"/>
  <c r="W812" i="9" s="1"/>
  <c r="T813" i="9"/>
  <c r="W813" i="9" s="1"/>
  <c r="T814" i="9"/>
  <c r="W814" i="9" s="1"/>
  <c r="T815" i="9"/>
  <c r="W815" i="9" s="1"/>
  <c r="T816" i="9"/>
  <c r="W816" i="9" s="1"/>
  <c r="T817" i="9"/>
  <c r="W817" i="9" s="1"/>
  <c r="T818" i="9"/>
  <c r="W818" i="9" s="1"/>
  <c r="T819" i="9"/>
  <c r="W819" i="9" s="1"/>
  <c r="T820" i="9"/>
  <c r="W820" i="9" s="1"/>
  <c r="T822" i="9"/>
  <c r="W822" i="9" s="1"/>
  <c r="T823" i="9"/>
  <c r="W823" i="9" s="1"/>
  <c r="T824" i="9"/>
  <c r="W824" i="9" s="1"/>
  <c r="T825" i="9"/>
  <c r="W825" i="9" s="1"/>
  <c r="T826" i="9"/>
  <c r="W826" i="9" s="1"/>
  <c r="T827" i="9"/>
  <c r="W827" i="9" s="1"/>
  <c r="T828" i="9"/>
  <c r="W828" i="9" s="1"/>
  <c r="T829" i="9"/>
  <c r="W829" i="9" s="1"/>
  <c r="T830" i="9"/>
  <c r="W830" i="9" s="1"/>
  <c r="T831" i="9"/>
  <c r="W831" i="9" s="1"/>
  <c r="T833" i="9"/>
  <c r="W833" i="9" s="1"/>
  <c r="T834" i="9"/>
  <c r="W834" i="9" s="1"/>
  <c r="T835" i="9"/>
  <c r="W835" i="9" s="1"/>
  <c r="T836" i="9"/>
  <c r="W836" i="9" s="1"/>
  <c r="T837" i="9"/>
  <c r="W837" i="9" s="1"/>
  <c r="T838" i="9"/>
  <c r="W838" i="9" s="1"/>
  <c r="T839" i="9"/>
  <c r="W839" i="9" s="1"/>
  <c r="T840" i="9"/>
  <c r="W840" i="9" s="1"/>
  <c r="T841" i="9"/>
  <c r="W841" i="9" s="1"/>
  <c r="T842" i="9"/>
  <c r="W842" i="9" s="1"/>
  <c r="T843" i="9"/>
  <c r="W843" i="9" s="1"/>
  <c r="T844" i="9"/>
  <c r="W844" i="9" s="1"/>
  <c r="T845" i="9"/>
  <c r="W845" i="9" s="1"/>
  <c r="T846" i="9"/>
  <c r="W846" i="9" s="1"/>
  <c r="T847" i="9"/>
  <c r="W847" i="9" s="1"/>
  <c r="T848" i="9"/>
  <c r="W848" i="9" s="1"/>
  <c r="T849" i="9"/>
  <c r="W849" i="9" s="1"/>
  <c r="T832" i="9"/>
  <c r="W832" i="9" s="1"/>
  <c r="T850" i="9"/>
  <c r="W850" i="9" s="1"/>
  <c r="T851" i="9"/>
  <c r="W851" i="9" s="1"/>
  <c r="T852" i="9"/>
  <c r="W852" i="9" s="1"/>
  <c r="L804" i="9"/>
  <c r="N804" i="9" s="1"/>
  <c r="AC804" i="9" s="1"/>
  <c r="L805" i="9"/>
  <c r="N805" i="9" s="1"/>
  <c r="AC805" i="9" s="1"/>
  <c r="L806" i="9"/>
  <c r="N806" i="9" s="1"/>
  <c r="AC806" i="9" s="1"/>
  <c r="L808" i="9"/>
  <c r="N808" i="9" s="1"/>
  <c r="AC808" i="9" s="1"/>
  <c r="L809" i="9"/>
  <c r="N809" i="9" s="1"/>
  <c r="AC809" i="9" s="1"/>
  <c r="L810" i="9"/>
  <c r="N810" i="9" s="1"/>
  <c r="AC810" i="9" s="1"/>
  <c r="L811" i="9"/>
  <c r="N811" i="9" s="1"/>
  <c r="AC811" i="9" s="1"/>
  <c r="L812" i="9"/>
  <c r="N812" i="9" s="1"/>
  <c r="AC812" i="9" s="1"/>
  <c r="L813" i="9"/>
  <c r="N813" i="9" s="1"/>
  <c r="AC813" i="9" s="1"/>
  <c r="L814" i="9"/>
  <c r="N814" i="9" s="1"/>
  <c r="AC814" i="9" s="1"/>
  <c r="L815" i="9"/>
  <c r="N815" i="9" s="1"/>
  <c r="AC815" i="9" s="1"/>
  <c r="L816" i="9"/>
  <c r="N816" i="9" s="1"/>
  <c r="AC816" i="9" s="1"/>
  <c r="L817" i="9"/>
  <c r="N817" i="9" s="1"/>
  <c r="AC817" i="9" s="1"/>
  <c r="L818" i="9"/>
  <c r="N818" i="9" s="1"/>
  <c r="AC818" i="9" s="1"/>
  <c r="L819" i="9"/>
  <c r="N819" i="9" s="1"/>
  <c r="AC819" i="9" s="1"/>
  <c r="L820" i="9"/>
  <c r="N820" i="9" s="1"/>
  <c r="AC820" i="9" s="1"/>
  <c r="L822" i="9"/>
  <c r="N822" i="9" s="1"/>
  <c r="AC822" i="9" s="1"/>
  <c r="L823" i="9"/>
  <c r="N823" i="9" s="1"/>
  <c r="AC823" i="9" s="1"/>
  <c r="L824" i="9"/>
  <c r="N824" i="9" s="1"/>
  <c r="AC824" i="9" s="1"/>
  <c r="L825" i="9"/>
  <c r="N825" i="9" s="1"/>
  <c r="AC825" i="9" s="1"/>
  <c r="L826" i="9"/>
  <c r="N826" i="9" s="1"/>
  <c r="AC826" i="9" s="1"/>
  <c r="L827" i="9"/>
  <c r="N827" i="9" s="1"/>
  <c r="AC827" i="9" s="1"/>
  <c r="L828" i="9"/>
  <c r="N828" i="9" s="1"/>
  <c r="AC828" i="9" s="1"/>
  <c r="L829" i="9"/>
  <c r="N829" i="9" s="1"/>
  <c r="AC829" i="9" s="1"/>
  <c r="L830" i="9"/>
  <c r="N830" i="9" s="1"/>
  <c r="AC830" i="9" s="1"/>
  <c r="L831" i="9"/>
  <c r="N831" i="9" s="1"/>
  <c r="AC831" i="9" s="1"/>
  <c r="L833" i="9"/>
  <c r="N833" i="9" s="1"/>
  <c r="AC833" i="9" s="1"/>
  <c r="L834" i="9"/>
  <c r="N834" i="9" s="1"/>
  <c r="AC834" i="9" s="1"/>
  <c r="L835" i="9"/>
  <c r="N835" i="9" s="1"/>
  <c r="AC835" i="9" s="1"/>
  <c r="L836" i="9"/>
  <c r="N836" i="9" s="1"/>
  <c r="AC836" i="9" s="1"/>
  <c r="L837" i="9"/>
  <c r="N837" i="9" s="1"/>
  <c r="AC837" i="9" s="1"/>
  <c r="L838" i="9"/>
  <c r="N838" i="9" s="1"/>
  <c r="AC838" i="9" s="1"/>
  <c r="L839" i="9"/>
  <c r="N839" i="9" s="1"/>
  <c r="AC839" i="9" s="1"/>
  <c r="L840" i="9"/>
  <c r="N840" i="9" s="1"/>
  <c r="AC840" i="9" s="1"/>
  <c r="L841" i="9"/>
  <c r="N841" i="9" s="1"/>
  <c r="AC841" i="9" s="1"/>
  <c r="L842" i="9"/>
  <c r="N842" i="9" s="1"/>
  <c r="AC842" i="9" s="1"/>
  <c r="L843" i="9"/>
  <c r="N843" i="9" s="1"/>
  <c r="AC843" i="9" s="1"/>
  <c r="L844" i="9"/>
  <c r="N844" i="9" s="1"/>
  <c r="AC844" i="9" s="1"/>
  <c r="L845" i="9"/>
  <c r="N845" i="9" s="1"/>
  <c r="AC845" i="9" s="1"/>
  <c r="L846" i="9"/>
  <c r="N846" i="9" s="1"/>
  <c r="AC846" i="9" s="1"/>
  <c r="L847" i="9"/>
  <c r="N847" i="9" s="1"/>
  <c r="AC847" i="9" s="1"/>
  <c r="L848" i="9"/>
  <c r="N848" i="9" s="1"/>
  <c r="AC848" i="9" s="1"/>
  <c r="L849" i="9"/>
  <c r="N849" i="9" s="1"/>
  <c r="AC849" i="9" s="1"/>
  <c r="L832" i="9"/>
  <c r="N832" i="9" s="1"/>
  <c r="AC832" i="9" s="1"/>
  <c r="L850" i="9"/>
  <c r="N850" i="9" s="1"/>
  <c r="AC850" i="9" s="1"/>
  <c r="L851" i="9"/>
  <c r="N851" i="9" s="1"/>
  <c r="AC851" i="9" s="1"/>
  <c r="L852" i="9"/>
  <c r="N852" i="9" s="1"/>
  <c r="AC852" i="9" s="1"/>
  <c r="T279" i="9" l="1"/>
  <c r="W279" i="9" s="1"/>
  <c r="L279" i="9"/>
  <c r="N279" i="9" s="1"/>
  <c r="AC279" i="9" s="1"/>
  <c r="W731" i="9"/>
  <c r="L731" i="9"/>
  <c r="N731" i="9" s="1"/>
  <c r="AC731" i="9" s="1"/>
  <c r="T762" i="9" l="1"/>
  <c r="W762" i="9" s="1"/>
  <c r="T763" i="9"/>
  <c r="W763" i="9" s="1"/>
  <c r="T764" i="9"/>
  <c r="W764" i="9" s="1"/>
  <c r="T765" i="9"/>
  <c r="W765" i="9" s="1"/>
  <c r="T766" i="9"/>
  <c r="W766" i="9" s="1"/>
  <c r="T767" i="9"/>
  <c r="W767" i="9" s="1"/>
  <c r="T768" i="9"/>
  <c r="W768" i="9" s="1"/>
  <c r="T769" i="9"/>
  <c r="W769" i="9" s="1"/>
  <c r="T770" i="9"/>
  <c r="W770" i="9" s="1"/>
  <c r="T771" i="9"/>
  <c r="W771" i="9" s="1"/>
  <c r="T772" i="9"/>
  <c r="W772" i="9" s="1"/>
  <c r="T773" i="9"/>
  <c r="W773" i="9" s="1"/>
  <c r="T774" i="9"/>
  <c r="W774" i="9" s="1"/>
  <c r="T775" i="9"/>
  <c r="W775" i="9" s="1"/>
  <c r="T776" i="9"/>
  <c r="W776" i="9" s="1"/>
  <c r="T777" i="9"/>
  <c r="W777" i="9" s="1"/>
  <c r="T778" i="9"/>
  <c r="W778" i="9" s="1"/>
  <c r="T779" i="9"/>
  <c r="W779" i="9" s="1"/>
  <c r="T781" i="9"/>
  <c r="W781" i="9" s="1"/>
  <c r="T782" i="9"/>
  <c r="W782" i="9" s="1"/>
  <c r="T783" i="9"/>
  <c r="W783" i="9" s="1"/>
  <c r="T784" i="9"/>
  <c r="W784" i="9" s="1"/>
  <c r="T786" i="9"/>
  <c r="W786" i="9" s="1"/>
  <c r="T787" i="9"/>
  <c r="W787" i="9" s="1"/>
  <c r="T788" i="9"/>
  <c r="W788" i="9" s="1"/>
  <c r="T789" i="9"/>
  <c r="W789" i="9" s="1"/>
  <c r="T790" i="9"/>
  <c r="W790" i="9" s="1"/>
  <c r="T791" i="9"/>
  <c r="W791" i="9" s="1"/>
  <c r="T792" i="9"/>
  <c r="W792" i="9" s="1"/>
  <c r="T793" i="9"/>
  <c r="W793" i="9" s="1"/>
  <c r="T794" i="9"/>
  <c r="W794" i="9" s="1"/>
  <c r="T795" i="9"/>
  <c r="W795" i="9" s="1"/>
  <c r="T796" i="9"/>
  <c r="W796" i="9" s="1"/>
  <c r="T797" i="9"/>
  <c r="W797" i="9" s="1"/>
  <c r="T798" i="9"/>
  <c r="W798" i="9" s="1"/>
  <c r="T785" i="9"/>
  <c r="W785" i="9" s="1"/>
  <c r="T799" i="9"/>
  <c r="W799" i="9" s="1"/>
  <c r="T801" i="9"/>
  <c r="W801" i="9" s="1"/>
  <c r="T802" i="9"/>
  <c r="W802" i="9" s="1"/>
  <c r="T800" i="9"/>
  <c r="W800" i="9" s="1"/>
  <c r="T803" i="9"/>
  <c r="W803" i="9" s="1"/>
  <c r="L762" i="9"/>
  <c r="N762" i="9" s="1"/>
  <c r="AC762" i="9" s="1"/>
  <c r="L763" i="9"/>
  <c r="N763" i="9" s="1"/>
  <c r="AC763" i="9" s="1"/>
  <c r="L764" i="9"/>
  <c r="N764" i="9" s="1"/>
  <c r="AC764" i="9" s="1"/>
  <c r="L765" i="9"/>
  <c r="N765" i="9" s="1"/>
  <c r="AC765" i="9" s="1"/>
  <c r="L766" i="9"/>
  <c r="N766" i="9" s="1"/>
  <c r="AC766" i="9" s="1"/>
  <c r="L767" i="9"/>
  <c r="N767" i="9" s="1"/>
  <c r="AC767" i="9" s="1"/>
  <c r="L768" i="9"/>
  <c r="N768" i="9" s="1"/>
  <c r="AC768" i="9" s="1"/>
  <c r="L769" i="9"/>
  <c r="N769" i="9" s="1"/>
  <c r="AC769" i="9" s="1"/>
  <c r="L770" i="9"/>
  <c r="N770" i="9" s="1"/>
  <c r="AC770" i="9" s="1"/>
  <c r="L771" i="9"/>
  <c r="N771" i="9" s="1"/>
  <c r="AC771" i="9" s="1"/>
  <c r="L772" i="9"/>
  <c r="N772" i="9" s="1"/>
  <c r="AC772" i="9" s="1"/>
  <c r="L773" i="9"/>
  <c r="N773" i="9" s="1"/>
  <c r="AC773" i="9" s="1"/>
  <c r="L774" i="9"/>
  <c r="N774" i="9" s="1"/>
  <c r="AC774" i="9" s="1"/>
  <c r="L775" i="9"/>
  <c r="N775" i="9" s="1"/>
  <c r="AC775" i="9" s="1"/>
  <c r="L776" i="9"/>
  <c r="N776" i="9" s="1"/>
  <c r="AC776" i="9" s="1"/>
  <c r="L777" i="9"/>
  <c r="N777" i="9" s="1"/>
  <c r="AC777" i="9" s="1"/>
  <c r="L778" i="9"/>
  <c r="N778" i="9" s="1"/>
  <c r="AC778" i="9" s="1"/>
  <c r="L779" i="9"/>
  <c r="N779" i="9" s="1"/>
  <c r="AC779" i="9" s="1"/>
  <c r="L781" i="9"/>
  <c r="N781" i="9" s="1"/>
  <c r="AC781" i="9" s="1"/>
  <c r="L782" i="9"/>
  <c r="N782" i="9" s="1"/>
  <c r="AC782" i="9" s="1"/>
  <c r="L783" i="9"/>
  <c r="N783" i="9" s="1"/>
  <c r="AC783" i="9" s="1"/>
  <c r="L784" i="9"/>
  <c r="N784" i="9" s="1"/>
  <c r="AC784" i="9" s="1"/>
  <c r="L786" i="9"/>
  <c r="N786" i="9" s="1"/>
  <c r="AC786" i="9" s="1"/>
  <c r="L787" i="9"/>
  <c r="N787" i="9" s="1"/>
  <c r="AC787" i="9" s="1"/>
  <c r="L788" i="9"/>
  <c r="N788" i="9" s="1"/>
  <c r="AC788" i="9" s="1"/>
  <c r="L789" i="9"/>
  <c r="N789" i="9" s="1"/>
  <c r="AC789" i="9" s="1"/>
  <c r="L790" i="9"/>
  <c r="N790" i="9" s="1"/>
  <c r="AC790" i="9" s="1"/>
  <c r="L791" i="9"/>
  <c r="N791" i="9" s="1"/>
  <c r="AC791" i="9" s="1"/>
  <c r="L792" i="9"/>
  <c r="N792" i="9" s="1"/>
  <c r="AC792" i="9" s="1"/>
  <c r="L793" i="9"/>
  <c r="N793" i="9" s="1"/>
  <c r="AC793" i="9" s="1"/>
  <c r="L794" i="9"/>
  <c r="N794" i="9" s="1"/>
  <c r="AC794" i="9" s="1"/>
  <c r="L795" i="9"/>
  <c r="N795" i="9" s="1"/>
  <c r="AC795" i="9" s="1"/>
  <c r="L796" i="9"/>
  <c r="N796" i="9" s="1"/>
  <c r="AC796" i="9" s="1"/>
  <c r="L797" i="9"/>
  <c r="N797" i="9" s="1"/>
  <c r="AC797" i="9" s="1"/>
  <c r="L798" i="9"/>
  <c r="N798" i="9" s="1"/>
  <c r="AC798" i="9" s="1"/>
  <c r="L785" i="9"/>
  <c r="N785" i="9" s="1"/>
  <c r="AC785" i="9" s="1"/>
  <c r="L799" i="9"/>
  <c r="N799" i="9" s="1"/>
  <c r="AC799" i="9" s="1"/>
  <c r="L801" i="9"/>
  <c r="N801" i="9" s="1"/>
  <c r="AC801" i="9" s="1"/>
  <c r="L802" i="9"/>
  <c r="N802" i="9" s="1"/>
  <c r="AC802" i="9" s="1"/>
  <c r="L800" i="9"/>
  <c r="N800" i="9" s="1"/>
  <c r="AC800" i="9" s="1"/>
  <c r="L803" i="9"/>
  <c r="N803" i="9" s="1"/>
  <c r="AC803" i="9" s="1"/>
  <c r="T251" i="9"/>
  <c r="I242" i="3" l="1"/>
  <c r="K242" i="3" s="1"/>
  <c r="I243" i="3"/>
  <c r="K243" i="3" s="1"/>
  <c r="I244" i="3"/>
  <c r="K244" i="3" s="1"/>
  <c r="I245" i="3"/>
  <c r="K245" i="3" s="1"/>
  <c r="I246" i="3"/>
  <c r="K246" i="3" s="1"/>
  <c r="I247" i="3"/>
  <c r="K247" i="3" s="1"/>
  <c r="I248" i="3"/>
  <c r="K248" i="3" s="1"/>
  <c r="I249" i="3"/>
  <c r="K249" i="3" s="1"/>
  <c r="I250" i="3"/>
  <c r="K250" i="3" s="1"/>
  <c r="I251" i="3"/>
  <c r="K251" i="3" s="1"/>
  <c r="I252" i="3"/>
  <c r="K252" i="3" s="1"/>
  <c r="T761" i="9" l="1"/>
  <c r="W761" i="9" s="1"/>
  <c r="T757" i="9"/>
  <c r="W757" i="9" s="1"/>
  <c r="T748" i="9"/>
  <c r="W748" i="9" s="1"/>
  <c r="T746" i="9"/>
  <c r="W746" i="9" s="1"/>
  <c r="T741" i="9"/>
  <c r="W741" i="9" s="1"/>
  <c r="T740" i="9"/>
  <c r="W740" i="9" s="1"/>
  <c r="T739" i="9"/>
  <c r="W739" i="9" s="1"/>
  <c r="T736" i="9"/>
  <c r="W736" i="9" s="1"/>
  <c r="T734" i="9"/>
  <c r="W734" i="9" s="1"/>
  <c r="T733" i="9"/>
  <c r="W733" i="9" s="1"/>
  <c r="T732" i="9"/>
  <c r="W732" i="9" s="1"/>
  <c r="T728" i="9"/>
  <c r="W728" i="9" s="1"/>
  <c r="T726" i="9"/>
  <c r="W726" i="9" s="1"/>
  <c r="T725" i="9"/>
  <c r="W725" i="9" s="1"/>
  <c r="T722" i="9"/>
  <c r="W722" i="9" s="1"/>
  <c r="T721" i="9"/>
  <c r="W721" i="9" s="1"/>
  <c r="T718" i="9"/>
  <c r="W718" i="9" s="1"/>
  <c r="T717" i="9"/>
  <c r="W717" i="9" s="1"/>
  <c r="T716" i="9"/>
  <c r="W716" i="9" s="1"/>
  <c r="T715" i="9"/>
  <c r="W715" i="9" s="1"/>
  <c r="T714" i="9"/>
  <c r="W714" i="9" s="1"/>
  <c r="T712" i="9"/>
  <c r="W712" i="9" s="1"/>
  <c r="T711" i="9"/>
  <c r="W711" i="9" s="1"/>
  <c r="T702" i="9"/>
  <c r="W702" i="9" s="1"/>
  <c r="T700" i="9"/>
  <c r="W700" i="9" s="1"/>
  <c r="T698" i="9"/>
  <c r="W698" i="9" s="1"/>
  <c r="T694" i="9"/>
  <c r="W694" i="9" s="1"/>
  <c r="T693" i="9"/>
  <c r="W693" i="9" s="1"/>
  <c r="T692" i="9"/>
  <c r="W692" i="9" s="1"/>
  <c r="T688" i="9"/>
  <c r="W688" i="9" s="1"/>
  <c r="T686" i="9"/>
  <c r="W686" i="9" s="1"/>
  <c r="T685" i="9"/>
  <c r="W685" i="9" s="1"/>
  <c r="T682" i="9"/>
  <c r="W682" i="9" s="1"/>
  <c r="T680" i="9"/>
  <c r="W680" i="9" s="1"/>
  <c r="T679" i="9"/>
  <c r="W679" i="9" s="1"/>
  <c r="T675" i="9"/>
  <c r="W675" i="9" s="1"/>
  <c r="T674" i="9"/>
  <c r="W674" i="9" s="1"/>
  <c r="T671" i="9"/>
  <c r="W671" i="9" s="1"/>
  <c r="T670" i="9"/>
  <c r="W670" i="9" s="1"/>
  <c r="T647" i="9"/>
  <c r="W647" i="9" s="1"/>
  <c r="T666" i="9"/>
  <c r="W666" i="9" s="1"/>
  <c r="T657" i="9"/>
  <c r="W657" i="9" s="1"/>
  <c r="T655" i="9"/>
  <c r="W655" i="9" s="1"/>
  <c r="T654" i="9"/>
  <c r="W654" i="9" s="1"/>
  <c r="T644" i="9"/>
  <c r="W644" i="9" s="1"/>
  <c r="T643" i="9"/>
  <c r="W643" i="9" s="1"/>
  <c r="T642" i="9"/>
  <c r="W642" i="9" s="1"/>
  <c r="T641" i="9"/>
  <c r="W641" i="9" s="1"/>
  <c r="T639" i="9"/>
  <c r="W639" i="9" s="1"/>
  <c r="T638" i="9"/>
  <c r="W638" i="9" s="1"/>
  <c r="T637" i="9"/>
  <c r="W637" i="9" s="1"/>
  <c r="T636" i="9"/>
  <c r="W636" i="9" s="1"/>
  <c r="T635" i="9"/>
  <c r="W635" i="9" s="1"/>
  <c r="T632" i="9"/>
  <c r="W632" i="9" s="1"/>
  <c r="T629" i="9"/>
  <c r="W629" i="9" s="1"/>
  <c r="T624" i="9"/>
  <c r="W624" i="9" s="1"/>
  <c r="T623" i="9"/>
  <c r="W623" i="9" s="1"/>
  <c r="T620" i="9"/>
  <c r="W620" i="9" s="1"/>
  <c r="T619" i="9"/>
  <c r="W619" i="9" s="1"/>
  <c r="W617" i="9"/>
  <c r="W618" i="9"/>
  <c r="W621" i="9"/>
  <c r="W625" i="9"/>
  <c r="W626" i="9"/>
  <c r="W627" i="9"/>
  <c r="W628" i="9"/>
  <c r="W630" i="9"/>
  <c r="W631" i="9"/>
  <c r="W633" i="9"/>
  <c r="W634" i="9"/>
  <c r="W640" i="9"/>
  <c r="W645" i="9"/>
  <c r="W648" i="9"/>
  <c r="W649" i="9"/>
  <c r="W650" i="9"/>
  <c r="W652" i="9"/>
  <c r="W653" i="9"/>
  <c r="W656" i="9"/>
  <c r="W658" i="9"/>
  <c r="W659" i="9"/>
  <c r="W660" i="9"/>
  <c r="W661" i="9"/>
  <c r="W662" i="9"/>
  <c r="W663" i="9"/>
  <c r="W664" i="9"/>
  <c r="W651" i="9"/>
  <c r="W665" i="9"/>
  <c r="W667" i="9"/>
  <c r="W668" i="9"/>
  <c r="W669" i="9"/>
  <c r="W672" i="9"/>
  <c r="W676" i="9"/>
  <c r="W677" i="9"/>
  <c r="W678" i="9"/>
  <c r="W681" i="9"/>
  <c r="W683" i="9"/>
  <c r="W684" i="9"/>
  <c r="W687" i="9"/>
  <c r="W690" i="9"/>
  <c r="W691" i="9"/>
  <c r="W695" i="9"/>
  <c r="W696" i="9"/>
  <c r="W697" i="9"/>
  <c r="W699" i="9"/>
  <c r="W701" i="9"/>
  <c r="W703" i="9"/>
  <c r="W704" i="9"/>
  <c r="W705" i="9"/>
  <c r="W706" i="9"/>
  <c r="W707" i="9"/>
  <c r="W708" i="9"/>
  <c r="W709" i="9"/>
  <c r="W710" i="9"/>
  <c r="W713" i="9"/>
  <c r="W719" i="9"/>
  <c r="W723" i="9"/>
  <c r="W724" i="9"/>
  <c r="W727" i="9"/>
  <c r="W729" i="9"/>
  <c r="W730" i="9"/>
  <c r="W735" i="9"/>
  <c r="W737" i="9"/>
  <c r="W738" i="9"/>
  <c r="W742" i="9"/>
  <c r="W743" i="9"/>
  <c r="W744" i="9"/>
  <c r="W745" i="9"/>
  <c r="W747" i="9"/>
  <c r="W749" i="9"/>
  <c r="W750" i="9"/>
  <c r="W751" i="9"/>
  <c r="W752" i="9"/>
  <c r="W753" i="9"/>
  <c r="W754" i="9"/>
  <c r="W755" i="9"/>
  <c r="W756" i="9"/>
  <c r="W758" i="9"/>
  <c r="W759" i="9"/>
  <c r="W760" i="9"/>
  <c r="L619" i="9"/>
  <c r="N619" i="9" s="1"/>
  <c r="AC619" i="9" s="1"/>
  <c r="L620" i="9"/>
  <c r="N620" i="9" s="1"/>
  <c r="AC620" i="9" s="1"/>
  <c r="L621" i="9"/>
  <c r="N621" i="9" s="1"/>
  <c r="AC621" i="9" s="1"/>
  <c r="L623" i="9"/>
  <c r="N623" i="9" s="1"/>
  <c r="AC623" i="9" s="1"/>
  <c r="L624" i="9"/>
  <c r="N624" i="9" s="1"/>
  <c r="AC624" i="9" s="1"/>
  <c r="L625" i="9"/>
  <c r="N625" i="9" s="1"/>
  <c r="AC625" i="9" s="1"/>
  <c r="L626" i="9"/>
  <c r="N626" i="9" s="1"/>
  <c r="AC626" i="9" s="1"/>
  <c r="L627" i="9"/>
  <c r="N627" i="9" s="1"/>
  <c r="AC627" i="9" s="1"/>
  <c r="L628" i="9"/>
  <c r="N628" i="9" s="1"/>
  <c r="AC628" i="9" s="1"/>
  <c r="L629" i="9"/>
  <c r="N629" i="9" s="1"/>
  <c r="AC629" i="9" s="1"/>
  <c r="L630" i="9"/>
  <c r="N630" i="9" s="1"/>
  <c r="AC630" i="9" s="1"/>
  <c r="L631" i="9"/>
  <c r="N631" i="9" s="1"/>
  <c r="AC631" i="9" s="1"/>
  <c r="L632" i="9"/>
  <c r="N632" i="9" s="1"/>
  <c r="AC632" i="9" s="1"/>
  <c r="L633" i="9"/>
  <c r="N633" i="9" s="1"/>
  <c r="AC633" i="9" s="1"/>
  <c r="L634" i="9"/>
  <c r="N634" i="9" s="1"/>
  <c r="AC634" i="9" s="1"/>
  <c r="L635" i="9"/>
  <c r="N635" i="9" s="1"/>
  <c r="AC635" i="9" s="1"/>
  <c r="L636" i="9"/>
  <c r="N636" i="9" s="1"/>
  <c r="AC636" i="9" s="1"/>
  <c r="L637" i="9"/>
  <c r="N637" i="9" s="1"/>
  <c r="AC637" i="9" s="1"/>
  <c r="L638" i="9"/>
  <c r="N638" i="9" s="1"/>
  <c r="AC638" i="9" s="1"/>
  <c r="L639" i="9"/>
  <c r="N639" i="9" s="1"/>
  <c r="AC639" i="9" s="1"/>
  <c r="L640" i="9"/>
  <c r="N640" i="9" s="1"/>
  <c r="AC640" i="9" s="1"/>
  <c r="L641" i="9"/>
  <c r="N641" i="9" s="1"/>
  <c r="AC641" i="9" s="1"/>
  <c r="L642" i="9"/>
  <c r="N642" i="9" s="1"/>
  <c r="AC642" i="9" s="1"/>
  <c r="L643" i="9"/>
  <c r="N643" i="9" s="1"/>
  <c r="AC643" i="9" s="1"/>
  <c r="L644" i="9"/>
  <c r="N644" i="9" s="1"/>
  <c r="AC644" i="9" s="1"/>
  <c r="L645" i="9"/>
  <c r="N645" i="9" s="1"/>
  <c r="AC645" i="9" s="1"/>
  <c r="L648" i="9"/>
  <c r="N648" i="9" s="1"/>
  <c r="AC648" i="9" s="1"/>
  <c r="L649" i="9"/>
  <c r="N649" i="9" s="1"/>
  <c r="AC649" i="9" s="1"/>
  <c r="L650" i="9"/>
  <c r="N650" i="9" s="1"/>
  <c r="AC650" i="9" s="1"/>
  <c r="L652" i="9"/>
  <c r="N652" i="9" s="1"/>
  <c r="AC652" i="9" s="1"/>
  <c r="L653" i="9"/>
  <c r="N653" i="9" s="1"/>
  <c r="AC653" i="9" s="1"/>
  <c r="L654" i="9"/>
  <c r="N654" i="9" s="1"/>
  <c r="AC654" i="9" s="1"/>
  <c r="L655" i="9"/>
  <c r="N655" i="9" s="1"/>
  <c r="AC655" i="9" s="1"/>
  <c r="L656" i="9"/>
  <c r="N656" i="9" s="1"/>
  <c r="AC656" i="9" s="1"/>
  <c r="L657" i="9"/>
  <c r="N657" i="9" s="1"/>
  <c r="AC657" i="9" s="1"/>
  <c r="L658" i="9"/>
  <c r="N658" i="9" s="1"/>
  <c r="AC658" i="9" s="1"/>
  <c r="L659" i="9"/>
  <c r="N659" i="9" s="1"/>
  <c r="AC659" i="9" s="1"/>
  <c r="L660" i="9"/>
  <c r="N660" i="9" s="1"/>
  <c r="AC660" i="9" s="1"/>
  <c r="L661" i="9"/>
  <c r="N661" i="9" s="1"/>
  <c r="AC661" i="9" s="1"/>
  <c r="L662" i="9"/>
  <c r="N662" i="9" s="1"/>
  <c r="AC662" i="9" s="1"/>
  <c r="L663" i="9"/>
  <c r="N663" i="9" s="1"/>
  <c r="AC663" i="9" s="1"/>
  <c r="L664" i="9"/>
  <c r="N664" i="9" s="1"/>
  <c r="AC664" i="9" s="1"/>
  <c r="L651" i="9"/>
  <c r="N651" i="9" s="1"/>
  <c r="AC651" i="9" s="1"/>
  <c r="L665" i="9"/>
  <c r="N665" i="9" s="1"/>
  <c r="AC665" i="9" s="1"/>
  <c r="L666" i="9"/>
  <c r="N666" i="9" s="1"/>
  <c r="AC666" i="9" s="1"/>
  <c r="L667" i="9"/>
  <c r="N667" i="9" s="1"/>
  <c r="AC667" i="9" s="1"/>
  <c r="L647" i="9"/>
  <c r="N647" i="9" s="1"/>
  <c r="AC647" i="9" s="1"/>
  <c r="L668" i="9"/>
  <c r="N668" i="9" s="1"/>
  <c r="AC668" i="9" s="1"/>
  <c r="L669" i="9"/>
  <c r="N669" i="9" s="1"/>
  <c r="AC669" i="9" s="1"/>
  <c r="L670" i="9"/>
  <c r="N670" i="9" s="1"/>
  <c r="AC670" i="9" s="1"/>
  <c r="L671" i="9"/>
  <c r="N671" i="9" s="1"/>
  <c r="AC671" i="9" s="1"/>
  <c r="L672" i="9"/>
  <c r="N672" i="9" s="1"/>
  <c r="AC672" i="9" s="1"/>
  <c r="L674" i="9"/>
  <c r="N674" i="9" s="1"/>
  <c r="AC674" i="9" s="1"/>
  <c r="L675" i="9"/>
  <c r="N675" i="9" s="1"/>
  <c r="AC675" i="9" s="1"/>
  <c r="L676" i="9"/>
  <c r="N676" i="9" s="1"/>
  <c r="AC676" i="9" s="1"/>
  <c r="L677" i="9"/>
  <c r="N677" i="9" s="1"/>
  <c r="AC677" i="9" s="1"/>
  <c r="L678" i="9"/>
  <c r="N678" i="9" s="1"/>
  <c r="AC678" i="9" s="1"/>
  <c r="L679" i="9"/>
  <c r="N679" i="9" s="1"/>
  <c r="AC679" i="9" s="1"/>
  <c r="L680" i="9"/>
  <c r="N680" i="9" s="1"/>
  <c r="AC680" i="9" s="1"/>
  <c r="L681" i="9"/>
  <c r="N681" i="9" s="1"/>
  <c r="AC681" i="9" s="1"/>
  <c r="L682" i="9"/>
  <c r="N682" i="9" s="1"/>
  <c r="AC682" i="9" s="1"/>
  <c r="L683" i="9"/>
  <c r="N683" i="9" s="1"/>
  <c r="AC683" i="9" s="1"/>
  <c r="L684" i="9"/>
  <c r="N684" i="9" s="1"/>
  <c r="AC684" i="9" s="1"/>
  <c r="L685" i="9"/>
  <c r="N685" i="9" s="1"/>
  <c r="AC685" i="9" s="1"/>
  <c r="L686" i="9"/>
  <c r="N686" i="9" s="1"/>
  <c r="AC686" i="9" s="1"/>
  <c r="L687" i="9"/>
  <c r="N687" i="9" s="1"/>
  <c r="AC687" i="9" s="1"/>
  <c r="L688" i="9"/>
  <c r="N688" i="9" s="1"/>
  <c r="AC688" i="9" s="1"/>
  <c r="L690" i="9"/>
  <c r="N690" i="9" s="1"/>
  <c r="AC690" i="9" s="1"/>
  <c r="L691" i="9"/>
  <c r="N691" i="9" s="1"/>
  <c r="AC691" i="9" s="1"/>
  <c r="L692" i="9"/>
  <c r="N692" i="9" s="1"/>
  <c r="AC692" i="9" s="1"/>
  <c r="L693" i="9"/>
  <c r="N693" i="9" s="1"/>
  <c r="AC693" i="9" s="1"/>
  <c r="L694" i="9"/>
  <c r="N694" i="9" s="1"/>
  <c r="AC694" i="9" s="1"/>
  <c r="L695" i="9"/>
  <c r="N695" i="9" s="1"/>
  <c r="AC695" i="9" s="1"/>
  <c r="L696" i="9"/>
  <c r="N696" i="9" s="1"/>
  <c r="AC696" i="9" s="1"/>
  <c r="L697" i="9"/>
  <c r="N697" i="9" s="1"/>
  <c r="AC697" i="9" s="1"/>
  <c r="L698" i="9"/>
  <c r="N698" i="9" s="1"/>
  <c r="AC698" i="9" s="1"/>
  <c r="L699" i="9"/>
  <c r="N699" i="9" s="1"/>
  <c r="AC699" i="9" s="1"/>
  <c r="L700" i="9"/>
  <c r="N700" i="9" s="1"/>
  <c r="AC700" i="9" s="1"/>
  <c r="L701" i="9"/>
  <c r="N701" i="9" s="1"/>
  <c r="AC701" i="9" s="1"/>
  <c r="L702" i="9"/>
  <c r="N702" i="9" s="1"/>
  <c r="AC702" i="9" s="1"/>
  <c r="L703" i="9"/>
  <c r="N703" i="9" s="1"/>
  <c r="AC703" i="9" s="1"/>
  <c r="L704" i="9"/>
  <c r="N704" i="9" s="1"/>
  <c r="AC704" i="9" s="1"/>
  <c r="L705" i="9"/>
  <c r="N705" i="9" s="1"/>
  <c r="AC705" i="9" s="1"/>
  <c r="L706" i="9"/>
  <c r="N706" i="9" s="1"/>
  <c r="AC706" i="9" s="1"/>
  <c r="L707" i="9"/>
  <c r="N707" i="9" s="1"/>
  <c r="AC707" i="9" s="1"/>
  <c r="L708" i="9"/>
  <c r="N708" i="9" s="1"/>
  <c r="AC708" i="9" s="1"/>
  <c r="L709" i="9"/>
  <c r="N709" i="9" s="1"/>
  <c r="AC709" i="9" s="1"/>
  <c r="L710" i="9"/>
  <c r="N710" i="9" s="1"/>
  <c r="AC710" i="9" s="1"/>
  <c r="L711" i="9"/>
  <c r="N711" i="9" s="1"/>
  <c r="AC711" i="9" s="1"/>
  <c r="L713" i="9"/>
  <c r="N713" i="9" s="1"/>
  <c r="AC713" i="9" s="1"/>
  <c r="L712" i="9"/>
  <c r="N712" i="9" s="1"/>
  <c r="AC712" i="9" s="1"/>
  <c r="L714" i="9"/>
  <c r="N714" i="9" s="1"/>
  <c r="AC714" i="9" s="1"/>
  <c r="L715" i="9"/>
  <c r="N715" i="9" s="1"/>
  <c r="AC715" i="9" s="1"/>
  <c r="L716" i="9"/>
  <c r="N716" i="9" s="1"/>
  <c r="AC716" i="9" s="1"/>
  <c r="L717" i="9"/>
  <c r="N717" i="9" s="1"/>
  <c r="AC717" i="9" s="1"/>
  <c r="L718" i="9"/>
  <c r="N718" i="9" s="1"/>
  <c r="AC718" i="9" s="1"/>
  <c r="L719" i="9"/>
  <c r="N719" i="9" s="1"/>
  <c r="AC719" i="9" s="1"/>
  <c r="L721" i="9"/>
  <c r="N721" i="9" s="1"/>
  <c r="AC721" i="9" s="1"/>
  <c r="L722" i="9"/>
  <c r="N722" i="9" s="1"/>
  <c r="AC722" i="9" s="1"/>
  <c r="L723" i="9"/>
  <c r="N723" i="9" s="1"/>
  <c r="AC723" i="9" s="1"/>
  <c r="L724" i="9"/>
  <c r="N724" i="9" s="1"/>
  <c r="AC724" i="9" s="1"/>
  <c r="L725" i="9"/>
  <c r="N725" i="9" s="1"/>
  <c r="AC725" i="9" s="1"/>
  <c r="L726" i="9"/>
  <c r="N726" i="9" s="1"/>
  <c r="AC726" i="9" s="1"/>
  <c r="L727" i="9"/>
  <c r="N727" i="9" s="1"/>
  <c r="AC727" i="9" s="1"/>
  <c r="L728" i="9"/>
  <c r="N728" i="9" s="1"/>
  <c r="AC728" i="9" s="1"/>
  <c r="L729" i="9"/>
  <c r="N729" i="9" s="1"/>
  <c r="AC729" i="9" s="1"/>
  <c r="L730" i="9"/>
  <c r="N730" i="9" s="1"/>
  <c r="AC730" i="9" s="1"/>
  <c r="L732" i="9"/>
  <c r="N732" i="9" s="1"/>
  <c r="AC732" i="9" s="1"/>
  <c r="L733" i="9"/>
  <c r="N733" i="9" s="1"/>
  <c r="AC733" i="9" s="1"/>
  <c r="L734" i="9"/>
  <c r="N734" i="9" s="1"/>
  <c r="AC734" i="9" s="1"/>
  <c r="L735" i="9"/>
  <c r="N735" i="9" s="1"/>
  <c r="AC735" i="9" s="1"/>
  <c r="L736" i="9"/>
  <c r="N736" i="9" s="1"/>
  <c r="AC736" i="9" s="1"/>
  <c r="L737" i="9"/>
  <c r="N737" i="9" s="1"/>
  <c r="AC737" i="9" s="1"/>
  <c r="L738" i="9"/>
  <c r="N738" i="9" s="1"/>
  <c r="AC738" i="9" s="1"/>
  <c r="L739" i="9"/>
  <c r="N739" i="9" s="1"/>
  <c r="AC739" i="9" s="1"/>
  <c r="L740" i="9"/>
  <c r="N740" i="9" s="1"/>
  <c r="AC740" i="9" s="1"/>
  <c r="L741" i="9"/>
  <c r="N741" i="9" s="1"/>
  <c r="AC741" i="9" s="1"/>
  <c r="L742" i="9"/>
  <c r="N742" i="9" s="1"/>
  <c r="AC742" i="9" s="1"/>
  <c r="L743" i="9"/>
  <c r="N743" i="9" s="1"/>
  <c r="AC743" i="9" s="1"/>
  <c r="L744" i="9"/>
  <c r="N744" i="9" s="1"/>
  <c r="AC744" i="9" s="1"/>
  <c r="L745" i="9"/>
  <c r="N745" i="9" s="1"/>
  <c r="AC745" i="9" s="1"/>
  <c r="L746" i="9"/>
  <c r="N746" i="9" s="1"/>
  <c r="AC746" i="9" s="1"/>
  <c r="L747" i="9"/>
  <c r="N747" i="9" s="1"/>
  <c r="AC747" i="9" s="1"/>
  <c r="L748" i="9"/>
  <c r="N748" i="9" s="1"/>
  <c r="AC748" i="9" s="1"/>
  <c r="L749" i="9"/>
  <c r="N749" i="9" s="1"/>
  <c r="AC749" i="9" s="1"/>
  <c r="L750" i="9"/>
  <c r="N750" i="9" s="1"/>
  <c r="AC750" i="9" s="1"/>
  <c r="L751" i="9"/>
  <c r="N751" i="9" s="1"/>
  <c r="AC751" i="9" s="1"/>
  <c r="L752" i="9"/>
  <c r="N752" i="9" s="1"/>
  <c r="AC752" i="9" s="1"/>
  <c r="L753" i="9"/>
  <c r="N753" i="9" s="1"/>
  <c r="AC753" i="9" s="1"/>
  <c r="L754" i="9"/>
  <c r="N754" i="9" s="1"/>
  <c r="AC754" i="9" s="1"/>
  <c r="L755" i="9"/>
  <c r="N755" i="9" s="1"/>
  <c r="AC755" i="9" s="1"/>
  <c r="L756" i="9"/>
  <c r="N756" i="9" s="1"/>
  <c r="AC756" i="9" s="1"/>
  <c r="L757" i="9"/>
  <c r="N757" i="9" s="1"/>
  <c r="AC757" i="9" s="1"/>
  <c r="L758" i="9"/>
  <c r="N758" i="9" s="1"/>
  <c r="AC758" i="9" s="1"/>
  <c r="L759" i="9"/>
  <c r="N759" i="9" s="1"/>
  <c r="AC759" i="9" s="1"/>
  <c r="L760" i="9"/>
  <c r="N760" i="9" s="1"/>
  <c r="AC760" i="9" s="1"/>
  <c r="L761" i="9"/>
  <c r="N761" i="9" s="1"/>
  <c r="AC761" i="9" s="1"/>
  <c r="I241" i="3" l="1"/>
  <c r="K241" i="3" s="1"/>
  <c r="I238" i="3" l="1"/>
  <c r="K238" i="3" s="1"/>
  <c r="I239" i="3"/>
  <c r="K239" i="3" s="1"/>
  <c r="I240" i="3"/>
  <c r="K240" i="3" s="1"/>
  <c r="T575" i="9"/>
  <c r="W575" i="9" s="1"/>
  <c r="T576" i="9"/>
  <c r="W576" i="9" s="1"/>
  <c r="T577" i="9"/>
  <c r="W577" i="9" s="1"/>
  <c r="T578" i="9"/>
  <c r="W578" i="9" s="1"/>
  <c r="T579" i="9"/>
  <c r="W579" i="9" s="1"/>
  <c r="T580" i="9"/>
  <c r="W580" i="9" s="1"/>
  <c r="T581" i="9"/>
  <c r="W581" i="9" s="1"/>
  <c r="T583" i="9"/>
  <c r="W583" i="9" s="1"/>
  <c r="T584" i="9"/>
  <c r="W584" i="9" s="1"/>
  <c r="T585" i="9"/>
  <c r="W585" i="9" s="1"/>
  <c r="T586" i="9"/>
  <c r="W586" i="9" s="1"/>
  <c r="T587" i="9"/>
  <c r="W587" i="9" s="1"/>
  <c r="T588" i="9"/>
  <c r="W588" i="9" s="1"/>
  <c r="T589" i="9"/>
  <c r="W589" i="9" s="1"/>
  <c r="T590" i="9"/>
  <c r="W590" i="9" s="1"/>
  <c r="T591" i="9"/>
  <c r="W591" i="9" s="1"/>
  <c r="T592" i="9"/>
  <c r="W592" i="9" s="1"/>
  <c r="T593" i="9"/>
  <c r="W593" i="9" s="1"/>
  <c r="T594" i="9"/>
  <c r="W594" i="9" s="1"/>
  <c r="T595" i="9"/>
  <c r="W595" i="9" s="1"/>
  <c r="T596" i="9"/>
  <c r="W596" i="9" s="1"/>
  <c r="T597" i="9"/>
  <c r="W597" i="9" s="1"/>
  <c r="T598" i="9"/>
  <c r="W598" i="9" s="1"/>
  <c r="T599" i="9"/>
  <c r="W599" i="9" s="1"/>
  <c r="T601" i="9"/>
  <c r="W601" i="9" s="1"/>
  <c r="T602" i="9"/>
  <c r="W602" i="9" s="1"/>
  <c r="T603" i="9"/>
  <c r="W603" i="9" s="1"/>
  <c r="T604" i="9"/>
  <c r="W604" i="9" s="1"/>
  <c r="T605" i="9"/>
  <c r="W605" i="9" s="1"/>
  <c r="T606" i="9"/>
  <c r="W606" i="9" s="1"/>
  <c r="T607" i="9"/>
  <c r="W607" i="9" s="1"/>
  <c r="T608" i="9"/>
  <c r="W608" i="9" s="1"/>
  <c r="T609" i="9"/>
  <c r="W609" i="9" s="1"/>
  <c r="T610" i="9"/>
  <c r="W610" i="9" s="1"/>
  <c r="T611" i="9"/>
  <c r="W611" i="9" s="1"/>
  <c r="T612" i="9"/>
  <c r="W612" i="9" s="1"/>
  <c r="T613" i="9"/>
  <c r="W613" i="9" s="1"/>
  <c r="T600" i="9"/>
  <c r="W600" i="9" s="1"/>
  <c r="T614" i="9"/>
  <c r="W614" i="9" s="1"/>
  <c r="T615" i="9"/>
  <c r="W615" i="9" s="1"/>
  <c r="T616" i="9"/>
  <c r="W616" i="9" s="1"/>
  <c r="L575" i="9"/>
  <c r="N575" i="9" s="1"/>
  <c r="AC575" i="9" s="1"/>
  <c r="L576" i="9"/>
  <c r="N576" i="9" s="1"/>
  <c r="AC576" i="9" s="1"/>
  <c r="L577" i="9"/>
  <c r="N577" i="9" s="1"/>
  <c r="AC577" i="9" s="1"/>
  <c r="L578" i="9"/>
  <c r="N578" i="9" s="1"/>
  <c r="AC578" i="9" s="1"/>
  <c r="L579" i="9"/>
  <c r="N579" i="9" s="1"/>
  <c r="AC579" i="9" s="1"/>
  <c r="L580" i="9"/>
  <c r="N580" i="9" s="1"/>
  <c r="AC580" i="9" s="1"/>
  <c r="L581" i="9"/>
  <c r="N581" i="9" s="1"/>
  <c r="AC581" i="9" s="1"/>
  <c r="L583" i="9"/>
  <c r="N583" i="9" s="1"/>
  <c r="AC583" i="9" s="1"/>
  <c r="L584" i="9"/>
  <c r="N584" i="9" s="1"/>
  <c r="AC584" i="9" s="1"/>
  <c r="L585" i="9"/>
  <c r="N585" i="9" s="1"/>
  <c r="AC585" i="9" s="1"/>
  <c r="L586" i="9"/>
  <c r="N586" i="9" s="1"/>
  <c r="AC586" i="9" s="1"/>
  <c r="L587" i="9"/>
  <c r="N587" i="9" s="1"/>
  <c r="AC587" i="9" s="1"/>
  <c r="L588" i="9"/>
  <c r="N588" i="9" s="1"/>
  <c r="AC588" i="9" s="1"/>
  <c r="L589" i="9"/>
  <c r="N589" i="9" s="1"/>
  <c r="AC589" i="9" s="1"/>
  <c r="L590" i="9"/>
  <c r="N590" i="9" s="1"/>
  <c r="AC590" i="9" s="1"/>
  <c r="L591" i="9"/>
  <c r="N591" i="9" s="1"/>
  <c r="AC591" i="9" s="1"/>
  <c r="L592" i="9"/>
  <c r="N592" i="9" s="1"/>
  <c r="AC592" i="9" s="1"/>
  <c r="L593" i="9"/>
  <c r="N593" i="9" s="1"/>
  <c r="AC593" i="9" s="1"/>
  <c r="L594" i="9"/>
  <c r="N594" i="9" s="1"/>
  <c r="AC594" i="9" s="1"/>
  <c r="L595" i="9"/>
  <c r="N595" i="9" s="1"/>
  <c r="AC595" i="9" s="1"/>
  <c r="L596" i="9"/>
  <c r="N596" i="9" s="1"/>
  <c r="AC596" i="9" s="1"/>
  <c r="L597" i="9"/>
  <c r="N597" i="9" s="1"/>
  <c r="AC597" i="9" s="1"/>
  <c r="L598" i="9"/>
  <c r="N598" i="9" s="1"/>
  <c r="AC598" i="9" s="1"/>
  <c r="L599" i="9"/>
  <c r="N599" i="9" s="1"/>
  <c r="AC599" i="9" s="1"/>
  <c r="L601" i="9"/>
  <c r="N601" i="9" s="1"/>
  <c r="AC601" i="9" s="1"/>
  <c r="L602" i="9"/>
  <c r="N602" i="9" s="1"/>
  <c r="AC602" i="9" s="1"/>
  <c r="L603" i="9"/>
  <c r="N603" i="9" s="1"/>
  <c r="AC603" i="9" s="1"/>
  <c r="L604" i="9"/>
  <c r="N604" i="9" s="1"/>
  <c r="AC604" i="9" s="1"/>
  <c r="L605" i="9"/>
  <c r="N605" i="9" s="1"/>
  <c r="AC605" i="9" s="1"/>
  <c r="L606" i="9"/>
  <c r="N606" i="9" s="1"/>
  <c r="AC606" i="9" s="1"/>
  <c r="L607" i="9"/>
  <c r="N607" i="9" s="1"/>
  <c r="AC607" i="9" s="1"/>
  <c r="L608" i="9"/>
  <c r="N608" i="9" s="1"/>
  <c r="AC608" i="9" s="1"/>
  <c r="L609" i="9"/>
  <c r="N609" i="9" s="1"/>
  <c r="AC609" i="9" s="1"/>
  <c r="L610" i="9"/>
  <c r="N610" i="9" s="1"/>
  <c r="AC610" i="9" s="1"/>
  <c r="L611" i="9"/>
  <c r="N611" i="9" s="1"/>
  <c r="AC611" i="9" s="1"/>
  <c r="L612" i="9"/>
  <c r="N612" i="9" s="1"/>
  <c r="AC612" i="9" s="1"/>
  <c r="L613" i="9"/>
  <c r="N613" i="9" s="1"/>
  <c r="AC613" i="9" s="1"/>
  <c r="L600" i="9"/>
  <c r="N600" i="9" s="1"/>
  <c r="AC600" i="9" s="1"/>
  <c r="L614" i="9"/>
  <c r="N614" i="9" s="1"/>
  <c r="AC614" i="9" s="1"/>
  <c r="L615" i="9"/>
  <c r="N615" i="9" s="1"/>
  <c r="AC615" i="9" s="1"/>
  <c r="L616" i="9"/>
  <c r="N616" i="9" s="1"/>
  <c r="AC616" i="9" s="1"/>
  <c r="L617" i="9"/>
  <c r="N617" i="9" s="1"/>
  <c r="AC617" i="9" s="1"/>
  <c r="L618" i="9"/>
  <c r="N618" i="9" s="1"/>
  <c r="AC618" i="9" s="1"/>
  <c r="I235" i="3" l="1"/>
  <c r="K235" i="3" s="1"/>
  <c r="I236" i="3"/>
  <c r="K236" i="3" s="1"/>
  <c r="I237" i="3"/>
  <c r="K237" i="3" s="1"/>
  <c r="T532" i="9" l="1"/>
  <c r="W532" i="9" s="1"/>
  <c r="T533" i="9"/>
  <c r="W533" i="9" s="1"/>
  <c r="T535" i="9"/>
  <c r="W535" i="9" s="1"/>
  <c r="T536" i="9"/>
  <c r="W536" i="9" s="1"/>
  <c r="T537" i="9"/>
  <c r="W537" i="9" s="1"/>
  <c r="T538" i="9"/>
  <c r="W538" i="9" s="1"/>
  <c r="T539" i="9"/>
  <c r="W539" i="9" s="1"/>
  <c r="T540" i="9"/>
  <c r="W540" i="9" s="1"/>
  <c r="T541" i="9"/>
  <c r="W541" i="9" s="1"/>
  <c r="T542" i="9"/>
  <c r="W542" i="9" s="1"/>
  <c r="T543" i="9"/>
  <c r="W543" i="9" s="1"/>
  <c r="T544" i="9"/>
  <c r="W544" i="9" s="1"/>
  <c r="T545" i="9"/>
  <c r="W545" i="9" s="1"/>
  <c r="T546" i="9"/>
  <c r="W546" i="9" s="1"/>
  <c r="T547" i="9"/>
  <c r="W547" i="9" s="1"/>
  <c r="T548" i="9"/>
  <c r="W548" i="9" s="1"/>
  <c r="T549" i="9"/>
  <c r="W549" i="9" s="1"/>
  <c r="T550" i="9"/>
  <c r="W550" i="9" s="1"/>
  <c r="T551" i="9"/>
  <c r="W551" i="9" s="1"/>
  <c r="T552" i="9"/>
  <c r="W552" i="9" s="1"/>
  <c r="T553" i="9"/>
  <c r="W553" i="9" s="1"/>
  <c r="T554" i="9"/>
  <c r="W554" i="9" s="1"/>
  <c r="T555" i="9"/>
  <c r="W555" i="9" s="1"/>
  <c r="T557" i="9"/>
  <c r="W557" i="9" s="1"/>
  <c r="T558" i="9"/>
  <c r="W558" i="9" s="1"/>
  <c r="T559" i="9"/>
  <c r="W559" i="9" s="1"/>
  <c r="T560" i="9"/>
  <c r="W560" i="9" s="1"/>
  <c r="T561" i="9"/>
  <c r="W561" i="9" s="1"/>
  <c r="T562" i="9"/>
  <c r="W562" i="9" s="1"/>
  <c r="T563" i="9"/>
  <c r="W563" i="9" s="1"/>
  <c r="T565" i="9"/>
  <c r="W565" i="9" s="1"/>
  <c r="T566" i="9"/>
  <c r="W566" i="9" s="1"/>
  <c r="T567" i="9"/>
  <c r="W567" i="9" s="1"/>
  <c r="T568" i="9"/>
  <c r="W568" i="9" s="1"/>
  <c r="T569" i="9"/>
  <c r="W569" i="9" s="1"/>
  <c r="T570" i="9"/>
  <c r="W570" i="9" s="1"/>
  <c r="T571" i="9"/>
  <c r="W571" i="9" s="1"/>
  <c r="T572" i="9"/>
  <c r="W572" i="9" s="1"/>
  <c r="T573" i="9"/>
  <c r="W573" i="9" s="1"/>
  <c r="T574" i="9"/>
  <c r="W574" i="9" s="1"/>
  <c r="T556" i="9"/>
  <c r="W556" i="9" s="1"/>
  <c r="L532" i="9"/>
  <c r="N532" i="9" s="1"/>
  <c r="AC532" i="9" s="1"/>
  <c r="L533" i="9"/>
  <c r="N533" i="9" s="1"/>
  <c r="AC533" i="9" s="1"/>
  <c r="L535" i="9"/>
  <c r="N535" i="9" s="1"/>
  <c r="AC535" i="9" s="1"/>
  <c r="L536" i="9"/>
  <c r="N536" i="9" s="1"/>
  <c r="AC536" i="9" s="1"/>
  <c r="L537" i="9"/>
  <c r="N537" i="9" s="1"/>
  <c r="AC537" i="9" s="1"/>
  <c r="L538" i="9"/>
  <c r="N538" i="9" s="1"/>
  <c r="AC538" i="9" s="1"/>
  <c r="L539" i="9"/>
  <c r="N539" i="9" s="1"/>
  <c r="AC539" i="9" s="1"/>
  <c r="L540" i="9"/>
  <c r="N540" i="9" s="1"/>
  <c r="AC540" i="9" s="1"/>
  <c r="L541" i="9"/>
  <c r="N541" i="9" s="1"/>
  <c r="AC541" i="9" s="1"/>
  <c r="L542" i="9"/>
  <c r="N542" i="9" s="1"/>
  <c r="AC542" i="9" s="1"/>
  <c r="L543" i="9"/>
  <c r="N543" i="9" s="1"/>
  <c r="AC543" i="9" s="1"/>
  <c r="L544" i="9"/>
  <c r="N544" i="9" s="1"/>
  <c r="AC544" i="9" s="1"/>
  <c r="L545" i="9"/>
  <c r="N545" i="9" s="1"/>
  <c r="AC545" i="9" s="1"/>
  <c r="L546" i="9"/>
  <c r="N546" i="9" s="1"/>
  <c r="AC546" i="9" s="1"/>
  <c r="L547" i="9"/>
  <c r="N547" i="9" s="1"/>
  <c r="AC547" i="9" s="1"/>
  <c r="L548" i="9"/>
  <c r="N548" i="9" s="1"/>
  <c r="AC548" i="9" s="1"/>
  <c r="L549" i="9"/>
  <c r="N549" i="9" s="1"/>
  <c r="AC549" i="9" s="1"/>
  <c r="L550" i="9"/>
  <c r="N550" i="9" s="1"/>
  <c r="AC550" i="9" s="1"/>
  <c r="L551" i="9"/>
  <c r="N551" i="9" s="1"/>
  <c r="AC551" i="9" s="1"/>
  <c r="L552" i="9"/>
  <c r="N552" i="9" s="1"/>
  <c r="AC552" i="9" s="1"/>
  <c r="L553" i="9"/>
  <c r="N553" i="9" s="1"/>
  <c r="AC553" i="9" s="1"/>
  <c r="L554" i="9"/>
  <c r="N554" i="9" s="1"/>
  <c r="AC554" i="9" s="1"/>
  <c r="L555" i="9"/>
  <c r="N555" i="9" s="1"/>
  <c r="AC555" i="9" s="1"/>
  <c r="L557" i="9"/>
  <c r="N557" i="9" s="1"/>
  <c r="AC557" i="9" s="1"/>
  <c r="L558" i="9"/>
  <c r="N558" i="9" s="1"/>
  <c r="AC558" i="9" s="1"/>
  <c r="L559" i="9"/>
  <c r="N559" i="9" s="1"/>
  <c r="AC559" i="9" s="1"/>
  <c r="L560" i="9"/>
  <c r="N560" i="9" s="1"/>
  <c r="AC560" i="9" s="1"/>
  <c r="L561" i="9"/>
  <c r="N561" i="9" s="1"/>
  <c r="AC561" i="9" s="1"/>
  <c r="L562" i="9"/>
  <c r="N562" i="9" s="1"/>
  <c r="AC562" i="9" s="1"/>
  <c r="L563" i="9"/>
  <c r="N563" i="9" s="1"/>
  <c r="AC563" i="9" s="1"/>
  <c r="L565" i="9"/>
  <c r="N565" i="9" s="1"/>
  <c r="AC565" i="9" s="1"/>
  <c r="L566" i="9"/>
  <c r="N566" i="9" s="1"/>
  <c r="AC566" i="9" s="1"/>
  <c r="L567" i="9"/>
  <c r="N567" i="9" s="1"/>
  <c r="AC567" i="9" s="1"/>
  <c r="L568" i="9"/>
  <c r="N568" i="9" s="1"/>
  <c r="AC568" i="9" s="1"/>
  <c r="L569" i="9"/>
  <c r="N569" i="9" s="1"/>
  <c r="AC569" i="9" s="1"/>
  <c r="L570" i="9"/>
  <c r="N570" i="9" s="1"/>
  <c r="AC570" i="9" s="1"/>
  <c r="L571" i="9"/>
  <c r="N571" i="9" s="1"/>
  <c r="AC571" i="9" s="1"/>
  <c r="L572" i="9"/>
  <c r="N572" i="9" s="1"/>
  <c r="AC572" i="9" s="1"/>
  <c r="L573" i="9"/>
  <c r="N573" i="9" s="1"/>
  <c r="AC573" i="9" s="1"/>
  <c r="L574" i="9"/>
  <c r="N574" i="9" s="1"/>
  <c r="AC574" i="9" s="1"/>
  <c r="L556" i="9"/>
  <c r="N556" i="9" s="1"/>
  <c r="AC556" i="9" s="1"/>
  <c r="I230" i="3"/>
  <c r="K230" i="3" s="1"/>
  <c r="I231" i="3"/>
  <c r="K231" i="3" s="1"/>
  <c r="I232" i="3"/>
  <c r="K232" i="3" s="1"/>
  <c r="I233" i="3"/>
  <c r="K233" i="3" s="1"/>
  <c r="I234" i="3"/>
  <c r="K234" i="3" s="1"/>
  <c r="T482" i="9" l="1"/>
  <c r="W482" i="9" s="1"/>
  <c r="T483" i="9"/>
  <c r="W483" i="9" s="1"/>
  <c r="T484" i="9"/>
  <c r="W484" i="9" s="1"/>
  <c r="T485" i="9"/>
  <c r="W485" i="9" s="1"/>
  <c r="T487" i="9"/>
  <c r="W487" i="9" s="1"/>
  <c r="T488" i="9"/>
  <c r="W488" i="9" s="1"/>
  <c r="T489" i="9"/>
  <c r="W489" i="9" s="1"/>
  <c r="T490" i="9"/>
  <c r="W490" i="9" s="1"/>
  <c r="T491" i="9"/>
  <c r="W491" i="9" s="1"/>
  <c r="T492" i="9"/>
  <c r="W492" i="9" s="1"/>
  <c r="T493" i="9"/>
  <c r="W493" i="9" s="1"/>
  <c r="T494" i="9"/>
  <c r="W494" i="9" s="1"/>
  <c r="T495" i="9"/>
  <c r="W495" i="9" s="1"/>
  <c r="T496" i="9"/>
  <c r="W496" i="9" s="1"/>
  <c r="T497" i="9"/>
  <c r="W497" i="9" s="1"/>
  <c r="T498" i="9"/>
  <c r="W498" i="9" s="1"/>
  <c r="T499" i="9"/>
  <c r="W499" i="9" s="1"/>
  <c r="T500" i="9"/>
  <c r="W500" i="9" s="1"/>
  <c r="T501" i="9"/>
  <c r="W501" i="9" s="1"/>
  <c r="T503" i="9"/>
  <c r="W503" i="9" s="1"/>
  <c r="T504" i="9"/>
  <c r="W504" i="9" s="1"/>
  <c r="T505" i="9"/>
  <c r="W505" i="9" s="1"/>
  <c r="T506" i="9"/>
  <c r="W506" i="9" s="1"/>
  <c r="T507" i="9"/>
  <c r="W507" i="9" s="1"/>
  <c r="T508" i="9"/>
  <c r="W508" i="9" s="1"/>
  <c r="T510" i="9"/>
  <c r="W510" i="9" s="1"/>
  <c r="T511" i="9"/>
  <c r="W511" i="9" s="1"/>
  <c r="T512" i="9"/>
  <c r="W512" i="9" s="1"/>
  <c r="T513" i="9"/>
  <c r="W513" i="9" s="1"/>
  <c r="T514" i="9"/>
  <c r="W514" i="9" s="1"/>
  <c r="T515" i="9"/>
  <c r="W515" i="9" s="1"/>
  <c r="T516" i="9"/>
  <c r="W516" i="9" s="1"/>
  <c r="T517" i="9"/>
  <c r="W517" i="9" s="1"/>
  <c r="T518" i="9"/>
  <c r="W518" i="9" s="1"/>
  <c r="T519" i="9"/>
  <c r="W519" i="9" s="1"/>
  <c r="T520" i="9"/>
  <c r="W520" i="9" s="1"/>
  <c r="T521" i="9"/>
  <c r="W521" i="9" s="1"/>
  <c r="T522" i="9"/>
  <c r="W522" i="9" s="1"/>
  <c r="T523" i="9"/>
  <c r="W523" i="9" s="1"/>
  <c r="T524" i="9"/>
  <c r="W524" i="9" s="1"/>
  <c r="T525" i="9"/>
  <c r="W525" i="9" s="1"/>
  <c r="T526" i="9"/>
  <c r="W526" i="9" s="1"/>
  <c r="T527" i="9"/>
  <c r="W527" i="9" s="1"/>
  <c r="T509" i="9"/>
  <c r="W509" i="9" s="1"/>
  <c r="T528" i="9"/>
  <c r="W528" i="9" s="1"/>
  <c r="T529" i="9"/>
  <c r="W529" i="9" s="1"/>
  <c r="T530" i="9"/>
  <c r="W530" i="9" s="1"/>
  <c r="T531" i="9"/>
  <c r="W531" i="9" s="1"/>
  <c r="L482" i="9"/>
  <c r="N482" i="9" s="1"/>
  <c r="AC482" i="9" s="1"/>
  <c r="L483" i="9"/>
  <c r="N483" i="9" s="1"/>
  <c r="AC483" i="9" s="1"/>
  <c r="L484" i="9"/>
  <c r="N484" i="9" s="1"/>
  <c r="AC484" i="9" s="1"/>
  <c r="L485" i="9"/>
  <c r="N485" i="9" s="1"/>
  <c r="AC485" i="9" s="1"/>
  <c r="L487" i="9"/>
  <c r="N487" i="9" s="1"/>
  <c r="AC487" i="9" s="1"/>
  <c r="L488" i="9"/>
  <c r="N488" i="9" s="1"/>
  <c r="AC488" i="9" s="1"/>
  <c r="L489" i="9"/>
  <c r="N489" i="9" s="1"/>
  <c r="AC489" i="9" s="1"/>
  <c r="L490" i="9"/>
  <c r="N490" i="9" s="1"/>
  <c r="AC490" i="9" s="1"/>
  <c r="L491" i="9"/>
  <c r="N491" i="9" s="1"/>
  <c r="AC491" i="9" s="1"/>
  <c r="L492" i="9"/>
  <c r="N492" i="9" s="1"/>
  <c r="AC492" i="9" s="1"/>
  <c r="L493" i="9"/>
  <c r="N493" i="9" s="1"/>
  <c r="AC493" i="9" s="1"/>
  <c r="L494" i="9"/>
  <c r="N494" i="9" s="1"/>
  <c r="AC494" i="9" s="1"/>
  <c r="L495" i="9"/>
  <c r="N495" i="9" s="1"/>
  <c r="AC495" i="9" s="1"/>
  <c r="L496" i="9"/>
  <c r="N496" i="9" s="1"/>
  <c r="AC496" i="9" s="1"/>
  <c r="L497" i="9"/>
  <c r="N497" i="9" s="1"/>
  <c r="AC497" i="9" s="1"/>
  <c r="L498" i="9"/>
  <c r="N498" i="9" s="1"/>
  <c r="AC498" i="9" s="1"/>
  <c r="L499" i="9"/>
  <c r="N499" i="9" s="1"/>
  <c r="AC499" i="9" s="1"/>
  <c r="L500" i="9"/>
  <c r="N500" i="9" s="1"/>
  <c r="AC500" i="9" s="1"/>
  <c r="L501" i="9"/>
  <c r="N501" i="9" s="1"/>
  <c r="AC501" i="9" s="1"/>
  <c r="L503" i="9"/>
  <c r="N503" i="9" s="1"/>
  <c r="AC503" i="9" s="1"/>
  <c r="L504" i="9"/>
  <c r="N504" i="9" s="1"/>
  <c r="AC504" i="9" s="1"/>
  <c r="L505" i="9"/>
  <c r="N505" i="9" s="1"/>
  <c r="AC505" i="9" s="1"/>
  <c r="L506" i="9"/>
  <c r="N506" i="9" s="1"/>
  <c r="AC506" i="9" s="1"/>
  <c r="L507" i="9"/>
  <c r="N507" i="9" s="1"/>
  <c r="AC507" i="9" s="1"/>
  <c r="L508" i="9"/>
  <c r="N508" i="9" s="1"/>
  <c r="AC508" i="9" s="1"/>
  <c r="L510" i="9"/>
  <c r="N510" i="9" s="1"/>
  <c r="AC510" i="9" s="1"/>
  <c r="L511" i="9"/>
  <c r="N511" i="9" s="1"/>
  <c r="AC511" i="9" s="1"/>
  <c r="L512" i="9"/>
  <c r="N512" i="9" s="1"/>
  <c r="AC512" i="9" s="1"/>
  <c r="L513" i="9"/>
  <c r="N513" i="9" s="1"/>
  <c r="AC513" i="9" s="1"/>
  <c r="L514" i="9"/>
  <c r="N514" i="9" s="1"/>
  <c r="AC514" i="9" s="1"/>
  <c r="L515" i="9"/>
  <c r="N515" i="9" s="1"/>
  <c r="AC515" i="9" s="1"/>
  <c r="L516" i="9"/>
  <c r="N516" i="9" s="1"/>
  <c r="AC516" i="9" s="1"/>
  <c r="L517" i="9"/>
  <c r="N517" i="9" s="1"/>
  <c r="AC517" i="9" s="1"/>
  <c r="L518" i="9"/>
  <c r="N518" i="9" s="1"/>
  <c r="AC518" i="9" s="1"/>
  <c r="L519" i="9"/>
  <c r="N519" i="9" s="1"/>
  <c r="AC519" i="9" s="1"/>
  <c r="L520" i="9"/>
  <c r="N520" i="9" s="1"/>
  <c r="AC520" i="9" s="1"/>
  <c r="L521" i="9"/>
  <c r="N521" i="9" s="1"/>
  <c r="AC521" i="9" s="1"/>
  <c r="L522" i="9"/>
  <c r="N522" i="9" s="1"/>
  <c r="AC522" i="9" s="1"/>
  <c r="L523" i="9"/>
  <c r="N523" i="9" s="1"/>
  <c r="AC523" i="9" s="1"/>
  <c r="L524" i="9"/>
  <c r="N524" i="9" s="1"/>
  <c r="AC524" i="9" s="1"/>
  <c r="L525" i="9"/>
  <c r="N525" i="9" s="1"/>
  <c r="AC525" i="9" s="1"/>
  <c r="L526" i="9"/>
  <c r="N526" i="9" s="1"/>
  <c r="AC526" i="9" s="1"/>
  <c r="L527" i="9"/>
  <c r="N527" i="9" s="1"/>
  <c r="AC527" i="9" s="1"/>
  <c r="L509" i="9"/>
  <c r="N509" i="9" s="1"/>
  <c r="AC509" i="9" s="1"/>
  <c r="L528" i="9"/>
  <c r="N528" i="9" s="1"/>
  <c r="AC528" i="9" s="1"/>
  <c r="L529" i="9"/>
  <c r="N529" i="9" s="1"/>
  <c r="AC529" i="9" s="1"/>
  <c r="L530" i="9"/>
  <c r="N530" i="9" s="1"/>
  <c r="AC530" i="9" s="1"/>
  <c r="L531" i="9"/>
  <c r="N531" i="9" s="1"/>
  <c r="AC531" i="9" s="1"/>
  <c r="I226" i="3"/>
  <c r="K226" i="3" s="1"/>
  <c r="I227" i="3"/>
  <c r="K227" i="3" s="1"/>
  <c r="I228" i="3"/>
  <c r="K228" i="3" s="1"/>
  <c r="I229" i="3"/>
  <c r="K229" i="3" s="1"/>
  <c r="T437" i="9"/>
  <c r="W437" i="9" s="1"/>
  <c r="T438" i="9"/>
  <c r="W438" i="9" s="1"/>
  <c r="T439" i="9"/>
  <c r="W439" i="9" s="1"/>
  <c r="T441" i="9"/>
  <c r="W441" i="9" s="1"/>
  <c r="T440" i="9"/>
  <c r="W440" i="9" s="1"/>
  <c r="T442" i="9"/>
  <c r="W442" i="9" s="1"/>
  <c r="T443" i="9"/>
  <c r="W443" i="9" s="1"/>
  <c r="T444" i="9"/>
  <c r="W444" i="9" s="1"/>
  <c r="T445" i="9"/>
  <c r="W445" i="9" s="1"/>
  <c r="T446" i="9"/>
  <c r="W446" i="9" s="1"/>
  <c r="T447" i="9"/>
  <c r="W447" i="9" s="1"/>
  <c r="T448" i="9"/>
  <c r="W448" i="9" s="1"/>
  <c r="T449" i="9"/>
  <c r="W449" i="9" s="1"/>
  <c r="T450" i="9"/>
  <c r="W450" i="9" s="1"/>
  <c r="T451" i="9"/>
  <c r="W451" i="9" s="1"/>
  <c r="T452" i="9"/>
  <c r="W452" i="9" s="1"/>
  <c r="T453" i="9"/>
  <c r="W453" i="9" s="1"/>
  <c r="T454" i="9"/>
  <c r="W454" i="9" s="1"/>
  <c r="T455" i="9"/>
  <c r="W455" i="9" s="1"/>
  <c r="T456" i="9"/>
  <c r="W456" i="9" s="1"/>
  <c r="T457" i="9"/>
  <c r="W457" i="9" s="1"/>
  <c r="T459" i="9"/>
  <c r="W459" i="9" s="1"/>
  <c r="T460" i="9"/>
  <c r="W460" i="9" s="1"/>
  <c r="T461" i="9"/>
  <c r="W461" i="9" s="1"/>
  <c r="T463" i="9"/>
  <c r="W463" i="9" s="1"/>
  <c r="T464" i="9"/>
  <c r="W464" i="9" s="1"/>
  <c r="T465" i="9"/>
  <c r="W465" i="9" s="1"/>
  <c r="T466" i="9"/>
  <c r="W466" i="9" s="1"/>
  <c r="T467" i="9"/>
  <c r="W467" i="9" s="1"/>
  <c r="T468" i="9"/>
  <c r="W468" i="9" s="1"/>
  <c r="T469" i="9"/>
  <c r="W469" i="9" s="1"/>
  <c r="T470" i="9"/>
  <c r="W470" i="9" s="1"/>
  <c r="T471" i="9"/>
  <c r="W471" i="9" s="1"/>
  <c r="T472" i="9"/>
  <c r="W472" i="9" s="1"/>
  <c r="T473" i="9"/>
  <c r="W473" i="9" s="1"/>
  <c r="T474" i="9"/>
  <c r="W474" i="9" s="1"/>
  <c r="T475" i="9"/>
  <c r="W475" i="9" s="1"/>
  <c r="T476" i="9"/>
  <c r="W476" i="9" s="1"/>
  <c r="T477" i="9"/>
  <c r="W477" i="9" s="1"/>
  <c r="T478" i="9"/>
  <c r="W478" i="9" s="1"/>
  <c r="T479" i="9"/>
  <c r="W479" i="9" s="1"/>
  <c r="T462" i="9"/>
  <c r="W462" i="9" s="1"/>
  <c r="T480" i="9"/>
  <c r="W480" i="9" s="1"/>
  <c r="T481" i="9"/>
  <c r="W481" i="9" s="1"/>
  <c r="L437" i="9"/>
  <c r="N437" i="9" s="1"/>
  <c r="AC437" i="9" s="1"/>
  <c r="L438" i="9"/>
  <c r="N438" i="9" s="1"/>
  <c r="AC438" i="9" s="1"/>
  <c r="L439" i="9"/>
  <c r="N439" i="9" s="1"/>
  <c r="AC439" i="9" s="1"/>
  <c r="L441" i="9"/>
  <c r="N441" i="9" s="1"/>
  <c r="AC441" i="9" s="1"/>
  <c r="L440" i="9"/>
  <c r="N440" i="9" s="1"/>
  <c r="AC440" i="9" s="1"/>
  <c r="L442" i="9"/>
  <c r="N442" i="9" s="1"/>
  <c r="AC442" i="9" s="1"/>
  <c r="L443" i="9"/>
  <c r="N443" i="9" s="1"/>
  <c r="AC443" i="9" s="1"/>
  <c r="L444" i="9"/>
  <c r="N444" i="9" s="1"/>
  <c r="AC444" i="9" s="1"/>
  <c r="L445" i="9"/>
  <c r="N445" i="9" s="1"/>
  <c r="AC445" i="9" s="1"/>
  <c r="L446" i="9"/>
  <c r="N446" i="9" s="1"/>
  <c r="AC446" i="9" s="1"/>
  <c r="L447" i="9"/>
  <c r="N447" i="9" s="1"/>
  <c r="AC447" i="9" s="1"/>
  <c r="L448" i="9"/>
  <c r="N448" i="9" s="1"/>
  <c r="AC448" i="9" s="1"/>
  <c r="L449" i="9"/>
  <c r="N449" i="9" s="1"/>
  <c r="AC449" i="9" s="1"/>
  <c r="L450" i="9"/>
  <c r="N450" i="9" s="1"/>
  <c r="AC450" i="9" s="1"/>
  <c r="L451" i="9"/>
  <c r="N451" i="9" s="1"/>
  <c r="AC451" i="9" s="1"/>
  <c r="L452" i="9"/>
  <c r="N452" i="9" s="1"/>
  <c r="AC452" i="9" s="1"/>
  <c r="L453" i="9"/>
  <c r="N453" i="9" s="1"/>
  <c r="AC453" i="9" s="1"/>
  <c r="L454" i="9"/>
  <c r="N454" i="9" s="1"/>
  <c r="AC454" i="9" s="1"/>
  <c r="L455" i="9"/>
  <c r="N455" i="9" s="1"/>
  <c r="AC455" i="9" s="1"/>
  <c r="L456" i="9"/>
  <c r="N456" i="9" s="1"/>
  <c r="AC456" i="9" s="1"/>
  <c r="L457" i="9"/>
  <c r="N457" i="9" s="1"/>
  <c r="AC457" i="9" s="1"/>
  <c r="L459" i="9"/>
  <c r="N459" i="9" s="1"/>
  <c r="AC459" i="9" s="1"/>
  <c r="L460" i="9"/>
  <c r="N460" i="9" s="1"/>
  <c r="AC460" i="9" s="1"/>
  <c r="L461" i="9"/>
  <c r="N461" i="9" s="1"/>
  <c r="AC461" i="9" s="1"/>
  <c r="L463" i="9"/>
  <c r="N463" i="9" s="1"/>
  <c r="AC463" i="9" s="1"/>
  <c r="L464" i="9"/>
  <c r="N464" i="9" s="1"/>
  <c r="AC464" i="9" s="1"/>
  <c r="L465" i="9"/>
  <c r="N465" i="9" s="1"/>
  <c r="AC465" i="9" s="1"/>
  <c r="L466" i="9"/>
  <c r="N466" i="9" s="1"/>
  <c r="AC466" i="9" s="1"/>
  <c r="L467" i="9"/>
  <c r="N467" i="9" s="1"/>
  <c r="AC467" i="9" s="1"/>
  <c r="L468" i="9"/>
  <c r="N468" i="9" s="1"/>
  <c r="AC468" i="9" s="1"/>
  <c r="L469" i="9"/>
  <c r="N469" i="9" s="1"/>
  <c r="AC469" i="9" s="1"/>
  <c r="L470" i="9"/>
  <c r="N470" i="9" s="1"/>
  <c r="AC470" i="9" s="1"/>
  <c r="L471" i="9"/>
  <c r="N471" i="9" s="1"/>
  <c r="AC471" i="9" s="1"/>
  <c r="L472" i="9"/>
  <c r="N472" i="9" s="1"/>
  <c r="AC472" i="9" s="1"/>
  <c r="L473" i="9"/>
  <c r="N473" i="9" s="1"/>
  <c r="AC473" i="9" s="1"/>
  <c r="L474" i="9"/>
  <c r="N474" i="9" s="1"/>
  <c r="AC474" i="9" s="1"/>
  <c r="L475" i="9"/>
  <c r="N475" i="9" s="1"/>
  <c r="AC475" i="9" s="1"/>
  <c r="L476" i="9"/>
  <c r="N476" i="9" s="1"/>
  <c r="AC476" i="9" s="1"/>
  <c r="L477" i="9"/>
  <c r="N477" i="9" s="1"/>
  <c r="AC477" i="9" s="1"/>
  <c r="L478" i="9"/>
  <c r="N478" i="9" s="1"/>
  <c r="AC478" i="9" s="1"/>
  <c r="L479" i="9"/>
  <c r="N479" i="9" s="1"/>
  <c r="AC479" i="9" s="1"/>
  <c r="L462" i="9"/>
  <c r="N462" i="9" s="1"/>
  <c r="AC462" i="9" s="1"/>
  <c r="L480" i="9"/>
  <c r="N480" i="9" s="1"/>
  <c r="AC480" i="9" s="1"/>
  <c r="L481" i="9"/>
  <c r="N481" i="9" s="1"/>
  <c r="AC481" i="9" s="1"/>
  <c r="T213" i="9"/>
  <c r="I216" i="3"/>
  <c r="K216" i="3" s="1"/>
  <c r="I217" i="3"/>
  <c r="K217" i="3" s="1"/>
  <c r="I218" i="3"/>
  <c r="K218" i="3" s="1"/>
  <c r="I219" i="3"/>
  <c r="K219" i="3" s="1"/>
  <c r="I220" i="3"/>
  <c r="K220" i="3" s="1"/>
  <c r="I221" i="3"/>
  <c r="K221" i="3" s="1"/>
  <c r="I222" i="3"/>
  <c r="K222" i="3" s="1"/>
  <c r="I223" i="3"/>
  <c r="K223" i="3" s="1"/>
  <c r="I224" i="3"/>
  <c r="K224" i="3" s="1"/>
  <c r="I225" i="3"/>
  <c r="K225" i="3" s="1"/>
  <c r="T340" i="9"/>
  <c r="W340" i="9" s="1"/>
  <c r="T341" i="9"/>
  <c r="W341" i="9" s="1"/>
  <c r="T342" i="9"/>
  <c r="W342" i="9" s="1"/>
  <c r="T343" i="9"/>
  <c r="W343" i="9" s="1"/>
  <c r="T344" i="9"/>
  <c r="W344" i="9" s="1"/>
  <c r="T345" i="9"/>
  <c r="W345" i="9" s="1"/>
  <c r="T346" i="9"/>
  <c r="W346" i="9" s="1"/>
  <c r="T347" i="9"/>
  <c r="W347" i="9" s="1"/>
  <c r="T348" i="9"/>
  <c r="W348" i="9" s="1"/>
  <c r="T349" i="9"/>
  <c r="W349" i="9" s="1"/>
  <c r="T350" i="9"/>
  <c r="W350" i="9" s="1"/>
  <c r="T351" i="9"/>
  <c r="W351" i="9" s="1"/>
  <c r="T352" i="9"/>
  <c r="W352" i="9" s="1"/>
  <c r="T353" i="9"/>
  <c r="W353" i="9" s="1"/>
  <c r="T354" i="9"/>
  <c r="W354" i="9" s="1"/>
  <c r="T355" i="9"/>
  <c r="W355" i="9" s="1"/>
  <c r="T356" i="9"/>
  <c r="W356" i="9" s="1"/>
  <c r="T357" i="9"/>
  <c r="W357" i="9" s="1"/>
  <c r="T358" i="9"/>
  <c r="W358" i="9" s="1"/>
  <c r="T359" i="9"/>
  <c r="W359" i="9" s="1"/>
  <c r="T360" i="9"/>
  <c r="W360" i="9" s="1"/>
  <c r="T361" i="9"/>
  <c r="W361" i="9" s="1"/>
  <c r="T362" i="9"/>
  <c r="W362" i="9" s="1"/>
  <c r="T363" i="9"/>
  <c r="W363" i="9" s="1"/>
  <c r="T364" i="9"/>
  <c r="W364" i="9" s="1"/>
  <c r="T365" i="9"/>
  <c r="W365" i="9" s="1"/>
  <c r="T366" i="9"/>
  <c r="W366" i="9" s="1"/>
  <c r="T368" i="9"/>
  <c r="W368" i="9" s="1"/>
  <c r="T369" i="9"/>
  <c r="W369" i="9" s="1"/>
  <c r="T370" i="9"/>
  <c r="W370" i="9" s="1"/>
  <c r="T371" i="9"/>
  <c r="W371" i="9" s="1"/>
  <c r="T372" i="9"/>
  <c r="W372" i="9" s="1"/>
  <c r="T373" i="9"/>
  <c r="W373" i="9" s="1"/>
  <c r="T374" i="9"/>
  <c r="W374" i="9" s="1"/>
  <c r="T375" i="9"/>
  <c r="W375" i="9" s="1"/>
  <c r="T376" i="9"/>
  <c r="W376" i="9" s="1"/>
  <c r="T377" i="9"/>
  <c r="W377" i="9" s="1"/>
  <c r="T378" i="9"/>
  <c r="W378" i="9" s="1"/>
  <c r="T380" i="9"/>
  <c r="W380" i="9" s="1"/>
  <c r="T381" i="9"/>
  <c r="W381" i="9" s="1"/>
  <c r="T382" i="9"/>
  <c r="W382" i="9" s="1"/>
  <c r="T383" i="9"/>
  <c r="W383" i="9" s="1"/>
  <c r="T384" i="9"/>
  <c r="W384" i="9" s="1"/>
  <c r="T385" i="9"/>
  <c r="W385" i="9" s="1"/>
  <c r="T367" i="9"/>
  <c r="W367" i="9" s="1"/>
  <c r="T386" i="9"/>
  <c r="W386" i="9" s="1"/>
  <c r="T388" i="9"/>
  <c r="W388" i="9" s="1"/>
  <c r="T389" i="9"/>
  <c r="W389" i="9" s="1"/>
  <c r="T390" i="9"/>
  <c r="W390" i="9" s="1"/>
  <c r="T391" i="9"/>
  <c r="W391" i="9" s="1"/>
  <c r="T392" i="9"/>
  <c r="W392" i="9" s="1"/>
  <c r="T393" i="9"/>
  <c r="W393" i="9" s="1"/>
  <c r="T394" i="9"/>
  <c r="W394" i="9" s="1"/>
  <c r="T395" i="9"/>
  <c r="W395" i="9" s="1"/>
  <c r="T396" i="9"/>
  <c r="W396" i="9" s="1"/>
  <c r="T397" i="9"/>
  <c r="W397" i="9" s="1"/>
  <c r="T398" i="9"/>
  <c r="W398" i="9" s="1"/>
  <c r="T399" i="9"/>
  <c r="W399" i="9" s="1"/>
  <c r="T400" i="9"/>
  <c r="W400" i="9" s="1"/>
  <c r="T401" i="9"/>
  <c r="W401" i="9" s="1"/>
  <c r="T402" i="9"/>
  <c r="W402" i="9" s="1"/>
  <c r="T403" i="9"/>
  <c r="W403" i="9" s="1"/>
  <c r="T404" i="9"/>
  <c r="W404" i="9" s="1"/>
  <c r="T405" i="9"/>
  <c r="W405" i="9" s="1"/>
  <c r="T406" i="9"/>
  <c r="W406" i="9" s="1"/>
  <c r="T407" i="9"/>
  <c r="W407" i="9" s="1"/>
  <c r="T408" i="9"/>
  <c r="W408" i="9" s="1"/>
  <c r="T409" i="9"/>
  <c r="W409" i="9" s="1"/>
  <c r="T410" i="9"/>
  <c r="W410" i="9" s="1"/>
  <c r="T411" i="9"/>
  <c r="W411" i="9" s="1"/>
  <c r="T412" i="9"/>
  <c r="W412" i="9" s="1"/>
  <c r="T413" i="9"/>
  <c r="W413" i="9" s="1"/>
  <c r="T414" i="9"/>
  <c r="W414" i="9" s="1"/>
  <c r="T415" i="9"/>
  <c r="W415" i="9" s="1"/>
  <c r="T417" i="9"/>
  <c r="W417" i="9" s="1"/>
  <c r="T418" i="9"/>
  <c r="W418" i="9" s="1"/>
  <c r="T420" i="9"/>
  <c r="W420" i="9" s="1"/>
  <c r="T421" i="9"/>
  <c r="W421" i="9" s="1"/>
  <c r="T422" i="9"/>
  <c r="W422" i="9" s="1"/>
  <c r="T423" i="9"/>
  <c r="W423" i="9" s="1"/>
  <c r="T424" i="9"/>
  <c r="W424" i="9" s="1"/>
  <c r="T425" i="9"/>
  <c r="W425" i="9" s="1"/>
  <c r="T426" i="9"/>
  <c r="W426" i="9" s="1"/>
  <c r="T427" i="9"/>
  <c r="W427" i="9" s="1"/>
  <c r="T428" i="9"/>
  <c r="W428" i="9" s="1"/>
  <c r="T429" i="9"/>
  <c r="W429" i="9" s="1"/>
  <c r="T430" i="9"/>
  <c r="W430" i="9" s="1"/>
  <c r="T431" i="9"/>
  <c r="W431" i="9" s="1"/>
  <c r="T432" i="9"/>
  <c r="W432" i="9" s="1"/>
  <c r="T419" i="9"/>
  <c r="W419" i="9" s="1"/>
  <c r="T433" i="9"/>
  <c r="W433" i="9" s="1"/>
  <c r="T434" i="9"/>
  <c r="W434" i="9" s="1"/>
  <c r="T416" i="9"/>
  <c r="W416" i="9" s="1"/>
  <c r="T435" i="9"/>
  <c r="W435" i="9" s="1"/>
  <c r="T436" i="9"/>
  <c r="W436" i="9" s="1"/>
  <c r="L340" i="9"/>
  <c r="N340" i="9" s="1"/>
  <c r="AC340" i="9" s="1"/>
  <c r="L341" i="9"/>
  <c r="N341" i="9" s="1"/>
  <c r="AC341" i="9" s="1"/>
  <c r="L342" i="9"/>
  <c r="N342" i="9" s="1"/>
  <c r="AC342" i="9" s="1"/>
  <c r="L343" i="9"/>
  <c r="N343" i="9" s="1"/>
  <c r="AC343" i="9" s="1"/>
  <c r="L344" i="9"/>
  <c r="N344" i="9" s="1"/>
  <c r="AC344" i="9" s="1"/>
  <c r="L345" i="9"/>
  <c r="N345" i="9" s="1"/>
  <c r="AC345" i="9" s="1"/>
  <c r="L346" i="9"/>
  <c r="N346" i="9" s="1"/>
  <c r="AC346" i="9" s="1"/>
  <c r="L347" i="9"/>
  <c r="N347" i="9" s="1"/>
  <c r="AC347" i="9" s="1"/>
  <c r="L348" i="9"/>
  <c r="N348" i="9" s="1"/>
  <c r="AC348" i="9" s="1"/>
  <c r="L349" i="9"/>
  <c r="N349" i="9" s="1"/>
  <c r="AC349" i="9" s="1"/>
  <c r="L350" i="9"/>
  <c r="N350" i="9" s="1"/>
  <c r="AC350" i="9" s="1"/>
  <c r="L351" i="9"/>
  <c r="N351" i="9" s="1"/>
  <c r="AC351" i="9" s="1"/>
  <c r="L352" i="9"/>
  <c r="N352" i="9" s="1"/>
  <c r="AC352" i="9" s="1"/>
  <c r="L353" i="9"/>
  <c r="N353" i="9" s="1"/>
  <c r="AC353" i="9" s="1"/>
  <c r="L354" i="9"/>
  <c r="N354" i="9" s="1"/>
  <c r="AC354" i="9" s="1"/>
  <c r="L355" i="9"/>
  <c r="N355" i="9" s="1"/>
  <c r="AC355" i="9" s="1"/>
  <c r="L356" i="9"/>
  <c r="N356" i="9" s="1"/>
  <c r="AC356" i="9" s="1"/>
  <c r="L357" i="9"/>
  <c r="N357" i="9" s="1"/>
  <c r="AC357" i="9" s="1"/>
  <c r="L358" i="9"/>
  <c r="N358" i="9" s="1"/>
  <c r="AC358" i="9" s="1"/>
  <c r="L359" i="9"/>
  <c r="N359" i="9" s="1"/>
  <c r="AC359" i="9" s="1"/>
  <c r="L360" i="9"/>
  <c r="N360" i="9" s="1"/>
  <c r="AC360" i="9" s="1"/>
  <c r="L361" i="9"/>
  <c r="N361" i="9" s="1"/>
  <c r="AC361" i="9" s="1"/>
  <c r="L362" i="9"/>
  <c r="N362" i="9" s="1"/>
  <c r="AC362" i="9" s="1"/>
  <c r="L363" i="9"/>
  <c r="N363" i="9" s="1"/>
  <c r="AC363" i="9" s="1"/>
  <c r="L364" i="9"/>
  <c r="N364" i="9" s="1"/>
  <c r="AC364" i="9" s="1"/>
  <c r="L365" i="9"/>
  <c r="N365" i="9" s="1"/>
  <c r="AC365" i="9" s="1"/>
  <c r="L366" i="9"/>
  <c r="N366" i="9" s="1"/>
  <c r="AC366" i="9" s="1"/>
  <c r="L368" i="9"/>
  <c r="N368" i="9" s="1"/>
  <c r="AC368" i="9" s="1"/>
  <c r="L369" i="9"/>
  <c r="N369" i="9" s="1"/>
  <c r="AC369" i="9" s="1"/>
  <c r="L370" i="9"/>
  <c r="N370" i="9" s="1"/>
  <c r="AC370" i="9" s="1"/>
  <c r="L371" i="9"/>
  <c r="N371" i="9" s="1"/>
  <c r="AC371" i="9" s="1"/>
  <c r="L372" i="9"/>
  <c r="N372" i="9" s="1"/>
  <c r="AC372" i="9" s="1"/>
  <c r="L373" i="9"/>
  <c r="N373" i="9" s="1"/>
  <c r="AC373" i="9" s="1"/>
  <c r="L374" i="9"/>
  <c r="N374" i="9" s="1"/>
  <c r="AC374" i="9" s="1"/>
  <c r="L375" i="9"/>
  <c r="N375" i="9" s="1"/>
  <c r="AC375" i="9" s="1"/>
  <c r="L376" i="9"/>
  <c r="N376" i="9" s="1"/>
  <c r="AC376" i="9" s="1"/>
  <c r="L377" i="9"/>
  <c r="N377" i="9" s="1"/>
  <c r="AC377" i="9" s="1"/>
  <c r="L378" i="9"/>
  <c r="N378" i="9" s="1"/>
  <c r="AC378" i="9" s="1"/>
  <c r="L380" i="9"/>
  <c r="N380" i="9" s="1"/>
  <c r="AC380" i="9" s="1"/>
  <c r="L381" i="9"/>
  <c r="N381" i="9" s="1"/>
  <c r="AC381" i="9" s="1"/>
  <c r="L382" i="9"/>
  <c r="N382" i="9" s="1"/>
  <c r="AC382" i="9" s="1"/>
  <c r="L383" i="9"/>
  <c r="N383" i="9" s="1"/>
  <c r="AC383" i="9" s="1"/>
  <c r="L384" i="9"/>
  <c r="N384" i="9" s="1"/>
  <c r="AC384" i="9" s="1"/>
  <c r="L385" i="9"/>
  <c r="N385" i="9" s="1"/>
  <c r="AC385" i="9" s="1"/>
  <c r="L367" i="9"/>
  <c r="N367" i="9" s="1"/>
  <c r="AC367" i="9" s="1"/>
  <c r="L386" i="9"/>
  <c r="N386" i="9" s="1"/>
  <c r="AC386" i="9" s="1"/>
  <c r="L388" i="9"/>
  <c r="N388" i="9" s="1"/>
  <c r="AC388" i="9" s="1"/>
  <c r="L389" i="9"/>
  <c r="N389" i="9" s="1"/>
  <c r="AC389" i="9" s="1"/>
  <c r="L390" i="9"/>
  <c r="N390" i="9" s="1"/>
  <c r="AC390" i="9" s="1"/>
  <c r="L391" i="9"/>
  <c r="N391" i="9" s="1"/>
  <c r="AC391" i="9" s="1"/>
  <c r="L392" i="9"/>
  <c r="N392" i="9" s="1"/>
  <c r="AC392" i="9" s="1"/>
  <c r="L393" i="9"/>
  <c r="N393" i="9" s="1"/>
  <c r="AC393" i="9" s="1"/>
  <c r="L394" i="9"/>
  <c r="N394" i="9" s="1"/>
  <c r="AC394" i="9" s="1"/>
  <c r="L395" i="9"/>
  <c r="N395" i="9" s="1"/>
  <c r="AC395" i="9" s="1"/>
  <c r="L396" i="9"/>
  <c r="N396" i="9" s="1"/>
  <c r="AC396" i="9" s="1"/>
  <c r="L397" i="9"/>
  <c r="N397" i="9" s="1"/>
  <c r="AC397" i="9" s="1"/>
  <c r="L398" i="9"/>
  <c r="N398" i="9" s="1"/>
  <c r="AC398" i="9" s="1"/>
  <c r="L399" i="9"/>
  <c r="N399" i="9" s="1"/>
  <c r="AC399" i="9" s="1"/>
  <c r="L400" i="9"/>
  <c r="N400" i="9" s="1"/>
  <c r="AC400" i="9" s="1"/>
  <c r="L401" i="9"/>
  <c r="N401" i="9" s="1"/>
  <c r="AC401" i="9" s="1"/>
  <c r="L402" i="9"/>
  <c r="N402" i="9" s="1"/>
  <c r="AC402" i="9" s="1"/>
  <c r="L403" i="9"/>
  <c r="N403" i="9" s="1"/>
  <c r="AC403" i="9" s="1"/>
  <c r="L404" i="9"/>
  <c r="N404" i="9" s="1"/>
  <c r="AC404" i="9" s="1"/>
  <c r="L405" i="9"/>
  <c r="N405" i="9" s="1"/>
  <c r="AC405" i="9" s="1"/>
  <c r="L406" i="9"/>
  <c r="N406" i="9" s="1"/>
  <c r="AC406" i="9" s="1"/>
  <c r="L407" i="9"/>
  <c r="N407" i="9" s="1"/>
  <c r="AC407" i="9" s="1"/>
  <c r="L408" i="9"/>
  <c r="N408" i="9" s="1"/>
  <c r="AC408" i="9" s="1"/>
  <c r="L409" i="9"/>
  <c r="N409" i="9" s="1"/>
  <c r="AC409" i="9" s="1"/>
  <c r="L410" i="9"/>
  <c r="N410" i="9" s="1"/>
  <c r="AC410" i="9" s="1"/>
  <c r="L411" i="9"/>
  <c r="N411" i="9" s="1"/>
  <c r="AC411" i="9" s="1"/>
  <c r="L412" i="9"/>
  <c r="N412" i="9" s="1"/>
  <c r="AC412" i="9" s="1"/>
  <c r="L413" i="9"/>
  <c r="N413" i="9" s="1"/>
  <c r="AC413" i="9" s="1"/>
  <c r="L414" i="9"/>
  <c r="N414" i="9" s="1"/>
  <c r="AC414" i="9" s="1"/>
  <c r="L415" i="9"/>
  <c r="N415" i="9" s="1"/>
  <c r="AC415" i="9" s="1"/>
  <c r="L417" i="9"/>
  <c r="N417" i="9" s="1"/>
  <c r="AC417" i="9" s="1"/>
  <c r="L418" i="9"/>
  <c r="N418" i="9" s="1"/>
  <c r="AC418" i="9" s="1"/>
  <c r="L420" i="9"/>
  <c r="N420" i="9" s="1"/>
  <c r="AC420" i="9" s="1"/>
  <c r="L421" i="9"/>
  <c r="N421" i="9" s="1"/>
  <c r="AC421" i="9" s="1"/>
  <c r="L422" i="9"/>
  <c r="N422" i="9" s="1"/>
  <c r="AC422" i="9" s="1"/>
  <c r="L423" i="9"/>
  <c r="N423" i="9" s="1"/>
  <c r="AC423" i="9" s="1"/>
  <c r="L424" i="9"/>
  <c r="N424" i="9" s="1"/>
  <c r="AC424" i="9" s="1"/>
  <c r="L425" i="9"/>
  <c r="N425" i="9" s="1"/>
  <c r="AC425" i="9" s="1"/>
  <c r="L426" i="9"/>
  <c r="N426" i="9" s="1"/>
  <c r="AC426" i="9" s="1"/>
  <c r="L427" i="9"/>
  <c r="N427" i="9" s="1"/>
  <c r="AC427" i="9" s="1"/>
  <c r="L428" i="9"/>
  <c r="N428" i="9" s="1"/>
  <c r="AC428" i="9" s="1"/>
  <c r="L429" i="9"/>
  <c r="N429" i="9" s="1"/>
  <c r="AC429" i="9" s="1"/>
  <c r="L430" i="9"/>
  <c r="N430" i="9" s="1"/>
  <c r="AC430" i="9" s="1"/>
  <c r="L431" i="9"/>
  <c r="N431" i="9" s="1"/>
  <c r="AC431" i="9" s="1"/>
  <c r="L432" i="9"/>
  <c r="N432" i="9" s="1"/>
  <c r="AC432" i="9" s="1"/>
  <c r="L419" i="9"/>
  <c r="N419" i="9" s="1"/>
  <c r="AC419" i="9" s="1"/>
  <c r="L433" i="9"/>
  <c r="N433" i="9" s="1"/>
  <c r="AC433" i="9" s="1"/>
  <c r="L434" i="9"/>
  <c r="N434" i="9" s="1"/>
  <c r="AC434" i="9" s="1"/>
  <c r="L416" i="9"/>
  <c r="N416" i="9" s="1"/>
  <c r="AC416" i="9" s="1"/>
  <c r="L435" i="9"/>
  <c r="N435" i="9" s="1"/>
  <c r="AC435" i="9" s="1"/>
  <c r="L436" i="9"/>
  <c r="N436" i="9" s="1"/>
  <c r="AC436" i="9" s="1"/>
  <c r="I215" i="3"/>
  <c r="K215" i="3" s="1"/>
  <c r="I211" i="3"/>
  <c r="K211" i="3" s="1"/>
  <c r="I212" i="3"/>
  <c r="K212" i="3" s="1"/>
  <c r="I213" i="3"/>
  <c r="K213" i="3" s="1"/>
  <c r="I214" i="3"/>
  <c r="K214" i="3" s="1"/>
  <c r="T293" i="9"/>
  <c r="W293" i="9" s="1"/>
  <c r="T294" i="9"/>
  <c r="W294" i="9" s="1"/>
  <c r="T295" i="9"/>
  <c r="W295" i="9" s="1"/>
  <c r="T296" i="9"/>
  <c r="W296" i="9" s="1"/>
  <c r="T297" i="9"/>
  <c r="W297" i="9" s="1"/>
  <c r="T298" i="9"/>
  <c r="W298" i="9" s="1"/>
  <c r="T299" i="9"/>
  <c r="W299" i="9" s="1"/>
  <c r="T300" i="9"/>
  <c r="W300" i="9" s="1"/>
  <c r="T301" i="9"/>
  <c r="W301" i="9" s="1"/>
  <c r="T302" i="9"/>
  <c r="W302" i="9" s="1"/>
  <c r="T303" i="9"/>
  <c r="W303" i="9" s="1"/>
  <c r="T304" i="9"/>
  <c r="W304" i="9" s="1"/>
  <c r="T305" i="9"/>
  <c r="W305" i="9" s="1"/>
  <c r="T306" i="9"/>
  <c r="W306" i="9" s="1"/>
  <c r="T307" i="9"/>
  <c r="W307" i="9" s="1"/>
  <c r="T310" i="9"/>
  <c r="W310" i="9" s="1"/>
  <c r="T311" i="9"/>
  <c r="W311" i="9" s="1"/>
  <c r="T312" i="9"/>
  <c r="W312" i="9" s="1"/>
  <c r="T313" i="9"/>
  <c r="W313" i="9" s="1"/>
  <c r="T314" i="9"/>
  <c r="W314" i="9" s="1"/>
  <c r="T315" i="9"/>
  <c r="W315" i="9" s="1"/>
  <c r="T316" i="9"/>
  <c r="W316" i="9" s="1"/>
  <c r="T317" i="9"/>
  <c r="W317" i="9" s="1"/>
  <c r="T318" i="9"/>
  <c r="W318" i="9" s="1"/>
  <c r="T320" i="9"/>
  <c r="W320" i="9" s="1"/>
  <c r="T321" i="9"/>
  <c r="W321" i="9" s="1"/>
  <c r="T323" i="9"/>
  <c r="W323" i="9" s="1"/>
  <c r="T324" i="9"/>
  <c r="W324" i="9" s="1"/>
  <c r="T325" i="9"/>
  <c r="W325" i="9" s="1"/>
  <c r="T326" i="9"/>
  <c r="W326" i="9" s="1"/>
  <c r="T327" i="9"/>
  <c r="W327" i="9" s="1"/>
  <c r="T328" i="9"/>
  <c r="W328" i="9" s="1"/>
  <c r="T329" i="9"/>
  <c r="W329" i="9" s="1"/>
  <c r="T330" i="9"/>
  <c r="W330" i="9" s="1"/>
  <c r="T331" i="9"/>
  <c r="W331" i="9" s="1"/>
  <c r="T332" i="9"/>
  <c r="W332" i="9" s="1"/>
  <c r="T333" i="9"/>
  <c r="W333" i="9" s="1"/>
  <c r="T334" i="9"/>
  <c r="W334" i="9" s="1"/>
  <c r="T335" i="9"/>
  <c r="W335" i="9" s="1"/>
  <c r="T322" i="9"/>
  <c r="W322" i="9" s="1"/>
  <c r="T336" i="9"/>
  <c r="W336" i="9" s="1"/>
  <c r="T337" i="9"/>
  <c r="W337" i="9" s="1"/>
  <c r="T338" i="9"/>
  <c r="W338" i="9" s="1"/>
  <c r="T339" i="9"/>
  <c r="W339" i="9" s="1"/>
  <c r="T319" i="9"/>
  <c r="W319" i="9" s="1"/>
  <c r="L293" i="9"/>
  <c r="N293" i="9" s="1"/>
  <c r="AC293" i="9" s="1"/>
  <c r="L294" i="9"/>
  <c r="N294" i="9" s="1"/>
  <c r="AC294" i="9" s="1"/>
  <c r="L295" i="9"/>
  <c r="N295" i="9" s="1"/>
  <c r="AC295" i="9" s="1"/>
  <c r="L296" i="9"/>
  <c r="N296" i="9" s="1"/>
  <c r="AC296" i="9" s="1"/>
  <c r="L297" i="9"/>
  <c r="N297" i="9" s="1"/>
  <c r="AC297" i="9" s="1"/>
  <c r="L298" i="9"/>
  <c r="N298" i="9" s="1"/>
  <c r="AC298" i="9" s="1"/>
  <c r="L299" i="9"/>
  <c r="N299" i="9" s="1"/>
  <c r="AC299" i="9" s="1"/>
  <c r="L300" i="9"/>
  <c r="N300" i="9" s="1"/>
  <c r="AC300" i="9" s="1"/>
  <c r="L301" i="9"/>
  <c r="N301" i="9" s="1"/>
  <c r="AC301" i="9" s="1"/>
  <c r="L302" i="9"/>
  <c r="N302" i="9" s="1"/>
  <c r="AC302" i="9" s="1"/>
  <c r="L303" i="9"/>
  <c r="N303" i="9" s="1"/>
  <c r="AC303" i="9" s="1"/>
  <c r="L304" i="9"/>
  <c r="N304" i="9" s="1"/>
  <c r="AC304" i="9" s="1"/>
  <c r="L305" i="9"/>
  <c r="N305" i="9" s="1"/>
  <c r="AC305" i="9" s="1"/>
  <c r="L306" i="9"/>
  <c r="N306" i="9" s="1"/>
  <c r="AC306" i="9" s="1"/>
  <c r="L307" i="9"/>
  <c r="N307" i="9" s="1"/>
  <c r="AC307" i="9" s="1"/>
  <c r="L310" i="9"/>
  <c r="N310" i="9" s="1"/>
  <c r="AC310" i="9" s="1"/>
  <c r="L311" i="9"/>
  <c r="N311" i="9" s="1"/>
  <c r="AC311" i="9" s="1"/>
  <c r="L312" i="9"/>
  <c r="N312" i="9" s="1"/>
  <c r="AC312" i="9" s="1"/>
  <c r="L313" i="9"/>
  <c r="N313" i="9" s="1"/>
  <c r="AC313" i="9" s="1"/>
  <c r="L314" i="9"/>
  <c r="N314" i="9" s="1"/>
  <c r="AC314" i="9" s="1"/>
  <c r="L315" i="9"/>
  <c r="N315" i="9" s="1"/>
  <c r="AC315" i="9" s="1"/>
  <c r="L316" i="9"/>
  <c r="N316" i="9" s="1"/>
  <c r="AC316" i="9" s="1"/>
  <c r="L317" i="9"/>
  <c r="N317" i="9" s="1"/>
  <c r="AC317" i="9" s="1"/>
  <c r="L318" i="9"/>
  <c r="N318" i="9" s="1"/>
  <c r="AC318" i="9" s="1"/>
  <c r="L320" i="9"/>
  <c r="N320" i="9" s="1"/>
  <c r="AC320" i="9" s="1"/>
  <c r="L321" i="9"/>
  <c r="N321" i="9" s="1"/>
  <c r="AC321" i="9" s="1"/>
  <c r="L323" i="9"/>
  <c r="N323" i="9" s="1"/>
  <c r="AC323" i="9" s="1"/>
  <c r="L324" i="9"/>
  <c r="N324" i="9" s="1"/>
  <c r="AC324" i="9" s="1"/>
  <c r="L325" i="9"/>
  <c r="N325" i="9" s="1"/>
  <c r="AC325" i="9" s="1"/>
  <c r="L326" i="9"/>
  <c r="N326" i="9" s="1"/>
  <c r="AC326" i="9" s="1"/>
  <c r="L327" i="9"/>
  <c r="N327" i="9" s="1"/>
  <c r="AC327" i="9" s="1"/>
  <c r="L328" i="9"/>
  <c r="N328" i="9" s="1"/>
  <c r="AC328" i="9" s="1"/>
  <c r="L329" i="9"/>
  <c r="N329" i="9" s="1"/>
  <c r="AC329" i="9" s="1"/>
  <c r="L330" i="9"/>
  <c r="N330" i="9" s="1"/>
  <c r="AC330" i="9" s="1"/>
  <c r="L331" i="9"/>
  <c r="N331" i="9" s="1"/>
  <c r="AC331" i="9" s="1"/>
  <c r="L332" i="9"/>
  <c r="N332" i="9" s="1"/>
  <c r="AC332" i="9" s="1"/>
  <c r="L333" i="9"/>
  <c r="N333" i="9" s="1"/>
  <c r="AC333" i="9" s="1"/>
  <c r="L334" i="9"/>
  <c r="N334" i="9" s="1"/>
  <c r="AC334" i="9" s="1"/>
  <c r="L335" i="9"/>
  <c r="N335" i="9" s="1"/>
  <c r="AC335" i="9" s="1"/>
  <c r="L322" i="9"/>
  <c r="N322" i="9" s="1"/>
  <c r="AC322" i="9" s="1"/>
  <c r="L336" i="9"/>
  <c r="N336" i="9" s="1"/>
  <c r="AC336" i="9" s="1"/>
  <c r="L337" i="9"/>
  <c r="N337" i="9" s="1"/>
  <c r="AC337" i="9" s="1"/>
  <c r="L338" i="9"/>
  <c r="N338" i="9" s="1"/>
  <c r="AC338" i="9" s="1"/>
  <c r="L339" i="9"/>
  <c r="N339" i="9" s="1"/>
  <c r="AC339" i="9" s="1"/>
  <c r="L319" i="9"/>
  <c r="N319" i="9" s="1"/>
  <c r="AC319" i="9" s="1"/>
  <c r="I205" i="3"/>
  <c r="K205" i="3" s="1"/>
  <c r="I206" i="3"/>
  <c r="K206" i="3" s="1"/>
  <c r="I207" i="3"/>
  <c r="K207" i="3" s="1"/>
  <c r="I208" i="3"/>
  <c r="K208" i="3" s="1"/>
  <c r="I209" i="3"/>
  <c r="K209" i="3" s="1"/>
  <c r="I210" i="3"/>
  <c r="K210" i="3" s="1"/>
  <c r="T249" i="9" l="1"/>
  <c r="W249" i="9" s="1"/>
  <c r="T250" i="9"/>
  <c r="W250" i="9" s="1"/>
  <c r="W251" i="9"/>
  <c r="T252" i="9"/>
  <c r="W252" i="9" s="1"/>
  <c r="T253" i="9"/>
  <c r="W253" i="9" s="1"/>
  <c r="T254" i="9"/>
  <c r="W254" i="9" s="1"/>
  <c r="T255" i="9"/>
  <c r="W255" i="9" s="1"/>
  <c r="T256" i="9"/>
  <c r="W256" i="9" s="1"/>
  <c r="T257" i="9"/>
  <c r="W257" i="9" s="1"/>
  <c r="T258" i="9"/>
  <c r="W258" i="9" s="1"/>
  <c r="T259" i="9"/>
  <c r="W259" i="9" s="1"/>
  <c r="T260" i="9"/>
  <c r="W260" i="9" s="1"/>
  <c r="T261" i="9"/>
  <c r="W261" i="9" s="1"/>
  <c r="T262" i="9"/>
  <c r="W262" i="9" s="1"/>
  <c r="T263" i="9"/>
  <c r="W263" i="9" s="1"/>
  <c r="T264" i="9"/>
  <c r="W264" i="9" s="1"/>
  <c r="T265" i="9"/>
  <c r="W265" i="9" s="1"/>
  <c r="T266" i="9"/>
  <c r="W266" i="9" s="1"/>
  <c r="T267" i="9"/>
  <c r="W267" i="9" s="1"/>
  <c r="T268" i="9"/>
  <c r="W268" i="9" s="1"/>
  <c r="T269" i="9"/>
  <c r="W269" i="9" s="1"/>
  <c r="T270" i="9"/>
  <c r="W270" i="9" s="1"/>
  <c r="T271" i="9"/>
  <c r="W271" i="9" s="1"/>
  <c r="T272" i="9"/>
  <c r="W272" i="9" s="1"/>
  <c r="T274" i="9"/>
  <c r="W274" i="9" s="1"/>
  <c r="T275" i="9"/>
  <c r="W275" i="9" s="1"/>
  <c r="T276" i="9"/>
  <c r="W276" i="9" s="1"/>
  <c r="T277" i="9"/>
  <c r="W277" i="9" s="1"/>
  <c r="T278" i="9"/>
  <c r="W278" i="9" s="1"/>
  <c r="T280" i="9"/>
  <c r="W280" i="9" s="1"/>
  <c r="T281" i="9"/>
  <c r="W281" i="9" s="1"/>
  <c r="T282" i="9"/>
  <c r="W282" i="9" s="1"/>
  <c r="T283" i="9"/>
  <c r="W283" i="9" s="1"/>
  <c r="T284" i="9"/>
  <c r="W284" i="9" s="1"/>
  <c r="T285" i="9"/>
  <c r="W285" i="9" s="1"/>
  <c r="T286" i="9"/>
  <c r="W286" i="9" s="1"/>
  <c r="T287" i="9"/>
  <c r="W287" i="9" s="1"/>
  <c r="T288" i="9"/>
  <c r="W288" i="9" s="1"/>
  <c r="T289" i="9"/>
  <c r="W289" i="9" s="1"/>
  <c r="T290" i="9"/>
  <c r="W290" i="9" s="1"/>
  <c r="T291" i="9"/>
  <c r="W291" i="9" s="1"/>
  <c r="T292" i="9"/>
  <c r="W292" i="9" s="1"/>
  <c r="T273" i="9"/>
  <c r="W273" i="9" s="1"/>
  <c r="L249" i="9"/>
  <c r="N249" i="9" s="1"/>
  <c r="AC249" i="9" s="1"/>
  <c r="L250" i="9"/>
  <c r="N250" i="9" s="1"/>
  <c r="AC250" i="9" s="1"/>
  <c r="L251" i="9"/>
  <c r="N251" i="9" s="1"/>
  <c r="AC251" i="9" s="1"/>
  <c r="L252" i="9"/>
  <c r="N252" i="9" s="1"/>
  <c r="AC252" i="9" s="1"/>
  <c r="L253" i="9"/>
  <c r="N253" i="9" s="1"/>
  <c r="AC253" i="9" s="1"/>
  <c r="L254" i="9"/>
  <c r="N254" i="9" s="1"/>
  <c r="AC254" i="9" s="1"/>
  <c r="L255" i="9"/>
  <c r="N255" i="9" s="1"/>
  <c r="AC255" i="9" s="1"/>
  <c r="L256" i="9"/>
  <c r="N256" i="9" s="1"/>
  <c r="AC256" i="9" s="1"/>
  <c r="L257" i="9"/>
  <c r="N257" i="9" s="1"/>
  <c r="AC257" i="9" s="1"/>
  <c r="L258" i="9"/>
  <c r="N258" i="9" s="1"/>
  <c r="AC258" i="9" s="1"/>
  <c r="L259" i="9"/>
  <c r="N259" i="9" s="1"/>
  <c r="AC259" i="9" s="1"/>
  <c r="L260" i="9"/>
  <c r="N260" i="9" s="1"/>
  <c r="AC260" i="9" s="1"/>
  <c r="L261" i="9"/>
  <c r="N261" i="9" s="1"/>
  <c r="AC261" i="9" s="1"/>
  <c r="L262" i="9"/>
  <c r="N262" i="9" s="1"/>
  <c r="AC262" i="9" s="1"/>
  <c r="L263" i="9"/>
  <c r="N263" i="9" s="1"/>
  <c r="AC263" i="9" s="1"/>
  <c r="L264" i="9"/>
  <c r="N264" i="9" s="1"/>
  <c r="AC264" i="9" s="1"/>
  <c r="L265" i="9"/>
  <c r="N265" i="9" s="1"/>
  <c r="AC265" i="9" s="1"/>
  <c r="L266" i="9"/>
  <c r="N266" i="9" s="1"/>
  <c r="AC266" i="9" s="1"/>
  <c r="L267" i="9"/>
  <c r="N267" i="9" s="1"/>
  <c r="AC267" i="9" s="1"/>
  <c r="L268" i="9"/>
  <c r="N268" i="9" s="1"/>
  <c r="AC268" i="9" s="1"/>
  <c r="L269" i="9"/>
  <c r="N269" i="9" s="1"/>
  <c r="AC269" i="9" s="1"/>
  <c r="L270" i="9"/>
  <c r="N270" i="9" s="1"/>
  <c r="AC270" i="9" s="1"/>
  <c r="L271" i="9"/>
  <c r="N271" i="9" s="1"/>
  <c r="AC271" i="9" s="1"/>
  <c r="L272" i="9"/>
  <c r="N272" i="9" s="1"/>
  <c r="AC272" i="9" s="1"/>
  <c r="L274" i="9"/>
  <c r="N274" i="9" s="1"/>
  <c r="AC274" i="9" s="1"/>
  <c r="L275" i="9"/>
  <c r="N275" i="9" s="1"/>
  <c r="AC275" i="9" s="1"/>
  <c r="L276" i="9"/>
  <c r="N276" i="9" s="1"/>
  <c r="AC276" i="9" s="1"/>
  <c r="L277" i="9"/>
  <c r="N277" i="9" s="1"/>
  <c r="AC277" i="9" s="1"/>
  <c r="L278" i="9"/>
  <c r="N278" i="9" s="1"/>
  <c r="AC278" i="9" s="1"/>
  <c r="L280" i="9"/>
  <c r="N280" i="9" s="1"/>
  <c r="AC280" i="9" s="1"/>
  <c r="L281" i="9"/>
  <c r="N281" i="9" s="1"/>
  <c r="AC281" i="9" s="1"/>
  <c r="L282" i="9"/>
  <c r="N282" i="9" s="1"/>
  <c r="AC282" i="9" s="1"/>
  <c r="L283" i="9"/>
  <c r="N283" i="9" s="1"/>
  <c r="AC283" i="9" s="1"/>
  <c r="L284" i="9"/>
  <c r="N284" i="9" s="1"/>
  <c r="AC284" i="9" s="1"/>
  <c r="L285" i="9"/>
  <c r="N285" i="9" s="1"/>
  <c r="AC285" i="9" s="1"/>
  <c r="L286" i="9"/>
  <c r="N286" i="9" s="1"/>
  <c r="AC286" i="9" s="1"/>
  <c r="L287" i="9"/>
  <c r="N287" i="9" s="1"/>
  <c r="AC287" i="9" s="1"/>
  <c r="L288" i="9"/>
  <c r="N288" i="9" s="1"/>
  <c r="AC288" i="9" s="1"/>
  <c r="L289" i="9"/>
  <c r="N289" i="9" s="1"/>
  <c r="AC289" i="9" s="1"/>
  <c r="L290" i="9"/>
  <c r="N290" i="9" s="1"/>
  <c r="AC290" i="9" s="1"/>
  <c r="L291" i="9"/>
  <c r="N291" i="9" s="1"/>
  <c r="AC291" i="9" s="1"/>
  <c r="L292" i="9"/>
  <c r="N292" i="9" s="1"/>
  <c r="AC292" i="9" s="1"/>
  <c r="L273" i="9"/>
  <c r="N273" i="9" s="1"/>
  <c r="AC273" i="9" s="1"/>
  <c r="T218" i="9"/>
  <c r="W218" i="9" s="1"/>
  <c r="L218" i="9"/>
  <c r="N218" i="9" s="1"/>
  <c r="AC218" i="9" s="1"/>
  <c r="L213" i="9"/>
  <c r="N213" i="9" s="1"/>
  <c r="AC213" i="9" s="1"/>
  <c r="I204" i="3"/>
  <c r="K204" i="3" s="1"/>
  <c r="I197" i="3"/>
  <c r="K197" i="3" s="1"/>
  <c r="I198" i="3"/>
  <c r="K198" i="3" s="1"/>
  <c r="I199" i="3"/>
  <c r="K199" i="3" s="1"/>
  <c r="I200" i="3"/>
  <c r="K200" i="3" s="1"/>
  <c r="I201" i="3"/>
  <c r="K201" i="3" s="1"/>
  <c r="I202" i="3"/>
  <c r="K202" i="3" s="1"/>
  <c r="I203" i="3"/>
  <c r="K203" i="3" s="1"/>
  <c r="T197" i="9"/>
  <c r="W197" i="9" s="1"/>
  <c r="T198" i="9"/>
  <c r="W198" i="9" s="1"/>
  <c r="T199" i="9"/>
  <c r="W199" i="9" s="1"/>
  <c r="T200" i="9"/>
  <c r="W200" i="9" s="1"/>
  <c r="T201" i="9"/>
  <c r="W201" i="9" s="1"/>
  <c r="T202" i="9"/>
  <c r="W202" i="9" s="1"/>
  <c r="T203" i="9"/>
  <c r="W203" i="9" s="1"/>
  <c r="T204" i="9"/>
  <c r="W204" i="9" s="1"/>
  <c r="T205" i="9"/>
  <c r="W205" i="9" s="1"/>
  <c r="T206" i="9"/>
  <c r="W206" i="9" s="1"/>
  <c r="T207" i="9"/>
  <c r="W207" i="9" s="1"/>
  <c r="T208" i="9"/>
  <c r="W208" i="9" s="1"/>
  <c r="T209" i="9"/>
  <c r="W209" i="9" s="1"/>
  <c r="T210" i="9"/>
  <c r="W210" i="9" s="1"/>
  <c r="T211" i="9"/>
  <c r="W211" i="9" s="1"/>
  <c r="T212" i="9"/>
  <c r="W212" i="9" s="1"/>
  <c r="T214" i="9"/>
  <c r="W214" i="9" s="1"/>
  <c r="T215" i="9"/>
  <c r="W215" i="9" s="1"/>
  <c r="T216" i="9"/>
  <c r="W216" i="9" s="1"/>
  <c r="T217" i="9"/>
  <c r="W217" i="9" s="1"/>
  <c r="T219" i="9"/>
  <c r="W219" i="9" s="1"/>
  <c r="T220" i="9"/>
  <c r="W220" i="9" s="1"/>
  <c r="T221" i="9"/>
  <c r="W221" i="9" s="1"/>
  <c r="T222" i="9"/>
  <c r="W222" i="9" s="1"/>
  <c r="T223" i="9"/>
  <c r="W223" i="9" s="1"/>
  <c r="T224" i="9"/>
  <c r="W224" i="9" s="1"/>
  <c r="T225" i="9"/>
  <c r="W225" i="9" s="1"/>
  <c r="T226" i="9"/>
  <c r="W226" i="9" s="1"/>
  <c r="T227" i="9"/>
  <c r="W227" i="9" s="1"/>
  <c r="T228" i="9"/>
  <c r="W228" i="9" s="1"/>
  <c r="T229" i="9"/>
  <c r="W229" i="9" s="1"/>
  <c r="T230" i="9"/>
  <c r="W230" i="9" s="1"/>
  <c r="T231" i="9"/>
  <c r="W231" i="9" s="1"/>
  <c r="T232" i="9"/>
  <c r="W232" i="9" s="1"/>
  <c r="T233" i="9"/>
  <c r="W233" i="9" s="1"/>
  <c r="T234" i="9"/>
  <c r="W234" i="9" s="1"/>
  <c r="T235" i="9"/>
  <c r="W235" i="9" s="1"/>
  <c r="T236" i="9"/>
  <c r="W236" i="9" s="1"/>
  <c r="T237" i="9"/>
  <c r="W237" i="9" s="1"/>
  <c r="T238" i="9"/>
  <c r="W238" i="9" s="1"/>
  <c r="T239" i="9"/>
  <c r="W239" i="9" s="1"/>
  <c r="T240" i="9"/>
  <c r="W240" i="9" s="1"/>
  <c r="T241" i="9"/>
  <c r="W241" i="9" s="1"/>
  <c r="T242" i="9"/>
  <c r="W242" i="9" s="1"/>
  <c r="T244" i="9"/>
  <c r="W244" i="9" s="1"/>
  <c r="T245" i="9"/>
  <c r="W245" i="9" s="1"/>
  <c r="T243" i="9"/>
  <c r="W243" i="9" s="1"/>
  <c r="T247" i="9"/>
  <c r="W247" i="9" s="1"/>
  <c r="T248" i="9"/>
  <c r="W248" i="9" s="1"/>
  <c r="L197" i="9"/>
  <c r="N197" i="9" s="1"/>
  <c r="AC197" i="9" s="1"/>
  <c r="L198" i="9"/>
  <c r="N198" i="9" s="1"/>
  <c r="AC198" i="9" s="1"/>
  <c r="L199" i="9"/>
  <c r="N199" i="9" s="1"/>
  <c r="AC199" i="9" s="1"/>
  <c r="L200" i="9"/>
  <c r="N200" i="9" s="1"/>
  <c r="AC200" i="9" s="1"/>
  <c r="L201" i="9"/>
  <c r="N201" i="9" s="1"/>
  <c r="AC201" i="9" s="1"/>
  <c r="L202" i="9"/>
  <c r="N202" i="9" s="1"/>
  <c r="AC202" i="9" s="1"/>
  <c r="L203" i="9"/>
  <c r="N203" i="9" s="1"/>
  <c r="AC203" i="9" s="1"/>
  <c r="L204" i="9"/>
  <c r="N204" i="9" s="1"/>
  <c r="AC204" i="9" s="1"/>
  <c r="L205" i="9"/>
  <c r="N205" i="9" s="1"/>
  <c r="AC205" i="9" s="1"/>
  <c r="L206" i="9"/>
  <c r="N206" i="9" s="1"/>
  <c r="AC206" i="9" s="1"/>
  <c r="L207" i="9"/>
  <c r="N207" i="9" s="1"/>
  <c r="AC207" i="9" s="1"/>
  <c r="L208" i="9"/>
  <c r="N208" i="9" s="1"/>
  <c r="AC208" i="9" s="1"/>
  <c r="L209" i="9"/>
  <c r="N209" i="9" s="1"/>
  <c r="AC209" i="9" s="1"/>
  <c r="L210" i="9"/>
  <c r="N210" i="9" s="1"/>
  <c r="AC210" i="9" s="1"/>
  <c r="L211" i="9"/>
  <c r="N211" i="9" s="1"/>
  <c r="AC211" i="9" s="1"/>
  <c r="L212" i="9"/>
  <c r="N212" i="9" s="1"/>
  <c r="AC212" i="9" s="1"/>
  <c r="L214" i="9"/>
  <c r="N214" i="9" s="1"/>
  <c r="AC214" i="9" s="1"/>
  <c r="L215" i="9"/>
  <c r="N215" i="9" s="1"/>
  <c r="AC215" i="9" s="1"/>
  <c r="L216" i="9"/>
  <c r="N216" i="9" s="1"/>
  <c r="AC216" i="9" s="1"/>
  <c r="L217" i="9"/>
  <c r="N217" i="9" s="1"/>
  <c r="AC217" i="9" s="1"/>
  <c r="L219" i="9"/>
  <c r="N219" i="9" s="1"/>
  <c r="AC219" i="9" s="1"/>
  <c r="L220" i="9"/>
  <c r="N220" i="9" s="1"/>
  <c r="AC220" i="9" s="1"/>
  <c r="L221" i="9"/>
  <c r="N221" i="9" s="1"/>
  <c r="AC221" i="9" s="1"/>
  <c r="L222" i="9"/>
  <c r="N222" i="9" s="1"/>
  <c r="AC222" i="9" s="1"/>
  <c r="L223" i="9"/>
  <c r="N223" i="9" s="1"/>
  <c r="AC223" i="9" s="1"/>
  <c r="L224" i="9"/>
  <c r="N224" i="9" s="1"/>
  <c r="AC224" i="9" s="1"/>
  <c r="L225" i="9"/>
  <c r="N225" i="9" s="1"/>
  <c r="AC225" i="9" s="1"/>
  <c r="L226" i="9"/>
  <c r="N226" i="9" s="1"/>
  <c r="AC226" i="9" s="1"/>
  <c r="L227" i="9"/>
  <c r="N227" i="9" s="1"/>
  <c r="AC227" i="9" s="1"/>
  <c r="L228" i="9"/>
  <c r="N228" i="9" s="1"/>
  <c r="AC228" i="9" s="1"/>
  <c r="L229" i="9"/>
  <c r="N229" i="9" s="1"/>
  <c r="AC229" i="9" s="1"/>
  <c r="L230" i="9"/>
  <c r="N230" i="9" s="1"/>
  <c r="AC230" i="9" s="1"/>
  <c r="L231" i="9"/>
  <c r="N231" i="9" s="1"/>
  <c r="AC231" i="9" s="1"/>
  <c r="L232" i="9"/>
  <c r="N232" i="9" s="1"/>
  <c r="AC232" i="9" s="1"/>
  <c r="L233" i="9"/>
  <c r="N233" i="9" s="1"/>
  <c r="AC233" i="9" s="1"/>
  <c r="L234" i="9"/>
  <c r="N234" i="9" s="1"/>
  <c r="AC234" i="9" s="1"/>
  <c r="L235" i="9"/>
  <c r="N235" i="9" s="1"/>
  <c r="AC235" i="9" s="1"/>
  <c r="L236" i="9"/>
  <c r="N236" i="9" s="1"/>
  <c r="AC236" i="9" s="1"/>
  <c r="L237" i="9"/>
  <c r="N237" i="9" s="1"/>
  <c r="AC237" i="9" s="1"/>
  <c r="L238" i="9"/>
  <c r="N238" i="9" s="1"/>
  <c r="AC238" i="9" s="1"/>
  <c r="L239" i="9"/>
  <c r="N239" i="9" s="1"/>
  <c r="AC239" i="9" s="1"/>
  <c r="L240" i="9"/>
  <c r="N240" i="9" s="1"/>
  <c r="AC240" i="9" s="1"/>
  <c r="L241" i="9"/>
  <c r="N241" i="9" s="1"/>
  <c r="AC241" i="9" s="1"/>
  <c r="L242" i="9"/>
  <c r="N242" i="9" s="1"/>
  <c r="AC242" i="9" s="1"/>
  <c r="L244" i="9"/>
  <c r="N244" i="9" s="1"/>
  <c r="AC244" i="9" s="1"/>
  <c r="N245" i="9"/>
  <c r="AC245" i="9" s="1"/>
  <c r="L243" i="9"/>
  <c r="N243" i="9" s="1"/>
  <c r="AC243" i="9" s="1"/>
  <c r="L247" i="9"/>
  <c r="N247" i="9" s="1"/>
  <c r="AC247" i="9" s="1"/>
  <c r="N248" i="9"/>
  <c r="AC248" i="9" s="1"/>
  <c r="I191" i="3"/>
  <c r="K191" i="3" s="1"/>
  <c r="I192" i="3"/>
  <c r="K192" i="3" s="1"/>
  <c r="I193" i="3"/>
  <c r="K193" i="3" s="1"/>
  <c r="I194" i="3"/>
  <c r="K194" i="3" s="1"/>
  <c r="I195" i="3"/>
  <c r="K195" i="3" s="1"/>
  <c r="I196" i="3"/>
  <c r="K196" i="3" s="1"/>
  <c r="T149" i="9" l="1"/>
  <c r="W149" i="9" s="1"/>
  <c r="T150" i="9"/>
  <c r="W150" i="9" s="1"/>
  <c r="T151" i="9"/>
  <c r="W151" i="9" s="1"/>
  <c r="T153" i="9"/>
  <c r="W153" i="9" s="1"/>
  <c r="T154" i="9"/>
  <c r="W154" i="9" s="1"/>
  <c r="T155" i="9"/>
  <c r="W155" i="9" s="1"/>
  <c r="T156" i="9"/>
  <c r="W156" i="9" s="1"/>
  <c r="T157" i="9"/>
  <c r="W157" i="9" s="1"/>
  <c r="T158" i="9"/>
  <c r="W158" i="9" s="1"/>
  <c r="T159" i="9"/>
  <c r="W159" i="9" s="1"/>
  <c r="T160" i="9"/>
  <c r="W160" i="9" s="1"/>
  <c r="T161" i="9"/>
  <c r="W161" i="9" s="1"/>
  <c r="T162" i="9"/>
  <c r="W162" i="9" s="1"/>
  <c r="T163" i="9"/>
  <c r="W163" i="9" s="1"/>
  <c r="T164" i="9"/>
  <c r="W164" i="9" s="1"/>
  <c r="T165" i="9"/>
  <c r="W165" i="9" s="1"/>
  <c r="T166" i="9"/>
  <c r="W166" i="9" s="1"/>
  <c r="T167" i="9"/>
  <c r="W167" i="9" s="1"/>
  <c r="T168" i="9"/>
  <c r="W168" i="9" s="1"/>
  <c r="T169" i="9"/>
  <c r="W169" i="9" s="1"/>
  <c r="T170" i="9"/>
  <c r="W170" i="9" s="1"/>
  <c r="T171" i="9"/>
  <c r="W171" i="9" s="1"/>
  <c r="T172" i="9"/>
  <c r="W172" i="9" s="1"/>
  <c r="T173" i="9"/>
  <c r="W173" i="9" s="1"/>
  <c r="T174" i="9"/>
  <c r="W174" i="9" s="1"/>
  <c r="T176" i="9"/>
  <c r="W176" i="9" s="1"/>
  <c r="T177" i="9"/>
  <c r="W177" i="9" s="1"/>
  <c r="T178" i="9"/>
  <c r="W178" i="9" s="1"/>
  <c r="T179" i="9"/>
  <c r="W179" i="9" s="1"/>
  <c r="T180" i="9"/>
  <c r="W180" i="9" s="1"/>
  <c r="T181" i="9"/>
  <c r="W181" i="9" s="1"/>
  <c r="T182" i="9"/>
  <c r="W182" i="9" s="1"/>
  <c r="T183" i="9"/>
  <c r="W183" i="9" s="1"/>
  <c r="T184" i="9"/>
  <c r="W184" i="9" s="1"/>
  <c r="T185" i="9"/>
  <c r="W185" i="9" s="1"/>
  <c r="T186" i="9"/>
  <c r="W186" i="9" s="1"/>
  <c r="T187" i="9"/>
  <c r="W187" i="9" s="1"/>
  <c r="T188" i="9"/>
  <c r="W188" i="9" s="1"/>
  <c r="T189" i="9"/>
  <c r="W189" i="9" s="1"/>
  <c r="T190" i="9"/>
  <c r="W190" i="9" s="1"/>
  <c r="T191" i="9"/>
  <c r="W191" i="9" s="1"/>
  <c r="T192" i="9"/>
  <c r="W192" i="9" s="1"/>
  <c r="T175" i="9"/>
  <c r="W175" i="9" s="1"/>
  <c r="T193" i="9"/>
  <c r="W193" i="9" s="1"/>
  <c r="T196" i="9"/>
  <c r="W196" i="9" s="1"/>
  <c r="L149" i="9"/>
  <c r="N149" i="9" s="1"/>
  <c r="AC149" i="9" s="1"/>
  <c r="L150" i="9"/>
  <c r="N150" i="9" s="1"/>
  <c r="AC150" i="9" s="1"/>
  <c r="L151" i="9"/>
  <c r="N151" i="9" s="1"/>
  <c r="AC151" i="9" s="1"/>
  <c r="L153" i="9"/>
  <c r="N153" i="9" s="1"/>
  <c r="AC153" i="9" s="1"/>
  <c r="L154" i="9"/>
  <c r="N154" i="9" s="1"/>
  <c r="AC154" i="9" s="1"/>
  <c r="L155" i="9"/>
  <c r="N155" i="9" s="1"/>
  <c r="AC155" i="9" s="1"/>
  <c r="L156" i="9"/>
  <c r="N156" i="9" s="1"/>
  <c r="AC156" i="9" s="1"/>
  <c r="L157" i="9"/>
  <c r="N157" i="9" s="1"/>
  <c r="AC157" i="9" s="1"/>
  <c r="L158" i="9"/>
  <c r="N158" i="9" s="1"/>
  <c r="AC158" i="9" s="1"/>
  <c r="L159" i="9"/>
  <c r="N159" i="9" s="1"/>
  <c r="AC159" i="9" s="1"/>
  <c r="L160" i="9"/>
  <c r="N160" i="9" s="1"/>
  <c r="AC160" i="9" s="1"/>
  <c r="L161" i="9"/>
  <c r="N161" i="9" s="1"/>
  <c r="AC161" i="9" s="1"/>
  <c r="L162" i="9"/>
  <c r="N162" i="9" s="1"/>
  <c r="AC162" i="9" s="1"/>
  <c r="L163" i="9"/>
  <c r="N163" i="9" s="1"/>
  <c r="AC163" i="9" s="1"/>
  <c r="L164" i="9"/>
  <c r="N164" i="9" s="1"/>
  <c r="AC164" i="9" s="1"/>
  <c r="L165" i="9"/>
  <c r="N165" i="9" s="1"/>
  <c r="AC165" i="9" s="1"/>
  <c r="L166" i="9"/>
  <c r="N166" i="9" s="1"/>
  <c r="AC166" i="9" s="1"/>
  <c r="L167" i="9"/>
  <c r="N167" i="9" s="1"/>
  <c r="AC167" i="9" s="1"/>
  <c r="L168" i="9"/>
  <c r="N168" i="9" s="1"/>
  <c r="AC168" i="9" s="1"/>
  <c r="L169" i="9"/>
  <c r="N169" i="9" s="1"/>
  <c r="AC169" i="9" s="1"/>
  <c r="L170" i="9"/>
  <c r="N170" i="9" s="1"/>
  <c r="AC170" i="9" s="1"/>
  <c r="L171" i="9"/>
  <c r="N171" i="9" s="1"/>
  <c r="AC171" i="9" s="1"/>
  <c r="L172" i="9"/>
  <c r="N172" i="9" s="1"/>
  <c r="AC172" i="9" s="1"/>
  <c r="L173" i="9"/>
  <c r="N173" i="9" s="1"/>
  <c r="AC173" i="9" s="1"/>
  <c r="L174" i="9"/>
  <c r="N174" i="9" s="1"/>
  <c r="AC174" i="9" s="1"/>
  <c r="L176" i="9"/>
  <c r="N176" i="9" s="1"/>
  <c r="AC176" i="9" s="1"/>
  <c r="L177" i="9"/>
  <c r="N177" i="9" s="1"/>
  <c r="AC177" i="9" s="1"/>
  <c r="L178" i="9"/>
  <c r="N178" i="9" s="1"/>
  <c r="AC178" i="9" s="1"/>
  <c r="L179" i="9"/>
  <c r="N179" i="9" s="1"/>
  <c r="AC179" i="9" s="1"/>
  <c r="L180" i="9"/>
  <c r="N180" i="9" s="1"/>
  <c r="AC180" i="9" s="1"/>
  <c r="L181" i="9"/>
  <c r="N181" i="9" s="1"/>
  <c r="AC181" i="9" s="1"/>
  <c r="L182" i="9"/>
  <c r="N182" i="9" s="1"/>
  <c r="AC182" i="9" s="1"/>
  <c r="L183" i="9"/>
  <c r="N183" i="9" s="1"/>
  <c r="AC183" i="9" s="1"/>
  <c r="L184" i="9"/>
  <c r="N184" i="9" s="1"/>
  <c r="AC184" i="9" s="1"/>
  <c r="L185" i="9"/>
  <c r="N185" i="9" s="1"/>
  <c r="AC185" i="9" s="1"/>
  <c r="L186" i="9"/>
  <c r="N186" i="9" s="1"/>
  <c r="AC186" i="9" s="1"/>
  <c r="L187" i="9"/>
  <c r="N187" i="9" s="1"/>
  <c r="AC187" i="9" s="1"/>
  <c r="L188" i="9"/>
  <c r="N188" i="9" s="1"/>
  <c r="AC188" i="9" s="1"/>
  <c r="L189" i="9"/>
  <c r="N189" i="9" s="1"/>
  <c r="AC189" i="9" s="1"/>
  <c r="L190" i="9"/>
  <c r="N190" i="9" s="1"/>
  <c r="AC190" i="9" s="1"/>
  <c r="L191" i="9"/>
  <c r="N191" i="9" s="1"/>
  <c r="AC191" i="9" s="1"/>
  <c r="L192" i="9"/>
  <c r="N192" i="9" s="1"/>
  <c r="AC192" i="9" s="1"/>
  <c r="L175" i="9"/>
  <c r="N175" i="9" s="1"/>
  <c r="AC175" i="9" s="1"/>
  <c r="L193" i="9"/>
  <c r="N193" i="9" s="1"/>
  <c r="AC193" i="9" s="1"/>
  <c r="L196" i="9"/>
  <c r="N196" i="9" s="1"/>
  <c r="AC196" i="9" s="1"/>
  <c r="I184" i="3"/>
  <c r="K184" i="3" s="1"/>
  <c r="I185" i="3"/>
  <c r="K185" i="3" s="1"/>
  <c r="I186" i="3"/>
  <c r="K186" i="3" s="1"/>
  <c r="I187" i="3"/>
  <c r="K187" i="3" s="1"/>
  <c r="I188" i="3"/>
  <c r="K188" i="3" s="1"/>
  <c r="I189" i="3"/>
  <c r="K189" i="3" s="1"/>
  <c r="I190" i="3"/>
  <c r="K190" i="3" s="1"/>
  <c r="T100" i="9"/>
  <c r="W100" i="9" s="1"/>
  <c r="T101" i="9"/>
  <c r="W101" i="9" s="1"/>
  <c r="T102" i="9"/>
  <c r="W102" i="9" s="1"/>
  <c r="T103" i="9"/>
  <c r="W103" i="9" s="1"/>
  <c r="T104" i="9"/>
  <c r="W104" i="9" s="1"/>
  <c r="T105" i="9"/>
  <c r="W105" i="9" s="1"/>
  <c r="T106" i="9"/>
  <c r="W106" i="9" s="1"/>
  <c r="T108" i="9"/>
  <c r="W108" i="9" s="1"/>
  <c r="T109" i="9"/>
  <c r="W109" i="9" s="1"/>
  <c r="T110" i="9"/>
  <c r="W110" i="9" s="1"/>
  <c r="T111" i="9"/>
  <c r="W111" i="9" s="1"/>
  <c r="T112" i="9"/>
  <c r="W112" i="9" s="1"/>
  <c r="T113" i="9"/>
  <c r="W113" i="9" s="1"/>
  <c r="T114" i="9"/>
  <c r="W114" i="9" s="1"/>
  <c r="T115" i="9"/>
  <c r="W115" i="9" s="1"/>
  <c r="T116" i="9"/>
  <c r="W116" i="9" s="1"/>
  <c r="T117" i="9"/>
  <c r="W117" i="9" s="1"/>
  <c r="T118" i="9"/>
  <c r="W118" i="9" s="1"/>
  <c r="T119" i="9"/>
  <c r="W119" i="9" s="1"/>
  <c r="T120" i="9"/>
  <c r="W120" i="9" s="1"/>
  <c r="T121" i="9"/>
  <c r="W121" i="9" s="1"/>
  <c r="T122" i="9"/>
  <c r="W122" i="9" s="1"/>
  <c r="T123" i="9"/>
  <c r="W123" i="9" s="1"/>
  <c r="T124" i="9"/>
  <c r="W124" i="9" s="1"/>
  <c r="T125" i="9"/>
  <c r="W125" i="9" s="1"/>
  <c r="T127" i="9"/>
  <c r="W127" i="9" s="1"/>
  <c r="T128" i="9"/>
  <c r="W128" i="9" s="1"/>
  <c r="T129" i="9"/>
  <c r="W129" i="9" s="1"/>
  <c r="T130" i="9"/>
  <c r="W130" i="9" s="1"/>
  <c r="T132" i="9"/>
  <c r="W132" i="9" s="1"/>
  <c r="T133" i="9"/>
  <c r="W133" i="9" s="1"/>
  <c r="T134" i="9"/>
  <c r="W134" i="9" s="1"/>
  <c r="T135" i="9"/>
  <c r="W135" i="9" s="1"/>
  <c r="T136" i="9"/>
  <c r="W136" i="9" s="1"/>
  <c r="T137" i="9"/>
  <c r="W137" i="9" s="1"/>
  <c r="T138" i="9"/>
  <c r="W138" i="9" s="1"/>
  <c r="T139" i="9"/>
  <c r="W139" i="9" s="1"/>
  <c r="T140" i="9"/>
  <c r="W140" i="9" s="1"/>
  <c r="T141" i="9"/>
  <c r="W141" i="9" s="1"/>
  <c r="T142" i="9"/>
  <c r="W142" i="9" s="1"/>
  <c r="T144" i="9"/>
  <c r="W144" i="9" s="1"/>
  <c r="T145" i="9"/>
  <c r="W145" i="9" s="1"/>
  <c r="T131" i="9"/>
  <c r="W131" i="9" s="1"/>
  <c r="T146" i="9"/>
  <c r="W146" i="9" s="1"/>
  <c r="T126" i="9"/>
  <c r="W126" i="9" s="1"/>
  <c r="T148" i="9"/>
  <c r="W148" i="9" s="1"/>
  <c r="L100" i="9"/>
  <c r="N100" i="9" s="1"/>
  <c r="AC100" i="9" s="1"/>
  <c r="L101" i="9"/>
  <c r="N101" i="9" s="1"/>
  <c r="AC101" i="9" s="1"/>
  <c r="L102" i="9"/>
  <c r="N102" i="9" s="1"/>
  <c r="AC102" i="9" s="1"/>
  <c r="L103" i="9"/>
  <c r="N103" i="9" s="1"/>
  <c r="AC103" i="9" s="1"/>
  <c r="L104" i="9"/>
  <c r="N104" i="9" s="1"/>
  <c r="AC104" i="9" s="1"/>
  <c r="L105" i="9"/>
  <c r="N105" i="9" s="1"/>
  <c r="AC105" i="9" s="1"/>
  <c r="L106" i="9"/>
  <c r="N106" i="9" s="1"/>
  <c r="AC106" i="9" s="1"/>
  <c r="L108" i="9"/>
  <c r="N108" i="9" s="1"/>
  <c r="AC108" i="9" s="1"/>
  <c r="L109" i="9"/>
  <c r="N109" i="9" s="1"/>
  <c r="AC109" i="9" s="1"/>
  <c r="L110" i="9"/>
  <c r="N110" i="9" s="1"/>
  <c r="AC110" i="9" s="1"/>
  <c r="L111" i="9"/>
  <c r="N111" i="9" s="1"/>
  <c r="AC111" i="9" s="1"/>
  <c r="L112" i="9"/>
  <c r="N112" i="9" s="1"/>
  <c r="AC112" i="9" s="1"/>
  <c r="L113" i="9"/>
  <c r="N113" i="9" s="1"/>
  <c r="AC113" i="9" s="1"/>
  <c r="L114" i="9"/>
  <c r="N114" i="9" s="1"/>
  <c r="AC114" i="9" s="1"/>
  <c r="L115" i="9"/>
  <c r="N115" i="9" s="1"/>
  <c r="AC115" i="9" s="1"/>
  <c r="L116" i="9"/>
  <c r="N116" i="9" s="1"/>
  <c r="AC116" i="9" s="1"/>
  <c r="L117" i="9"/>
  <c r="N117" i="9" s="1"/>
  <c r="AC117" i="9" s="1"/>
  <c r="L118" i="9"/>
  <c r="N118" i="9" s="1"/>
  <c r="AC118" i="9" s="1"/>
  <c r="L119" i="9"/>
  <c r="N119" i="9" s="1"/>
  <c r="AC119" i="9" s="1"/>
  <c r="L120" i="9"/>
  <c r="N120" i="9" s="1"/>
  <c r="AC120" i="9" s="1"/>
  <c r="L121" i="9"/>
  <c r="N121" i="9" s="1"/>
  <c r="AC121" i="9" s="1"/>
  <c r="L122" i="9"/>
  <c r="N122" i="9" s="1"/>
  <c r="AC122" i="9" s="1"/>
  <c r="L123" i="9"/>
  <c r="N123" i="9" s="1"/>
  <c r="AC123" i="9" s="1"/>
  <c r="L124" i="9"/>
  <c r="N124" i="9" s="1"/>
  <c r="AC124" i="9" s="1"/>
  <c r="L125" i="9"/>
  <c r="N125" i="9" s="1"/>
  <c r="AC125" i="9" s="1"/>
  <c r="L127" i="9"/>
  <c r="N127" i="9" s="1"/>
  <c r="AC127" i="9" s="1"/>
  <c r="L128" i="9"/>
  <c r="N128" i="9" s="1"/>
  <c r="AC128" i="9" s="1"/>
  <c r="L129" i="9"/>
  <c r="N129" i="9" s="1"/>
  <c r="AC129" i="9" s="1"/>
  <c r="L130" i="9"/>
  <c r="N130" i="9" s="1"/>
  <c r="AC130" i="9" s="1"/>
  <c r="L132" i="9"/>
  <c r="N132" i="9" s="1"/>
  <c r="AC132" i="9" s="1"/>
  <c r="L133" i="9"/>
  <c r="N133" i="9" s="1"/>
  <c r="AC133" i="9" s="1"/>
  <c r="L134" i="9"/>
  <c r="N134" i="9" s="1"/>
  <c r="AC134" i="9" s="1"/>
  <c r="L135" i="9"/>
  <c r="N135" i="9" s="1"/>
  <c r="AC135" i="9" s="1"/>
  <c r="L136" i="9"/>
  <c r="N136" i="9" s="1"/>
  <c r="AC136" i="9" s="1"/>
  <c r="L137" i="9"/>
  <c r="N137" i="9" s="1"/>
  <c r="AC137" i="9" s="1"/>
  <c r="L138" i="9"/>
  <c r="N138" i="9" s="1"/>
  <c r="AC138" i="9" s="1"/>
  <c r="L139" i="9"/>
  <c r="N139" i="9" s="1"/>
  <c r="AC139" i="9" s="1"/>
  <c r="L140" i="9"/>
  <c r="N140" i="9" s="1"/>
  <c r="AC140" i="9" s="1"/>
  <c r="L141" i="9"/>
  <c r="N141" i="9" s="1"/>
  <c r="AC141" i="9" s="1"/>
  <c r="L142" i="9"/>
  <c r="N142" i="9" s="1"/>
  <c r="AC142" i="9" s="1"/>
  <c r="L144" i="9"/>
  <c r="N144" i="9" s="1"/>
  <c r="AC144" i="9" s="1"/>
  <c r="L145" i="9"/>
  <c r="N145" i="9" s="1"/>
  <c r="AC145" i="9" s="1"/>
  <c r="L131" i="9"/>
  <c r="N131" i="9" s="1"/>
  <c r="AC131" i="9" s="1"/>
  <c r="L146" i="9"/>
  <c r="N146" i="9" s="1"/>
  <c r="AC146" i="9" s="1"/>
  <c r="L126" i="9"/>
  <c r="N126" i="9" s="1"/>
  <c r="AC126" i="9" s="1"/>
  <c r="L148" i="9"/>
  <c r="N148" i="9" s="1"/>
  <c r="AC148" i="9" s="1"/>
  <c r="I178" i="3"/>
  <c r="K178" i="3" s="1"/>
  <c r="I179" i="3"/>
  <c r="K179" i="3" s="1"/>
  <c r="I180" i="3"/>
  <c r="K180" i="3" s="1"/>
  <c r="I181" i="3"/>
  <c r="K181" i="3" s="1"/>
  <c r="I182" i="3"/>
  <c r="K182" i="3" s="1"/>
  <c r="I183" i="3"/>
  <c r="K183" i="3" s="1"/>
  <c r="T56" i="9"/>
  <c r="W56" i="9" s="1"/>
  <c r="T57" i="9"/>
  <c r="W57" i="9" s="1"/>
  <c r="T58" i="9"/>
  <c r="W58" i="9" s="1"/>
  <c r="T59" i="9"/>
  <c r="W59" i="9" s="1"/>
  <c r="T60" i="9"/>
  <c r="W60" i="9" s="1"/>
  <c r="T61" i="9"/>
  <c r="W61" i="9" s="1"/>
  <c r="T62" i="9"/>
  <c r="W62" i="9" s="1"/>
  <c r="T63" i="9"/>
  <c r="W63" i="9" s="1"/>
  <c r="T64" i="9"/>
  <c r="W64" i="9" s="1"/>
  <c r="T65" i="9"/>
  <c r="W65" i="9" s="1"/>
  <c r="T66" i="9"/>
  <c r="W66" i="9" s="1"/>
  <c r="T67" i="9"/>
  <c r="W67" i="9" s="1"/>
  <c r="T68" i="9"/>
  <c r="W68" i="9" s="1"/>
  <c r="T69" i="9"/>
  <c r="W69" i="9" s="1"/>
  <c r="T70" i="9"/>
  <c r="W70" i="9" s="1"/>
  <c r="T71" i="9"/>
  <c r="W71" i="9" s="1"/>
  <c r="T72" i="9"/>
  <c r="W72" i="9" s="1"/>
  <c r="T73" i="9"/>
  <c r="W73" i="9" s="1"/>
  <c r="T74" i="9"/>
  <c r="W74" i="9" s="1"/>
  <c r="T75" i="9"/>
  <c r="W75" i="9" s="1"/>
  <c r="T76" i="9"/>
  <c r="W76" i="9" s="1"/>
  <c r="T77" i="9"/>
  <c r="W77" i="9" s="1"/>
  <c r="T78" i="9"/>
  <c r="W78" i="9" s="1"/>
  <c r="T79" i="9"/>
  <c r="W79" i="9" s="1"/>
  <c r="T81" i="9"/>
  <c r="W81" i="9" s="1"/>
  <c r="T82" i="9"/>
  <c r="W82" i="9" s="1"/>
  <c r="T83" i="9"/>
  <c r="W83" i="9" s="1"/>
  <c r="T84" i="9"/>
  <c r="W84" i="9" s="1"/>
  <c r="T85" i="9"/>
  <c r="W85" i="9" s="1"/>
  <c r="T86" i="9"/>
  <c r="W86" i="9" s="1"/>
  <c r="T87" i="9"/>
  <c r="W87" i="9" s="1"/>
  <c r="T88" i="9"/>
  <c r="W88" i="9" s="1"/>
  <c r="T89" i="9"/>
  <c r="W89" i="9" s="1"/>
  <c r="T90" i="9"/>
  <c r="W90" i="9" s="1"/>
  <c r="T91" i="9"/>
  <c r="W91" i="9" s="1"/>
  <c r="T92" i="9"/>
  <c r="W92" i="9" s="1"/>
  <c r="T93" i="9"/>
  <c r="W93" i="9" s="1"/>
  <c r="T94" i="9"/>
  <c r="W94" i="9" s="1"/>
  <c r="T95" i="9"/>
  <c r="W95" i="9" s="1"/>
  <c r="T80" i="9"/>
  <c r="W80" i="9" s="1"/>
  <c r="T96" i="9"/>
  <c r="W96" i="9" s="1"/>
  <c r="T97" i="9"/>
  <c r="W97" i="9" s="1"/>
  <c r="T98" i="9"/>
  <c r="W98" i="9" s="1"/>
  <c r="T99" i="9"/>
  <c r="W99" i="9" s="1"/>
  <c r="L56" i="9"/>
  <c r="N56" i="9" s="1"/>
  <c r="AC56" i="9" s="1"/>
  <c r="L57" i="9"/>
  <c r="N57" i="9" s="1"/>
  <c r="AC57" i="9" s="1"/>
  <c r="L58" i="9"/>
  <c r="N58" i="9" s="1"/>
  <c r="AC58" i="9" s="1"/>
  <c r="L59" i="9"/>
  <c r="N59" i="9" s="1"/>
  <c r="AC59" i="9" s="1"/>
  <c r="L60" i="9"/>
  <c r="N60" i="9" s="1"/>
  <c r="AC60" i="9" s="1"/>
  <c r="L61" i="9"/>
  <c r="N61" i="9" s="1"/>
  <c r="AC61" i="9" s="1"/>
  <c r="L62" i="9"/>
  <c r="N62" i="9" s="1"/>
  <c r="AC62" i="9" s="1"/>
  <c r="L63" i="9"/>
  <c r="N63" i="9" s="1"/>
  <c r="AC63" i="9" s="1"/>
  <c r="L64" i="9"/>
  <c r="N64" i="9" s="1"/>
  <c r="AC64" i="9" s="1"/>
  <c r="L65" i="9"/>
  <c r="N65" i="9" s="1"/>
  <c r="AC65" i="9" s="1"/>
  <c r="L66" i="9"/>
  <c r="N66" i="9" s="1"/>
  <c r="AC66" i="9" s="1"/>
  <c r="L67" i="9"/>
  <c r="N67" i="9" s="1"/>
  <c r="AC67" i="9" s="1"/>
  <c r="L68" i="9"/>
  <c r="N68" i="9" s="1"/>
  <c r="AC68" i="9" s="1"/>
  <c r="L69" i="9"/>
  <c r="N69" i="9" s="1"/>
  <c r="AC69" i="9" s="1"/>
  <c r="L70" i="9"/>
  <c r="N70" i="9" s="1"/>
  <c r="AC70" i="9" s="1"/>
  <c r="L71" i="9"/>
  <c r="N71" i="9" s="1"/>
  <c r="AC71" i="9" s="1"/>
  <c r="L72" i="9"/>
  <c r="N72" i="9" s="1"/>
  <c r="AC72" i="9" s="1"/>
  <c r="L73" i="9"/>
  <c r="N73" i="9" s="1"/>
  <c r="AC73" i="9" s="1"/>
  <c r="L74" i="9"/>
  <c r="N74" i="9" s="1"/>
  <c r="AC74" i="9" s="1"/>
  <c r="L75" i="9"/>
  <c r="N75" i="9" s="1"/>
  <c r="AC75" i="9" s="1"/>
  <c r="L76" i="9"/>
  <c r="N76" i="9" s="1"/>
  <c r="AC76" i="9" s="1"/>
  <c r="L77" i="9"/>
  <c r="N77" i="9" s="1"/>
  <c r="AC77" i="9" s="1"/>
  <c r="L78" i="9"/>
  <c r="N78" i="9" s="1"/>
  <c r="AC78" i="9" s="1"/>
  <c r="L79" i="9"/>
  <c r="N79" i="9" s="1"/>
  <c r="AC79" i="9" s="1"/>
  <c r="L81" i="9"/>
  <c r="N81" i="9" s="1"/>
  <c r="AC81" i="9" s="1"/>
  <c r="L82" i="9"/>
  <c r="N82" i="9" s="1"/>
  <c r="AC82" i="9" s="1"/>
  <c r="L83" i="9"/>
  <c r="N83" i="9" s="1"/>
  <c r="AC83" i="9" s="1"/>
  <c r="L84" i="9"/>
  <c r="N84" i="9" s="1"/>
  <c r="AC84" i="9" s="1"/>
  <c r="L85" i="9"/>
  <c r="N85" i="9" s="1"/>
  <c r="AC85" i="9" s="1"/>
  <c r="L86" i="9"/>
  <c r="N86" i="9" s="1"/>
  <c r="AC86" i="9" s="1"/>
  <c r="L87" i="9"/>
  <c r="N87" i="9" s="1"/>
  <c r="AC87" i="9" s="1"/>
  <c r="L88" i="9"/>
  <c r="N88" i="9" s="1"/>
  <c r="AC88" i="9" s="1"/>
  <c r="L89" i="9"/>
  <c r="N89" i="9" s="1"/>
  <c r="AC89" i="9" s="1"/>
  <c r="L90" i="9"/>
  <c r="N90" i="9" s="1"/>
  <c r="AC90" i="9" s="1"/>
  <c r="L91" i="9"/>
  <c r="N91" i="9" s="1"/>
  <c r="AC91" i="9" s="1"/>
  <c r="L92" i="9"/>
  <c r="N92" i="9" s="1"/>
  <c r="AC92" i="9" s="1"/>
  <c r="L93" i="9"/>
  <c r="N93" i="9" s="1"/>
  <c r="AC93" i="9" s="1"/>
  <c r="L94" i="9"/>
  <c r="N94" i="9" s="1"/>
  <c r="AC94" i="9" s="1"/>
  <c r="L95" i="9"/>
  <c r="N95" i="9" s="1"/>
  <c r="AC95" i="9" s="1"/>
  <c r="L80" i="9"/>
  <c r="N80" i="9" s="1"/>
  <c r="AC80" i="9" s="1"/>
  <c r="L96" i="9"/>
  <c r="N96" i="9" s="1"/>
  <c r="AC96" i="9" s="1"/>
  <c r="L97" i="9"/>
  <c r="N97" i="9" s="1"/>
  <c r="AC97" i="9" s="1"/>
  <c r="L98" i="9"/>
  <c r="N98" i="9" s="1"/>
  <c r="AC98" i="9" s="1"/>
  <c r="L99" i="9"/>
  <c r="N99" i="9" s="1"/>
  <c r="AC99" i="9" s="1"/>
  <c r="I171" i="3"/>
  <c r="K171" i="3" s="1"/>
  <c r="I172" i="3"/>
  <c r="K172" i="3" s="1"/>
  <c r="I173" i="3"/>
  <c r="K173" i="3" s="1"/>
  <c r="I174" i="3"/>
  <c r="K174" i="3" s="1"/>
  <c r="I175" i="3"/>
  <c r="K175" i="3" s="1"/>
  <c r="I176" i="3"/>
  <c r="K176" i="3" s="1"/>
  <c r="I177" i="3"/>
  <c r="K177" i="3" s="1"/>
  <c r="L25" i="9"/>
  <c r="N25" i="9" s="1"/>
  <c r="AC25" i="9" s="1"/>
  <c r="W25" i="9"/>
  <c r="Z3" i="9"/>
  <c r="AA3" i="9"/>
  <c r="T3" i="9"/>
  <c r="W3" i="9" s="1"/>
  <c r="T4" i="9"/>
  <c r="W4" i="9" s="1"/>
  <c r="T5" i="9"/>
  <c r="W5" i="9" s="1"/>
  <c r="T6" i="9"/>
  <c r="W6" i="9" s="1"/>
  <c r="T7" i="9"/>
  <c r="W7" i="9" s="1"/>
  <c r="T8" i="9"/>
  <c r="W8" i="9" s="1"/>
  <c r="T9" i="9"/>
  <c r="W9" i="9" s="1"/>
  <c r="T10" i="9"/>
  <c r="W10" i="9" s="1"/>
  <c r="T11" i="9"/>
  <c r="W11" i="9" s="1"/>
  <c r="T12" i="9"/>
  <c r="W12" i="9" s="1"/>
  <c r="T13" i="9"/>
  <c r="W13" i="9" s="1"/>
  <c r="T14" i="9"/>
  <c r="W14" i="9" s="1"/>
  <c r="T15" i="9"/>
  <c r="W15" i="9" s="1"/>
  <c r="T16" i="9"/>
  <c r="W16" i="9" s="1"/>
  <c r="T17" i="9"/>
  <c r="W17" i="9" s="1"/>
  <c r="T18" i="9"/>
  <c r="W18" i="9" s="1"/>
  <c r="T20" i="9"/>
  <c r="W20" i="9" s="1"/>
  <c r="T21" i="9"/>
  <c r="W21" i="9" s="1"/>
  <c r="T22" i="9"/>
  <c r="W22" i="9" s="1"/>
  <c r="T23" i="9"/>
  <c r="W23" i="9" s="1"/>
  <c r="T24" i="9"/>
  <c r="W24" i="9" s="1"/>
  <c r="T26" i="9"/>
  <c r="W26" i="9" s="1"/>
  <c r="T27" i="9"/>
  <c r="W27" i="9" s="1"/>
  <c r="T28" i="9"/>
  <c r="W28" i="9" s="1"/>
  <c r="T30" i="9"/>
  <c r="W30" i="9" s="1"/>
  <c r="T47" i="9"/>
  <c r="W47" i="9" s="1"/>
  <c r="T31" i="9"/>
  <c r="W31" i="9" s="1"/>
  <c r="T33" i="9"/>
  <c r="W33" i="9" s="1"/>
  <c r="T34" i="9"/>
  <c r="W34" i="9" s="1"/>
  <c r="T35" i="9"/>
  <c r="W35" i="9" s="1"/>
  <c r="T36" i="9"/>
  <c r="W36" i="9" s="1"/>
  <c r="T37" i="9"/>
  <c r="W37" i="9" s="1"/>
  <c r="T38" i="9"/>
  <c r="W38" i="9" s="1"/>
  <c r="T39" i="9"/>
  <c r="W39" i="9" s="1"/>
  <c r="T19" i="9"/>
  <c r="W19" i="9" s="1"/>
  <c r="T40" i="9"/>
  <c r="W40" i="9" s="1"/>
  <c r="T32" i="9"/>
  <c r="W32" i="9" s="1"/>
  <c r="T41" i="9"/>
  <c r="W41" i="9" s="1"/>
  <c r="T43" i="9"/>
  <c r="W43" i="9" s="1"/>
  <c r="T42" i="9"/>
  <c r="W42" i="9" s="1"/>
  <c r="T29" i="9"/>
  <c r="W29" i="9" s="1"/>
  <c r="T44" i="9"/>
  <c r="W44" i="9" s="1"/>
  <c r="T45" i="9"/>
  <c r="W45" i="9" s="1"/>
  <c r="T46" i="9"/>
  <c r="W46" i="9" s="1"/>
  <c r="T48" i="9"/>
  <c r="W48" i="9" s="1"/>
  <c r="T49" i="9"/>
  <c r="W49" i="9" s="1"/>
  <c r="T50" i="9"/>
  <c r="W50" i="9" s="1"/>
  <c r="T51" i="9"/>
  <c r="W51" i="9" s="1"/>
  <c r="T52" i="9"/>
  <c r="W52" i="9" s="1"/>
  <c r="T53" i="9"/>
  <c r="W53" i="9" s="1"/>
  <c r="T54" i="9"/>
  <c r="W54" i="9" s="1"/>
  <c r="L3" i="9"/>
  <c r="N3" i="9" s="1"/>
  <c r="L4" i="9"/>
  <c r="N4" i="9" s="1"/>
  <c r="AC4" i="9" s="1"/>
  <c r="L5" i="9"/>
  <c r="N5" i="9" s="1"/>
  <c r="AC5" i="9" s="1"/>
  <c r="L6" i="9"/>
  <c r="N6" i="9" s="1"/>
  <c r="AC6" i="9" s="1"/>
  <c r="L7" i="9"/>
  <c r="N7" i="9" s="1"/>
  <c r="AC7" i="9" s="1"/>
  <c r="L8" i="9"/>
  <c r="N8" i="9" s="1"/>
  <c r="AC8" i="9" s="1"/>
  <c r="L9" i="9"/>
  <c r="N9" i="9" s="1"/>
  <c r="AC9" i="9" s="1"/>
  <c r="L10" i="9"/>
  <c r="N10" i="9" s="1"/>
  <c r="AC10" i="9" s="1"/>
  <c r="L11" i="9"/>
  <c r="N11" i="9" s="1"/>
  <c r="AC11" i="9" s="1"/>
  <c r="L12" i="9"/>
  <c r="N12" i="9" s="1"/>
  <c r="AC12" i="9" s="1"/>
  <c r="L13" i="9"/>
  <c r="N13" i="9" s="1"/>
  <c r="AC13" i="9" s="1"/>
  <c r="L14" i="9"/>
  <c r="N14" i="9" s="1"/>
  <c r="AC14" i="9" s="1"/>
  <c r="L15" i="9"/>
  <c r="N15" i="9" s="1"/>
  <c r="AC15" i="9" s="1"/>
  <c r="L16" i="9"/>
  <c r="N16" i="9" s="1"/>
  <c r="AC16" i="9" s="1"/>
  <c r="L17" i="9"/>
  <c r="N17" i="9" s="1"/>
  <c r="AC17" i="9" s="1"/>
  <c r="L18" i="9"/>
  <c r="N18" i="9" s="1"/>
  <c r="AC18" i="9" s="1"/>
  <c r="L20" i="9"/>
  <c r="N20" i="9" s="1"/>
  <c r="AC20" i="9" s="1"/>
  <c r="L21" i="9"/>
  <c r="N21" i="9" s="1"/>
  <c r="AC21" i="9" s="1"/>
  <c r="L22" i="9"/>
  <c r="N22" i="9" s="1"/>
  <c r="AC22" i="9" s="1"/>
  <c r="L23" i="9"/>
  <c r="N23" i="9" s="1"/>
  <c r="AC23" i="9" s="1"/>
  <c r="L24" i="9"/>
  <c r="N24" i="9" s="1"/>
  <c r="AC24" i="9" s="1"/>
  <c r="L26" i="9"/>
  <c r="N26" i="9" s="1"/>
  <c r="AC26" i="9" s="1"/>
  <c r="L27" i="9"/>
  <c r="N27" i="9" s="1"/>
  <c r="AC27" i="9" s="1"/>
  <c r="L28" i="9"/>
  <c r="N28" i="9" s="1"/>
  <c r="AC28" i="9" s="1"/>
  <c r="L30" i="9"/>
  <c r="N30" i="9" s="1"/>
  <c r="AC30" i="9" s="1"/>
  <c r="L47" i="9"/>
  <c r="N47" i="9" s="1"/>
  <c r="AC47" i="9" s="1"/>
  <c r="L31" i="9"/>
  <c r="N31" i="9" s="1"/>
  <c r="AC31" i="9" s="1"/>
  <c r="L33" i="9"/>
  <c r="N33" i="9" s="1"/>
  <c r="AC33" i="9" s="1"/>
  <c r="L34" i="9"/>
  <c r="N34" i="9" s="1"/>
  <c r="AC34" i="9" s="1"/>
  <c r="L35" i="9"/>
  <c r="N35" i="9" s="1"/>
  <c r="AC35" i="9" s="1"/>
  <c r="L36" i="9"/>
  <c r="N36" i="9" s="1"/>
  <c r="AC36" i="9" s="1"/>
  <c r="L37" i="9"/>
  <c r="N37" i="9" s="1"/>
  <c r="AC37" i="9" s="1"/>
  <c r="L38" i="9"/>
  <c r="N38" i="9" s="1"/>
  <c r="AC38" i="9" s="1"/>
  <c r="L39" i="9"/>
  <c r="N39" i="9" s="1"/>
  <c r="AC39" i="9" s="1"/>
  <c r="L19" i="9"/>
  <c r="N19" i="9" s="1"/>
  <c r="AC19" i="9" s="1"/>
  <c r="L40" i="9"/>
  <c r="N40" i="9" s="1"/>
  <c r="AC40" i="9" s="1"/>
  <c r="L32" i="9"/>
  <c r="N32" i="9" s="1"/>
  <c r="AC32" i="9" s="1"/>
  <c r="L41" i="9"/>
  <c r="N41" i="9" s="1"/>
  <c r="AC41" i="9" s="1"/>
  <c r="L43" i="9"/>
  <c r="N43" i="9" s="1"/>
  <c r="AC43" i="9" s="1"/>
  <c r="L42" i="9"/>
  <c r="N42" i="9" s="1"/>
  <c r="AC42" i="9" s="1"/>
  <c r="L29" i="9"/>
  <c r="N29" i="9" s="1"/>
  <c r="AC29" i="9" s="1"/>
  <c r="L44" i="9"/>
  <c r="N44" i="9" s="1"/>
  <c r="AC44" i="9" s="1"/>
  <c r="L45" i="9"/>
  <c r="N45" i="9" s="1"/>
  <c r="AC45" i="9" s="1"/>
  <c r="L46" i="9"/>
  <c r="N46" i="9" s="1"/>
  <c r="AC46" i="9" s="1"/>
  <c r="L48" i="9"/>
  <c r="N48" i="9" s="1"/>
  <c r="AC48" i="9" s="1"/>
  <c r="L49" i="9"/>
  <c r="N49" i="9" s="1"/>
  <c r="AC49" i="9" s="1"/>
  <c r="L50" i="9"/>
  <c r="N50" i="9" s="1"/>
  <c r="AC50" i="9" s="1"/>
  <c r="L51" i="9"/>
  <c r="N51" i="9" s="1"/>
  <c r="AC51" i="9" s="1"/>
  <c r="L52" i="9"/>
  <c r="N52" i="9" s="1"/>
  <c r="AC52" i="9" s="1"/>
  <c r="L53" i="9"/>
  <c r="N53" i="9" s="1"/>
  <c r="AC53" i="9" s="1"/>
  <c r="L54" i="9"/>
  <c r="N54" i="9" s="1"/>
  <c r="AC54" i="9" s="1"/>
  <c r="AB3" i="9" l="1"/>
  <c r="AC3" i="9" s="1"/>
  <c r="I170" i="3"/>
  <c r="K170" i="3" s="1"/>
  <c r="I164" i="3"/>
  <c r="K164" i="3" s="1"/>
  <c r="I165" i="3"/>
  <c r="K165" i="3" s="1"/>
  <c r="I166" i="3"/>
  <c r="K166" i="3" s="1"/>
  <c r="I167" i="3"/>
  <c r="K167" i="3" s="1"/>
  <c r="I168" i="3"/>
  <c r="K168" i="3" s="1"/>
  <c r="I169" i="3"/>
  <c r="K169" i="3" s="1"/>
  <c r="I159" i="3"/>
  <c r="K159" i="3" s="1"/>
  <c r="I160" i="3"/>
  <c r="K160" i="3" s="1"/>
  <c r="I161" i="3"/>
  <c r="K161" i="3" s="1"/>
  <c r="I162" i="3"/>
  <c r="K162" i="3" s="1"/>
  <c r="I163" i="3"/>
  <c r="K163" i="3" s="1"/>
  <c r="I154" i="3" l="1"/>
  <c r="K154" i="3" s="1"/>
  <c r="I155" i="3"/>
  <c r="K155" i="3" s="1"/>
  <c r="I156" i="3"/>
  <c r="K156" i="3" s="1"/>
  <c r="I157" i="3"/>
  <c r="K157" i="3" s="1"/>
  <c r="I158" i="3"/>
  <c r="K158" i="3" s="1"/>
  <c r="I150" i="3" l="1"/>
  <c r="K150" i="3" s="1"/>
  <c r="I151" i="3"/>
  <c r="K151" i="3" s="1"/>
  <c r="I152" i="3"/>
  <c r="K152" i="3" s="1"/>
  <c r="I153" i="3"/>
  <c r="K153" i="3" s="1"/>
  <c r="I144" i="3" l="1"/>
  <c r="K144" i="3" s="1"/>
  <c r="I145" i="3"/>
  <c r="K145" i="3" s="1"/>
  <c r="I146" i="3"/>
  <c r="K146" i="3" s="1"/>
  <c r="I147" i="3"/>
  <c r="K147" i="3" s="1"/>
  <c r="I148" i="3"/>
  <c r="K148" i="3" s="1"/>
  <c r="I149" i="3"/>
  <c r="K149" i="3" s="1"/>
  <c r="I130" i="3"/>
  <c r="K130" i="3" s="1"/>
  <c r="I131" i="3"/>
  <c r="K131" i="3" s="1"/>
  <c r="I132" i="3"/>
  <c r="K132" i="3" s="1"/>
  <c r="I133" i="3"/>
  <c r="K133" i="3" s="1"/>
  <c r="I134" i="3"/>
  <c r="K134" i="3" s="1"/>
  <c r="I135" i="3"/>
  <c r="K135" i="3" s="1"/>
  <c r="I136" i="3"/>
  <c r="K136" i="3" s="1"/>
  <c r="I137" i="3"/>
  <c r="K137" i="3" s="1"/>
  <c r="I138" i="3"/>
  <c r="K138" i="3" s="1"/>
  <c r="I139" i="3"/>
  <c r="K139" i="3" s="1"/>
  <c r="I140" i="3"/>
  <c r="K140" i="3" s="1"/>
  <c r="I141" i="3"/>
  <c r="K141" i="3" s="1"/>
  <c r="I142" i="3"/>
  <c r="K142" i="3" s="1"/>
  <c r="I143" i="3"/>
  <c r="K143" i="3" s="1"/>
  <c r="I122" i="3" l="1"/>
  <c r="K122" i="3" s="1"/>
  <c r="I123" i="3"/>
  <c r="K123" i="3" s="1"/>
  <c r="I124" i="3"/>
  <c r="K124" i="3" s="1"/>
  <c r="I125" i="3"/>
  <c r="K125" i="3" s="1"/>
  <c r="I126" i="3"/>
  <c r="K126" i="3" s="1"/>
  <c r="I127" i="3"/>
  <c r="K127" i="3" s="1"/>
  <c r="I128" i="3"/>
  <c r="K128" i="3" s="1"/>
  <c r="I129" i="3"/>
  <c r="K129" i="3" s="1"/>
  <c r="I119" i="3"/>
  <c r="K119" i="3" s="1"/>
  <c r="I120" i="3"/>
  <c r="K120" i="3" s="1"/>
  <c r="I121" i="3"/>
  <c r="K121" i="3" s="1"/>
  <c r="I114" i="3" l="1"/>
  <c r="K114" i="3" s="1"/>
  <c r="I115" i="3"/>
  <c r="K115" i="3" s="1"/>
  <c r="I116" i="3"/>
  <c r="K116" i="3" s="1"/>
  <c r="I117" i="3"/>
  <c r="K117" i="3" s="1"/>
  <c r="I118" i="3"/>
  <c r="K118" i="3" s="1"/>
  <c r="I109" i="3" l="1"/>
  <c r="K109" i="3" s="1"/>
  <c r="I110" i="3"/>
  <c r="K110" i="3" s="1"/>
  <c r="I111" i="3"/>
  <c r="K111" i="3" s="1"/>
  <c r="I112" i="3"/>
  <c r="K112" i="3" s="1"/>
  <c r="I113" i="3"/>
  <c r="K113" i="3" s="1"/>
  <c r="I104" i="3" l="1"/>
  <c r="K104" i="3" s="1"/>
  <c r="I105" i="3"/>
  <c r="K105" i="3" s="1"/>
  <c r="I106" i="3"/>
  <c r="K106" i="3" s="1"/>
  <c r="I107" i="3"/>
  <c r="K107" i="3" s="1"/>
  <c r="I108" i="3"/>
  <c r="K108" i="3" s="1"/>
  <c r="I94" i="3"/>
  <c r="K94" i="3" s="1"/>
  <c r="I95" i="3"/>
  <c r="K95" i="3" s="1"/>
  <c r="I96" i="3"/>
  <c r="K96" i="3" s="1"/>
  <c r="I97" i="3"/>
  <c r="K97" i="3" s="1"/>
  <c r="I98" i="3"/>
  <c r="K98" i="3" s="1"/>
  <c r="I99" i="3"/>
  <c r="K99" i="3" s="1"/>
  <c r="I100" i="3"/>
  <c r="K100" i="3" s="1"/>
  <c r="I101" i="3"/>
  <c r="K101" i="3" s="1"/>
  <c r="I102" i="3"/>
  <c r="K102" i="3" s="1"/>
  <c r="I103" i="3"/>
  <c r="K103" i="3" s="1"/>
  <c r="I89" i="3" l="1"/>
  <c r="K89" i="3" s="1"/>
  <c r="I90" i="3"/>
  <c r="K90" i="3" s="1"/>
  <c r="I91" i="3"/>
  <c r="K91" i="3" s="1"/>
  <c r="I92" i="3"/>
  <c r="K92" i="3" s="1"/>
  <c r="I93" i="3"/>
  <c r="K93" i="3" s="1"/>
  <c r="I85" i="3"/>
  <c r="K85" i="3" s="1"/>
  <c r="I86" i="3"/>
  <c r="K86" i="3" s="1"/>
  <c r="I87" i="3"/>
  <c r="K87" i="3" s="1"/>
  <c r="I88" i="3"/>
  <c r="K88" i="3" s="1"/>
  <c r="I81" i="3" l="1"/>
  <c r="K81" i="3" s="1"/>
  <c r="I82" i="3"/>
  <c r="K82" i="3" s="1"/>
  <c r="I83" i="3"/>
  <c r="K83" i="3" s="1"/>
  <c r="I84" i="3"/>
  <c r="K84" i="3" s="1"/>
  <c r="I80" i="3"/>
  <c r="K80" i="3" s="1"/>
  <c r="I79" i="3"/>
  <c r="K79" i="3" s="1"/>
  <c r="I69" i="3" l="1"/>
  <c r="K69" i="3" s="1"/>
  <c r="I70" i="3"/>
  <c r="K70" i="3" s="1"/>
  <c r="I71" i="3"/>
  <c r="K71" i="3" s="1"/>
  <c r="I72" i="3"/>
  <c r="K72" i="3" s="1"/>
  <c r="I73" i="3"/>
  <c r="K73" i="3" s="1"/>
  <c r="I74" i="3"/>
  <c r="K74" i="3" s="1"/>
  <c r="I75" i="3"/>
  <c r="K75" i="3" s="1"/>
  <c r="I76" i="3"/>
  <c r="K76" i="3" s="1"/>
  <c r="I77" i="3"/>
  <c r="K77" i="3" s="1"/>
  <c r="I78" i="3"/>
  <c r="K78" i="3" s="1"/>
  <c r="I64" i="3"/>
  <c r="K64" i="3" s="1"/>
  <c r="I65" i="3"/>
  <c r="K65" i="3" s="1"/>
  <c r="I66" i="3"/>
  <c r="K66" i="3" s="1"/>
  <c r="I67" i="3"/>
  <c r="K67" i="3" s="1"/>
  <c r="I68" i="3"/>
  <c r="K68" i="3" s="1"/>
  <c r="I60" i="3" l="1"/>
  <c r="K60" i="3" s="1"/>
  <c r="I61" i="3"/>
  <c r="K61" i="3" s="1"/>
  <c r="I62" i="3"/>
  <c r="K62" i="3" s="1"/>
  <c r="I63" i="3"/>
  <c r="K63" i="3" s="1"/>
  <c r="I55" i="3"/>
  <c r="K55" i="3" s="1"/>
  <c r="I56" i="3"/>
  <c r="K56" i="3" s="1"/>
  <c r="I57" i="3"/>
  <c r="K57" i="3" s="1"/>
  <c r="I58" i="3"/>
  <c r="K58" i="3" s="1"/>
  <c r="I59" i="3"/>
  <c r="K59" i="3" s="1"/>
  <c r="I52" i="3"/>
  <c r="K52" i="3" s="1"/>
  <c r="I53" i="3"/>
  <c r="K53" i="3" s="1"/>
  <c r="I54" i="3"/>
  <c r="K54" i="3" s="1"/>
  <c r="I47" i="3"/>
  <c r="K47" i="3" s="1"/>
  <c r="I48" i="3"/>
  <c r="K48" i="3" s="1"/>
  <c r="I49" i="3"/>
  <c r="K49" i="3" s="1"/>
  <c r="I50" i="3"/>
  <c r="K50" i="3" s="1"/>
  <c r="I51" i="3"/>
  <c r="K51" i="3" s="1"/>
  <c r="I40" i="3" l="1"/>
  <c r="K40" i="3" s="1"/>
  <c r="I41" i="3"/>
  <c r="K41" i="3" s="1"/>
  <c r="I42" i="3"/>
  <c r="K42" i="3" s="1"/>
  <c r="I43" i="3"/>
  <c r="K43" i="3" s="1"/>
  <c r="I44" i="3"/>
  <c r="K44" i="3" s="1"/>
  <c r="I45" i="3"/>
  <c r="K45" i="3" s="1"/>
  <c r="I46" i="3"/>
  <c r="K46" i="3" s="1"/>
  <c r="I36" i="3"/>
  <c r="K36" i="3" s="1"/>
  <c r="I37" i="3"/>
  <c r="K37" i="3" s="1"/>
  <c r="I38" i="3"/>
  <c r="K38" i="3" s="1"/>
  <c r="I39" i="3"/>
  <c r="K39" i="3" s="1"/>
  <c r="I22" i="3"/>
  <c r="K22" i="3" s="1"/>
  <c r="I23" i="3"/>
  <c r="K23" i="3" s="1"/>
  <c r="I24" i="3"/>
  <c r="K24" i="3" s="1"/>
  <c r="I25" i="3"/>
  <c r="K25" i="3" s="1"/>
  <c r="I26" i="3"/>
  <c r="K26" i="3" s="1"/>
  <c r="I27" i="3"/>
  <c r="K27" i="3" s="1"/>
  <c r="I28" i="3"/>
  <c r="K28" i="3" s="1"/>
  <c r="I29" i="3"/>
  <c r="K29" i="3" s="1"/>
  <c r="I30" i="3"/>
  <c r="K30" i="3" s="1"/>
  <c r="I31" i="3"/>
  <c r="K31" i="3" s="1"/>
  <c r="I32" i="3"/>
  <c r="K32" i="3" s="1"/>
  <c r="I33" i="3"/>
  <c r="K33" i="3" s="1"/>
  <c r="I34" i="3"/>
  <c r="K34" i="3" s="1"/>
  <c r="I35" i="3"/>
  <c r="K35" i="3" s="1"/>
  <c r="I17" i="3"/>
  <c r="K17" i="3" s="1"/>
  <c r="I18" i="3"/>
  <c r="K18" i="3" s="1"/>
  <c r="I19" i="3"/>
  <c r="K19" i="3" s="1"/>
  <c r="I20" i="3"/>
  <c r="K20" i="3" s="1"/>
  <c r="I21" i="3"/>
  <c r="K21" i="3" s="1"/>
  <c r="I2" i="3"/>
  <c r="K2" i="3" s="1"/>
  <c r="I3" i="3"/>
  <c r="K3" i="3" s="1"/>
  <c r="I4" i="3"/>
  <c r="K4" i="3" s="1"/>
  <c r="I5" i="3"/>
  <c r="K5" i="3" s="1"/>
  <c r="I6" i="3"/>
  <c r="K6" i="3" s="1"/>
  <c r="I7" i="3"/>
  <c r="K7" i="3" s="1"/>
  <c r="I8" i="3"/>
  <c r="K8" i="3" s="1"/>
  <c r="I9" i="3"/>
  <c r="K9" i="3" s="1"/>
  <c r="I10" i="3"/>
  <c r="K10" i="3" s="1"/>
  <c r="I11" i="3"/>
  <c r="K11" i="3" s="1"/>
  <c r="I12" i="3"/>
  <c r="K12" i="3" s="1"/>
  <c r="I13" i="3"/>
  <c r="K13" i="3" s="1"/>
  <c r="I14" i="3"/>
  <c r="K14" i="3" s="1"/>
  <c r="I15" i="3"/>
  <c r="K15" i="3" s="1"/>
  <c r="I16" i="3"/>
  <c r="K16" i="3" s="1"/>
  <c r="I679" i="2" l="1"/>
  <c r="K679" i="2" s="1"/>
  <c r="I676" i="2"/>
  <c r="K676" i="2" s="1"/>
  <c r="I688" i="2"/>
  <c r="K688" i="2" s="1"/>
  <c r="I686" i="2"/>
  <c r="K686" i="2" s="1"/>
  <c r="I697" i="2"/>
  <c r="K697" i="2" s="1"/>
  <c r="I690" i="2"/>
  <c r="K690" i="2" s="1"/>
  <c r="I680" i="2"/>
  <c r="K680" i="2" s="1"/>
  <c r="I673" i="2"/>
  <c r="K673" i="2" s="1"/>
  <c r="I717" i="2"/>
  <c r="K717" i="2" s="1"/>
  <c r="I696" i="2"/>
  <c r="K696" i="2" s="1"/>
  <c r="I707" i="2"/>
  <c r="K707" i="2" s="1"/>
  <c r="I685" i="2"/>
  <c r="K685" i="2" s="1"/>
  <c r="I689" i="2"/>
  <c r="K689" i="2" s="1"/>
  <c r="I694" i="2"/>
  <c r="K694" i="2" s="1"/>
  <c r="I670" i="2"/>
  <c r="K670" i="2" s="1"/>
  <c r="I683" i="2"/>
  <c r="K683" i="2" s="1"/>
  <c r="I713" i="2"/>
  <c r="K713" i="2" s="1"/>
  <c r="I678" i="2"/>
  <c r="K678" i="2" s="1"/>
  <c r="I716" i="2"/>
  <c r="K716" i="2" s="1"/>
  <c r="I702" i="2"/>
  <c r="K702" i="2" s="1"/>
  <c r="I700" i="2"/>
  <c r="K700" i="2" s="1"/>
  <c r="I705" i="2"/>
  <c r="K705" i="2" s="1"/>
  <c r="I687" i="2"/>
  <c r="K687" i="2" s="1"/>
  <c r="I684" i="2"/>
  <c r="K684" i="2" s="1"/>
  <c r="I691" i="2"/>
  <c r="K691" i="2" s="1"/>
  <c r="I699" i="2"/>
  <c r="K699" i="2" s="1"/>
  <c r="I672" i="2"/>
  <c r="K672" i="2" s="1"/>
  <c r="I704" i="2"/>
  <c r="K704" i="2" s="1"/>
  <c r="I682" i="2"/>
  <c r="K682" i="2" s="1"/>
  <c r="I710" i="2"/>
  <c r="K710" i="2" s="1"/>
  <c r="I698" i="2"/>
  <c r="K698" i="2" s="1"/>
  <c r="I677" i="2"/>
  <c r="K677" i="2" s="1"/>
  <c r="I693" i="2"/>
  <c r="K693" i="2" s="1"/>
  <c r="I669" i="2"/>
  <c r="K669" i="2" s="1"/>
  <c r="I712" i="2"/>
  <c r="K712" i="2" s="1"/>
  <c r="I709" i="2"/>
  <c r="K709" i="2" s="1"/>
  <c r="I708" i="2"/>
  <c r="K708" i="2" s="1"/>
  <c r="I674" i="2"/>
  <c r="K674" i="2" s="1"/>
  <c r="I695" i="2"/>
  <c r="K695" i="2" s="1"/>
  <c r="I681" i="2"/>
  <c r="K681" i="2" s="1"/>
  <c r="I675" i="2"/>
  <c r="K675" i="2" s="1"/>
  <c r="I715" i="2"/>
  <c r="K715" i="2" s="1"/>
  <c r="I703" i="2"/>
  <c r="K703" i="2" s="1"/>
  <c r="I692" i="2"/>
  <c r="K692" i="2" s="1"/>
  <c r="I706" i="2"/>
  <c r="K706" i="2" s="1"/>
  <c r="I671" i="2"/>
  <c r="K671" i="2" s="1"/>
  <c r="I701" i="2"/>
  <c r="K701" i="2" s="1"/>
  <c r="I714" i="2"/>
  <c r="K714" i="2" s="1"/>
  <c r="I711" i="2"/>
  <c r="K711" i="2" s="1"/>
  <c r="A646" i="2" l="1"/>
  <c r="B650" i="2" s="1"/>
  <c r="A650" i="2" s="1"/>
  <c r="A624" i="2" l="1"/>
  <c r="B628" i="2" s="1"/>
  <c r="A628" i="2" s="1"/>
  <c r="D609" i="2" l="1"/>
  <c r="D608" i="2"/>
  <c r="D607" i="2"/>
  <c r="D606" i="2"/>
  <c r="D605" i="2"/>
  <c r="D604" i="2"/>
  <c r="D603" i="2"/>
  <c r="D602" i="2"/>
  <c r="D601" i="2"/>
  <c r="D600" i="2"/>
  <c r="D599" i="2"/>
  <c r="D598" i="2"/>
  <c r="A590" i="2"/>
  <c r="B594" i="2" s="1"/>
  <c r="A594" i="2" s="1"/>
  <c r="D583" i="2" l="1"/>
  <c r="D582" i="2"/>
  <c r="D581" i="2"/>
  <c r="D580" i="2"/>
  <c r="D579" i="2"/>
  <c r="D578" i="2"/>
  <c r="D577" i="2"/>
  <c r="D576" i="2"/>
  <c r="D575" i="2"/>
  <c r="D574" i="2"/>
  <c r="D573" i="2"/>
  <c r="A565" i="2"/>
  <c r="B569" i="2" s="1"/>
  <c r="A569" i="2" s="1"/>
  <c r="D555" i="2"/>
  <c r="D556" i="2"/>
  <c r="D557" i="2"/>
  <c r="D558" i="2"/>
  <c r="D554" i="2"/>
  <c r="D553" i="2"/>
  <c r="D552" i="2"/>
  <c r="D551" i="2"/>
  <c r="D550" i="2"/>
  <c r="D549" i="2"/>
  <c r="D548" i="2"/>
  <c r="D547" i="2"/>
  <c r="D546" i="2"/>
  <c r="D545" i="2"/>
  <c r="D544" i="2"/>
  <c r="A536" i="2"/>
  <c r="B540" i="2" s="1"/>
  <c r="A540" i="2" s="1"/>
  <c r="D520" i="2"/>
  <c r="D519" i="2"/>
  <c r="D529" i="2"/>
  <c r="D528" i="2"/>
  <c r="D527" i="2"/>
  <c r="D526" i="2"/>
  <c r="D525" i="2"/>
  <c r="D524" i="2"/>
  <c r="D523" i="2"/>
  <c r="D522" i="2"/>
  <c r="D521" i="2"/>
  <c r="A511" i="2"/>
  <c r="B515" i="2" s="1"/>
  <c r="A515" i="2" s="1"/>
  <c r="D504" i="2"/>
  <c r="D503" i="2"/>
  <c r="D502" i="2"/>
  <c r="D501" i="2"/>
  <c r="D500" i="2"/>
  <c r="D499" i="2"/>
  <c r="D498" i="2"/>
  <c r="D497" i="2"/>
  <c r="D496" i="2"/>
  <c r="D495" i="2"/>
  <c r="D494" i="2"/>
  <c r="D493" i="2"/>
  <c r="D492" i="2"/>
  <c r="A484" i="2"/>
  <c r="B488" i="2" s="1"/>
  <c r="A488" i="2" s="1"/>
  <c r="D476" i="2"/>
  <c r="D477" i="2"/>
  <c r="D475" i="2"/>
  <c r="D474" i="2"/>
  <c r="D473" i="2"/>
  <c r="D472" i="2"/>
  <c r="D471" i="2"/>
  <c r="D470" i="2"/>
  <c r="D469" i="2"/>
  <c r="D468" i="2"/>
  <c r="D467" i="2"/>
  <c r="D466" i="2"/>
  <c r="D465" i="2"/>
  <c r="D464" i="2"/>
  <c r="D463" i="2"/>
  <c r="A455" i="2"/>
  <c r="B459" i="2" s="1"/>
  <c r="A459" i="2" s="1"/>
  <c r="D444" i="2"/>
  <c r="D445" i="2"/>
  <c r="D446" i="2"/>
  <c r="D447" i="2"/>
  <c r="D448" i="2"/>
  <c r="D443" i="2"/>
  <c r="D442" i="2"/>
  <c r="D441" i="2"/>
  <c r="D440" i="2"/>
  <c r="D439" i="2"/>
  <c r="D438" i="2"/>
  <c r="D437" i="2"/>
  <c r="D436" i="2"/>
  <c r="A428" i="2"/>
  <c r="B432" i="2" s="1"/>
  <c r="A432" i="2" s="1"/>
  <c r="D415" i="2"/>
  <c r="D419" i="2"/>
  <c r="D420" i="2"/>
  <c r="D418" i="2"/>
  <c r="D417" i="2"/>
  <c r="D416" i="2"/>
  <c r="D414" i="2"/>
  <c r="D413" i="2"/>
  <c r="A405" i="2"/>
  <c r="B409" i="2" s="1"/>
  <c r="A409" i="2" s="1"/>
  <c r="D398" i="2"/>
  <c r="D397" i="2"/>
  <c r="D396" i="2"/>
  <c r="D395" i="2"/>
  <c r="D394" i="2"/>
  <c r="D393" i="2"/>
  <c r="A385" i="2"/>
  <c r="B389" i="2" s="1"/>
  <c r="A389" i="2" s="1"/>
  <c r="D378" i="2" l="1"/>
  <c r="D377" i="2"/>
  <c r="D376" i="2"/>
  <c r="D375" i="2"/>
  <c r="D374" i="2"/>
  <c r="D373" i="2"/>
  <c r="D372" i="2"/>
  <c r="D371" i="2"/>
  <c r="A363" i="2"/>
  <c r="B367" i="2" s="1"/>
  <c r="A367" i="2" s="1"/>
  <c r="D342" i="2" l="1"/>
  <c r="D343" i="2"/>
  <c r="D344" i="2"/>
  <c r="D345" i="2"/>
  <c r="D346" i="2"/>
  <c r="D347" i="2"/>
  <c r="D348" i="2"/>
  <c r="D349" i="2"/>
  <c r="D350" i="2"/>
  <c r="D351" i="2"/>
  <c r="D352" i="2"/>
  <c r="D353" i="2"/>
  <c r="D354" i="2"/>
  <c r="D355" i="2"/>
  <c r="D356" i="2"/>
  <c r="D341" i="2"/>
  <c r="D340" i="2"/>
  <c r="D339" i="2"/>
  <c r="D338" i="2"/>
  <c r="D337" i="2"/>
  <c r="D336" i="2"/>
  <c r="D335" i="2"/>
  <c r="D334" i="2"/>
  <c r="D333" i="2"/>
  <c r="D332" i="2"/>
  <c r="D331" i="2"/>
  <c r="D330" i="2"/>
  <c r="D329" i="2"/>
  <c r="D328" i="2"/>
  <c r="A320" i="2"/>
  <c r="B324" i="2" s="1"/>
  <c r="A324" i="2" s="1"/>
  <c r="D312" i="2" l="1"/>
  <c r="D311" i="2"/>
  <c r="D310" i="2"/>
  <c r="D309" i="2"/>
  <c r="D308" i="2"/>
  <c r="D307" i="2"/>
  <c r="D306" i="2"/>
  <c r="D305" i="2"/>
  <c r="D304" i="2"/>
  <c r="D303" i="2"/>
  <c r="D302" i="2"/>
  <c r="D301" i="2"/>
  <c r="D300" i="2"/>
  <c r="D299" i="2"/>
  <c r="A291" i="2"/>
  <c r="B295" i="2" s="1"/>
  <c r="A295" i="2" s="1"/>
  <c r="D275" i="2" l="1"/>
  <c r="D276" i="2"/>
  <c r="D277" i="2"/>
  <c r="D278" i="2"/>
  <c r="D279" i="2"/>
  <c r="D280" i="2"/>
  <c r="D281" i="2"/>
  <c r="D282" i="2"/>
  <c r="D283" i="2"/>
  <c r="D284" i="2"/>
  <c r="D274" i="2"/>
  <c r="D273" i="2"/>
  <c r="D272" i="2"/>
  <c r="D271" i="2"/>
  <c r="D270" i="2"/>
  <c r="D269" i="2"/>
  <c r="D268" i="2"/>
  <c r="A247" i="2"/>
  <c r="B251" i="2" s="1"/>
  <c r="A251" i="2" s="1"/>
  <c r="D238" i="2" l="1"/>
  <c r="D239" i="2"/>
  <c r="D237" i="2"/>
  <c r="D236" i="2"/>
  <c r="D235" i="2"/>
  <c r="D234" i="2"/>
  <c r="D233" i="2"/>
  <c r="A222" i="2"/>
  <c r="B226" i="2" s="1"/>
  <c r="A226" i="2" s="1"/>
  <c r="D202" i="2" l="1"/>
  <c r="D201" i="2"/>
  <c r="D213" i="2"/>
  <c r="D212" i="2"/>
  <c r="D211" i="2"/>
  <c r="D210" i="2"/>
  <c r="D209" i="2"/>
  <c r="D208" i="2"/>
  <c r="D207" i="2"/>
  <c r="D206" i="2"/>
  <c r="D205" i="2"/>
  <c r="D204" i="2"/>
  <c r="D203" i="2"/>
  <c r="D200" i="2"/>
  <c r="D199" i="2"/>
  <c r="D198" i="2"/>
  <c r="D197" i="2"/>
  <c r="A186" i="2"/>
  <c r="B190" i="2" s="1"/>
  <c r="A190" i="2" s="1"/>
  <c r="D179" i="2" l="1"/>
  <c r="D178" i="2"/>
  <c r="D177" i="2"/>
  <c r="D176" i="2"/>
  <c r="D175" i="2"/>
  <c r="D174" i="2"/>
  <c r="D173" i="2"/>
  <c r="D172" i="2"/>
  <c r="D171" i="2"/>
  <c r="D170" i="2"/>
  <c r="D169" i="2"/>
  <c r="D168" i="2"/>
  <c r="D167" i="2"/>
  <c r="D166" i="2"/>
  <c r="D165" i="2"/>
  <c r="D164" i="2"/>
  <c r="D163" i="2"/>
  <c r="D162" i="2"/>
  <c r="D161" i="2"/>
  <c r="D160" i="2"/>
  <c r="D159" i="2"/>
  <c r="D158" i="2"/>
  <c r="D157" i="2"/>
  <c r="D156" i="2"/>
  <c r="D155" i="2"/>
  <c r="D154" i="2"/>
  <c r="A139" i="2"/>
  <c r="B143" i="2" s="1"/>
  <c r="A143" i="2" s="1"/>
  <c r="D126" i="2" l="1"/>
  <c r="D127" i="2"/>
  <c r="D128" i="2"/>
  <c r="D129" i="2"/>
  <c r="D130" i="2"/>
  <c r="D131" i="2"/>
  <c r="D132" i="2"/>
  <c r="A93" i="2"/>
  <c r="B97" i="2" s="1"/>
  <c r="A97" i="2" s="1"/>
  <c r="D107" i="2"/>
  <c r="D108" i="2"/>
  <c r="D109" i="2"/>
  <c r="D110" i="2"/>
  <c r="D111" i="2"/>
  <c r="D112" i="2"/>
  <c r="D113" i="2"/>
  <c r="D114" i="2"/>
  <c r="D115" i="2"/>
  <c r="D116" i="2"/>
  <c r="D117" i="2"/>
  <c r="D118" i="2"/>
  <c r="D119" i="2"/>
  <c r="D120" i="2"/>
  <c r="D121" i="2"/>
  <c r="D122" i="2"/>
  <c r="D123" i="2"/>
  <c r="D124" i="2"/>
  <c r="D125" i="2"/>
  <c r="D86" i="2" l="1"/>
  <c r="D85" i="2"/>
  <c r="D84" i="2"/>
  <c r="D83" i="2"/>
  <c r="D82" i="2"/>
  <c r="D81" i="2"/>
  <c r="D80" i="2"/>
  <c r="D79" i="2"/>
  <c r="D78" i="2"/>
  <c r="D77" i="2"/>
  <c r="D76" i="2"/>
  <c r="D75" i="2"/>
  <c r="D74" i="2"/>
  <c r="D73" i="2"/>
  <c r="D72" i="2"/>
  <c r="D71" i="2"/>
  <c r="D70" i="2"/>
  <c r="D69" i="2"/>
  <c r="D68" i="2"/>
  <c r="A45" i="2"/>
  <c r="B49" i="2" s="1"/>
  <c r="A49" i="2" s="1"/>
  <c r="F39" i="2" l="1"/>
  <c r="F38" i="2"/>
  <c r="F37" i="2"/>
  <c r="F36" i="2"/>
  <c r="F35" i="2"/>
  <c r="F34" i="2"/>
  <c r="F33" i="2"/>
  <c r="F32" i="2"/>
  <c r="F31" i="2"/>
  <c r="F30" i="2"/>
  <c r="F29" i="2"/>
  <c r="F28" i="2"/>
  <c r="F27" i="2"/>
  <c r="F26" i="2"/>
  <c r="F25" i="2"/>
  <c r="F24" i="2"/>
  <c r="F23" i="2"/>
  <c r="F22" i="2"/>
  <c r="F21" i="2"/>
  <c r="A3" i="2"/>
  <c r="B7" i="2" s="1"/>
  <c r="A7" i="2" s="1"/>
</calcChain>
</file>

<file path=xl/sharedStrings.xml><?xml version="1.0" encoding="utf-8"?>
<sst xmlns="http://schemas.openxmlformats.org/spreadsheetml/2006/main" count="11129" uniqueCount="795">
  <si>
    <t>DATE</t>
  </si>
  <si>
    <t>RPS NO.</t>
  </si>
  <si>
    <t>STD</t>
  </si>
  <si>
    <t>FROM</t>
  </si>
  <si>
    <t>TO</t>
  </si>
  <si>
    <t>DISPATCH TIME</t>
  </si>
  <si>
    <t>IN TIME</t>
  </si>
  <si>
    <t>TIME TAKEN</t>
  </si>
  <si>
    <t>GIVEN TIME</t>
  </si>
  <si>
    <t>LATE HOURSY</t>
  </si>
  <si>
    <t>REMARK</t>
  </si>
  <si>
    <t>TACHING LOCATION</t>
  </si>
  <si>
    <t>MP09AL4132</t>
  </si>
  <si>
    <t>INDORE</t>
  </si>
  <si>
    <t>JABALPUR</t>
  </si>
  <si>
    <t>BHOPAL</t>
  </si>
  <si>
    <t>MP09HJ0138</t>
  </si>
  <si>
    <t>NAGPUR</t>
  </si>
  <si>
    <t>MP09GJ0125</t>
  </si>
  <si>
    <t>KOTA</t>
  </si>
  <si>
    <t>MP09DC1106</t>
  </si>
  <si>
    <t>MANDEEDIP</t>
  </si>
  <si>
    <t>MP09AR0473</t>
  </si>
  <si>
    <t>TELANGANA</t>
  </si>
  <si>
    <t>PITHAMPUR</t>
  </si>
  <si>
    <t>MP09ZQ0712</t>
  </si>
  <si>
    <t>BARODA</t>
  </si>
  <si>
    <t>MP09GH1506</t>
  </si>
  <si>
    <t>RATLAM</t>
  </si>
  <si>
    <t>MP09HJ0137</t>
  </si>
  <si>
    <t>MP09DT3986</t>
  </si>
  <si>
    <t>VAPI</t>
  </si>
  <si>
    <t>MP09GH9622</t>
  </si>
  <si>
    <t>KHANDWA</t>
  </si>
  <si>
    <t>MP09DJ9062</t>
  </si>
  <si>
    <t>DEWAS</t>
  </si>
  <si>
    <t>MP09ZZ6254</t>
  </si>
  <si>
    <t>MP09AL4126</t>
  </si>
  <si>
    <t>MP09ZZ6191</t>
  </si>
  <si>
    <t>MP09HH9712</t>
  </si>
  <si>
    <t>MP09DT3975</t>
  </si>
  <si>
    <t>MP09ZN4415</t>
  </si>
  <si>
    <t>MP09GH1505</t>
  </si>
  <si>
    <t>UJJIAN</t>
  </si>
  <si>
    <t>MP09DT3930</t>
  </si>
  <si>
    <t>SURAT</t>
  </si>
  <si>
    <t>MP09ZQ4541</t>
  </si>
  <si>
    <t>JAMSHEDPUR</t>
  </si>
  <si>
    <t>MP09AL4130</t>
  </si>
  <si>
    <t>AHEMDABAD</t>
  </si>
  <si>
    <t>MP09DT3096</t>
  </si>
  <si>
    <t>MP09AL4160</t>
  </si>
  <si>
    <t>MP09BK1620</t>
  </si>
  <si>
    <t>MP09GJ0933</t>
  </si>
  <si>
    <t>MP09HH6047</t>
  </si>
  <si>
    <t>UJJAIN</t>
  </si>
  <si>
    <t>MP09BK1677</t>
  </si>
  <si>
    <t>MP09DG4991</t>
  </si>
  <si>
    <t>MP09ZZ6242</t>
  </si>
  <si>
    <t>TOTAL CREATE RPS</t>
  </si>
  <si>
    <t>ON TIME ARRIVAL RPS</t>
  </si>
  <si>
    <t>LATE ARRIVAL RPS</t>
  </si>
  <si>
    <t>NOT CLOSED RPS</t>
  </si>
  <si>
    <t>TOTAL SCHEDULED RPS</t>
  </si>
  <si>
    <t>ON TIME DEPARTURE RPS</t>
  </si>
  <si>
    <t>LATE DEPARTURE RPS</t>
  </si>
  <si>
    <t>TOTAL MISSED RPS</t>
  </si>
  <si>
    <t xml:space="preserve">VEHICLE NUMBER </t>
  </si>
  <si>
    <t>STANDERD DISPATCH TIME</t>
  </si>
  <si>
    <t>LATE DISPATCH TIME</t>
  </si>
  <si>
    <t>REPORT BY:</t>
  </si>
  <si>
    <t>ADITYA CHOUHAN</t>
  </si>
  <si>
    <t xml:space="preserve">DAILY REPORT DEWAS TRUCK  </t>
  </si>
  <si>
    <t>RPS NO</t>
  </si>
  <si>
    <t>DEPARTURE DATE</t>
  </si>
  <si>
    <t>VEHICLE NO</t>
  </si>
  <si>
    <t>TOUCHING LOCATION NAME</t>
  </si>
  <si>
    <t>DELAY TO (DATE AND TIME) AT TOUCHING</t>
  </si>
  <si>
    <t>TOTAL HALTING AT TOUCHING</t>
  </si>
  <si>
    <t>TOUCHING HOUR PROVIDE BY COMPANY</t>
  </si>
  <si>
    <t>EXTRA HALTING AT TOUCHING HUB </t>
  </si>
  <si>
    <t>Status</t>
  </si>
  <si>
    <t>MP09ZQ0725</t>
  </si>
  <si>
    <t>MP09AL4117</t>
  </si>
  <si>
    <t>MP09DJ5081</t>
  </si>
  <si>
    <t>Neemuch</t>
  </si>
  <si>
    <t>MP09DT3921</t>
  </si>
  <si>
    <t>MP09DJ5053</t>
  </si>
  <si>
    <t>Aurangabad</t>
  </si>
  <si>
    <t>MP09ZN4498</t>
  </si>
  <si>
    <t>MP09BK2588</t>
  </si>
  <si>
    <t>Mandideep</t>
  </si>
  <si>
    <t>DAILY REPORT DEWAS TRUCK</t>
  </si>
  <si>
    <t>DRIVER NAME</t>
  </si>
  <si>
    <t>MP09ZY4281</t>
  </si>
  <si>
    <t>JHALAWAR</t>
  </si>
  <si>
    <t>RANCHI</t>
  </si>
  <si>
    <t>MP09DC1127</t>
  </si>
  <si>
    <t>BETUL</t>
  </si>
  <si>
    <t>MP09HH9717</t>
  </si>
  <si>
    <t>MP09ZY4232</t>
  </si>
  <si>
    <t>TRIP MISS RPS / HOLD / BREAKDOWN</t>
  </si>
  <si>
    <t>MP09ZY4289</t>
  </si>
  <si>
    <t>AURNGABAD</t>
  </si>
  <si>
    <t>MP09DC1135</t>
  </si>
  <si>
    <t>MP09AR0443</t>
  </si>
  <si>
    <t>HOLD AT NAGPUR</t>
  </si>
  <si>
    <t>TRIP MISS JABALPUR</t>
  </si>
  <si>
    <t>BRACK DOWN'</t>
  </si>
  <si>
    <t>MP09DC4991</t>
  </si>
  <si>
    <t>INDORE TOUCHING MISS 02-04-2026</t>
  </si>
  <si>
    <t>SCHEDULE LATE DEPARTURE 02-04-2026</t>
  </si>
  <si>
    <t>MP9BK1620</t>
  </si>
  <si>
    <t>INDORE TOUCHING MISS 03-04-2026</t>
  </si>
  <si>
    <t>SCHEDULE LATE DEPARTURE 03-04-2026</t>
  </si>
  <si>
    <t>0443</t>
  </si>
  <si>
    <t>TRIP MISS PITHAMPUR</t>
  </si>
  <si>
    <t>HOLD AT COIMBATUR</t>
  </si>
  <si>
    <t>HOLD AT HUGLI</t>
  </si>
  <si>
    <t>HOLD AT AHEMDABAD</t>
  </si>
  <si>
    <t>MP909ZZ6191</t>
  </si>
  <si>
    <t>AURANGABAD</t>
  </si>
  <si>
    <t>04 TO 05-04-2026</t>
  </si>
  <si>
    <t>INDORE TOUCHING MISS 04 TO 05-04-2026</t>
  </si>
  <si>
    <t>SCHEDULE LATE DEPARTURE 04 TO 05-04-2026</t>
  </si>
  <si>
    <t>TOUCHING LET</t>
  </si>
  <si>
    <t>NARSHINGHPUR</t>
  </si>
  <si>
    <t>INDORE TOUCHING MISS 06-04-2026</t>
  </si>
  <si>
    <t>SCHEDULE LATE DEPARTURE 06-04-2026</t>
  </si>
  <si>
    <t>INDORE TOUCHING MISS 07-04-2026</t>
  </si>
  <si>
    <t>SCHEDULE LATE DEPARTURE 07-04-2026</t>
  </si>
  <si>
    <t>INDORE TOUCHING MISS 08-04-2026</t>
  </si>
  <si>
    <t>SCHEDULE LATE DEPARTURE 08-04-2026</t>
  </si>
  <si>
    <t>MP09AL2588</t>
  </si>
  <si>
    <t>INDORE TOUCHING MISS 09-04-2026</t>
  </si>
  <si>
    <t>SCHEDULE LATE DEPARTURE 09-04-2026</t>
  </si>
  <si>
    <t>0473</t>
  </si>
  <si>
    <t>0428</t>
  </si>
  <si>
    <t>HOLD AT AURANGABAD</t>
  </si>
  <si>
    <t>HOLD AT FARIDABAD</t>
  </si>
  <si>
    <t>HOLD AT VAPI</t>
  </si>
  <si>
    <t>TRIP MISS AURNGABAD</t>
  </si>
  <si>
    <t>TRIP MISS JAMSHEDHPUR</t>
  </si>
  <si>
    <t>0725</t>
  </si>
  <si>
    <t>BRACK DOWN</t>
  </si>
  <si>
    <t>SCHEDULE LATE DEPARTURE 10-04-2026</t>
  </si>
  <si>
    <t>MP092588</t>
  </si>
  <si>
    <t>11  TO 12-04-2026</t>
  </si>
  <si>
    <t>SCHEDULE LATE DEPARTURE 11  TO 12-04-2026</t>
  </si>
  <si>
    <t>SCHEDULE LATE DEPARTURE 14-04-2026</t>
  </si>
  <si>
    <t>SCHEDULE LATE DEPARTURE 15-04-2026</t>
  </si>
  <si>
    <t>LATE HOURS</t>
  </si>
  <si>
    <t>DEFE TIME</t>
  </si>
  <si>
    <t>$ AMT.</t>
  </si>
  <si>
    <t>SCHEDULE LATE DEPARTURE 16-04-2026</t>
  </si>
  <si>
    <t>SCHEDULE LATE DEPARTURE 17-04-2026</t>
  </si>
  <si>
    <t>18-19-04-2026</t>
  </si>
  <si>
    <t>SCHEDULE LATE DEPARTURE 18-19-04-2026</t>
  </si>
  <si>
    <t>SCHEDULE LATE DEPARTURE 20-04-2026</t>
  </si>
  <si>
    <t>MP09GHJ0137</t>
  </si>
  <si>
    <t>SCHEDULE LATE DEPARTURE 21-04-2026</t>
  </si>
  <si>
    <t>SCHEDULE LATE DEPARTURE 22-04-2026</t>
  </si>
  <si>
    <r>
      <t xml:space="preserve">SCHEDULE LATE DEPARTURE </t>
    </r>
    <r>
      <rPr>
        <sz val="22"/>
        <color theme="1"/>
        <rFont val="Calibri"/>
        <family val="2"/>
        <scheme val="minor"/>
      </rPr>
      <t>26-04-2026</t>
    </r>
  </si>
  <si>
    <t>MP09ZO0712</t>
  </si>
  <si>
    <t>BURHANPUR</t>
  </si>
  <si>
    <t>MP09ZO0725</t>
  </si>
  <si>
    <t>TIME IN</t>
  </si>
  <si>
    <t>TIME OUT</t>
  </si>
  <si>
    <t>RPS</t>
  </si>
  <si>
    <t>V.NO.</t>
  </si>
  <si>
    <t>LET</t>
  </si>
  <si>
    <t>MP09ZY4210</t>
  </si>
  <si>
    <t>NARSHINGPUR</t>
  </si>
  <si>
    <t>JAMSEDPUR</t>
  </si>
  <si>
    <t>MANDSOUR</t>
  </si>
  <si>
    <t>MP09ZQ4551</t>
  </si>
  <si>
    <t>SINHORE</t>
  </si>
  <si>
    <t>DELAY FROM (TIME) AT TOUCHING</t>
  </si>
  <si>
    <t>indore</t>
  </si>
  <si>
    <t>JHABUA</t>
  </si>
  <si>
    <t>20.05.2026</t>
  </si>
  <si>
    <t>MUKESH DHAKAD</t>
  </si>
  <si>
    <t>RAHUL DAWAR</t>
  </si>
  <si>
    <t>NISHAR KHAN</t>
  </si>
  <si>
    <t>MARKET</t>
  </si>
  <si>
    <t>s.no</t>
  </si>
  <si>
    <t>TELANGANA-INDORE-INDORE</t>
  </si>
  <si>
    <t>INDORE-BURHANPUR-TELANGANA</t>
  </si>
  <si>
    <t>BARODA-INDORE-INDORE</t>
  </si>
  <si>
    <t>JABALPUR-NARSHINGPUR-INDORE</t>
  </si>
  <si>
    <t>JAMSEDPUR-RANCHI-INDORE</t>
  </si>
  <si>
    <t>ROUT (FROM - TOUCHING - DESTINATION)</t>
  </si>
  <si>
    <t>SHINHORE</t>
  </si>
  <si>
    <t>VAPI-INDORE-INDORE</t>
  </si>
  <si>
    <t>INDORE-BHOPAL-JABALPUR</t>
  </si>
  <si>
    <t>JABALPUR-NARSHINGHPUR-INDORE</t>
  </si>
  <si>
    <t>BHOPAL-SHINHORE-INDORE</t>
  </si>
  <si>
    <t>INDORE-SURAT-VAPI</t>
  </si>
  <si>
    <t>AHEMDABAD-INDORE-INDORE</t>
  </si>
  <si>
    <t>JAMSHEDPUT-RANCHI-INDORE</t>
  </si>
  <si>
    <t>21.05.2026</t>
  </si>
  <si>
    <t>INDORE-RANCHI-JAMSHEDPUR</t>
  </si>
  <si>
    <t>BHURAHNPUR</t>
  </si>
  <si>
    <t>MP09DC1108</t>
  </si>
  <si>
    <t>NNP</t>
  </si>
  <si>
    <t>SEHORE</t>
  </si>
  <si>
    <t>INDORE-BHURAHNPUR-TELANGANA</t>
  </si>
  <si>
    <t>KOTA-JHALAWAR-INDORE</t>
  </si>
  <si>
    <t>INDORE-INDORE-BHOPAL</t>
  </si>
  <si>
    <t>JABALPUR-NNP-INDORE</t>
  </si>
  <si>
    <t>AURNGABAD-INDORE-INDORE</t>
  </si>
  <si>
    <t>MANDOSUR</t>
  </si>
  <si>
    <t>25.05.2026</t>
  </si>
  <si>
    <t>INDORE-MANDOSUR-NEEMUCH</t>
  </si>
  <si>
    <t>INDORE-JHABUA-BARODA</t>
  </si>
  <si>
    <t>NAGPUR-BETUL-BHOPAL</t>
  </si>
  <si>
    <t>BARODA-INDORE-indore</t>
  </si>
  <si>
    <t>26.05.2026</t>
  </si>
  <si>
    <t>VAPI-SURAT-INDORE</t>
  </si>
  <si>
    <t>27.05.2026</t>
  </si>
  <si>
    <t>INDORE-JABALPUR-BHOPAL</t>
  </si>
  <si>
    <t>JABALPUR-INDORE-NARSHINGPUR</t>
  </si>
  <si>
    <t>BHOPAL-INDORE-SEHORE</t>
  </si>
  <si>
    <t>INDORE-VAPI-SURAT</t>
  </si>
  <si>
    <t>VAPI-INDORE-SURAT</t>
  </si>
  <si>
    <t>BRUHANPUR</t>
  </si>
  <si>
    <t>28.05.2026</t>
  </si>
  <si>
    <t>INDORE-BRUHANPUR-TELANGANA</t>
  </si>
  <si>
    <t>INDORE-MANDSOUR-NEEMUCH</t>
  </si>
  <si>
    <t>JHALAWAD</t>
  </si>
  <si>
    <t>JAMSHEDPUR-RANCHI-INDORE</t>
  </si>
  <si>
    <t>Aurangabad-INDORE-INDORE</t>
  </si>
  <si>
    <t>JITENDRA SEN</t>
  </si>
  <si>
    <t>CLOSSING RPS</t>
  </si>
  <si>
    <t>OK</t>
  </si>
  <si>
    <t>DONE</t>
  </si>
  <si>
    <t>SL No.</t>
  </si>
  <si>
    <t>Route</t>
  </si>
  <si>
    <t>PAY LOAD IN TONS</t>
  </si>
  <si>
    <t>ASSETS</t>
  </si>
  <si>
    <t>TRANSIT</t>
  </si>
  <si>
    <t>ETA</t>
  </si>
  <si>
    <t>VIA1</t>
  </si>
  <si>
    <t>INDORE OUTBOUND-11</t>
  </si>
  <si>
    <t>KOTA-11</t>
  </si>
  <si>
    <t>INDORE OUTBOUND-11-KOTA-11</t>
  </si>
  <si>
    <t>JHALAWAR-01</t>
  </si>
  <si>
    <t>TELANGANA HUB-11</t>
  </si>
  <si>
    <t>INDORE OUTBOUND-11-TELANGANA HUB-11</t>
  </si>
  <si>
    <t>BURHANPUR-01</t>
  </si>
  <si>
    <t>BARODA-11</t>
  </si>
  <si>
    <t>INDORE OUTBOUND-11-BARODA-11</t>
  </si>
  <si>
    <t>JHABUA-01</t>
  </si>
  <si>
    <t>JAMSHEDPUR-11</t>
  </si>
  <si>
    <t>INDORE OUTBOUND-11-JAMSHEDPUR-11</t>
  </si>
  <si>
    <t>RANCHI-11</t>
  </si>
  <si>
    <t>VAPI-11</t>
  </si>
  <si>
    <t>INDORE OUTBOUND-11-VAPI-11</t>
  </si>
  <si>
    <t>SURAT-11</t>
  </si>
  <si>
    <t>BHOPAL-11</t>
  </si>
  <si>
    <t>INDORE OUTBOUND-11-BHOPAL-11</t>
  </si>
  <si>
    <t>INDORE-11</t>
  </si>
  <si>
    <t>NEEMUCH-01</t>
  </si>
  <si>
    <t>INDORE-11-NEEMUCH-01</t>
  </si>
  <si>
    <t>MANDSAUR-01</t>
  </si>
  <si>
    <t>JABALPUR-11</t>
  </si>
  <si>
    <t>INDORE-11-JABALPUR-11</t>
  </si>
  <si>
    <t>AHMEDABAD OUTBOUND-11</t>
  </si>
  <si>
    <t>AHMEDABAD OUTBOUND-11-INDORE-11</t>
  </si>
  <si>
    <t>BARODA-11-INDORE OUTBOUND-11</t>
  </si>
  <si>
    <t>BHOPAL-11-INDORE OUTBOUND-11</t>
  </si>
  <si>
    <t>SEHORE-01</t>
  </si>
  <si>
    <t>JABALPUR-11-INDORE OUTBOUND-11</t>
  </si>
  <si>
    <t>NARSINGHPUR-01</t>
  </si>
  <si>
    <t>JAMSHEDPUR-11-INDORE-11</t>
  </si>
  <si>
    <t>KOTA-11-INDORE OUTBOUND-11</t>
  </si>
  <si>
    <t>NEEMUCH-01-INDORE OUTBOUND-11</t>
  </si>
  <si>
    <t>TELANGANA HUB-11-INDORE OUTBOUND-11</t>
  </si>
  <si>
    <t>VAPI-11-INDORE-11</t>
  </si>
  <si>
    <t>VAPI-11-INDORE OUTBOUND-11</t>
  </si>
  <si>
    <t>NAGPUR BUTIBORI-11</t>
  </si>
  <si>
    <t>NAGPUR BUTIBORI-11-BHOPAL-11</t>
  </si>
  <si>
    <t>BETUL-01</t>
  </si>
  <si>
    <t>;</t>
  </si>
  <si>
    <t>NEEMUCH</t>
  </si>
  <si>
    <t>BALWANT SINGH</t>
  </si>
  <si>
    <t>KAMAL LODHA</t>
  </si>
  <si>
    <t>MAHESWAR</t>
  </si>
  <si>
    <t>SUNEEL CHOHAN</t>
  </si>
  <si>
    <t>MOHAN PRAJAPATI</t>
  </si>
  <si>
    <t>PRAKASH KEER</t>
  </si>
  <si>
    <t>INDORE-JHABUWA-BARODA</t>
  </si>
  <si>
    <t>INDORE-JHALAWAR-KOTA</t>
  </si>
  <si>
    <t>ARJUN PATEL</t>
  </si>
  <si>
    <t>HUKUM PATEL</t>
  </si>
  <si>
    <t>LOKESH SOLANKI</t>
  </si>
  <si>
    <t>DINESH KANSE</t>
  </si>
  <si>
    <t>DHARMENDRA YADAW</t>
  </si>
  <si>
    <t>SALAMAT ALI</t>
  </si>
  <si>
    <t>KHUMAN SINGH</t>
  </si>
  <si>
    <t>RITESH PRAJAPATI</t>
  </si>
  <si>
    <t>JITENDRA DAWAR</t>
  </si>
  <si>
    <t>01.07.2026</t>
  </si>
  <si>
    <t>02.07.2026</t>
  </si>
  <si>
    <t>INDORE-JHALAWAD-KOTA</t>
  </si>
  <si>
    <t>JHALWAD</t>
  </si>
  <si>
    <t>POONAM CHANDRA</t>
  </si>
  <si>
    <t>MP09AR0428</t>
  </si>
  <si>
    <t>03.07.2026</t>
  </si>
  <si>
    <t>04.07.2026</t>
  </si>
  <si>
    <t>05.07.2026</t>
  </si>
  <si>
    <t>BHOPAL-SEHORE-INDORE</t>
  </si>
  <si>
    <t>JHABUWA</t>
  </si>
  <si>
    <t>06.07.2026</t>
  </si>
  <si>
    <t>07.07.2026</t>
  </si>
  <si>
    <t>08.07.2026</t>
  </si>
  <si>
    <t>STATUS</t>
  </si>
  <si>
    <t>09.07.2026</t>
  </si>
  <si>
    <t>10.07.2026</t>
  </si>
  <si>
    <t>M</t>
  </si>
  <si>
    <t>11.07.2026</t>
  </si>
  <si>
    <t>12.07.2026</t>
  </si>
  <si>
    <t>13.07.2026</t>
  </si>
  <si>
    <t>BHOPAL-SINHORE-INDORE</t>
  </si>
  <si>
    <t>14.07.2026</t>
  </si>
  <si>
    <t>15.07.2026</t>
  </si>
  <si>
    <t>SONU RAJPUT</t>
  </si>
  <si>
    <t>16.07.2026</t>
  </si>
  <si>
    <t>17.07.2026</t>
  </si>
  <si>
    <t>AARIF KHAN</t>
  </si>
  <si>
    <t>18.07.2026</t>
  </si>
  <si>
    <t>19.07.2026</t>
  </si>
  <si>
    <t>20.07.2026</t>
  </si>
  <si>
    <t>JITENDRA NAGAR</t>
  </si>
  <si>
    <t>21.07.2026</t>
  </si>
  <si>
    <t>22.07.2026</t>
  </si>
  <si>
    <t>NEEMUCH-MANDSOUR-INDORE</t>
  </si>
  <si>
    <t>NARSINGHPUR</t>
  </si>
  <si>
    <t>23.07.2026</t>
  </si>
  <si>
    <t>24.07.2026</t>
  </si>
  <si>
    <t>25.07.2026</t>
  </si>
  <si>
    <t>26.07.2026</t>
  </si>
  <si>
    <t>KOTA-JHALAWAD-INDORE</t>
  </si>
  <si>
    <t>27.07.2026</t>
  </si>
  <si>
    <t>28.07.2026</t>
  </si>
  <si>
    <t>29.07.2026</t>
  </si>
  <si>
    <t>Indore</t>
  </si>
  <si>
    <t>Jamsedpur</t>
  </si>
  <si>
    <t>Jabalpur</t>
  </si>
  <si>
    <t>Bhopal</t>
  </si>
  <si>
    <t>S.No</t>
  </si>
  <si>
    <t>RPS No.</t>
  </si>
  <si>
    <t>RPS Date</t>
  </si>
  <si>
    <t>From </t>
  </si>
  <si>
    <t>To</t>
  </si>
  <si>
    <t xml:space="preserve">Vehicle </t>
  </si>
  <si>
    <t>Reason of Diversion</t>
  </si>
  <si>
    <t> Toll Amount</t>
  </si>
  <si>
    <t>Total Extra KM</t>
  </si>
  <si>
    <t>Extra Transit Hour</t>
  </si>
  <si>
    <t xml:space="preserve">Sehore Bypass Closed </t>
  </si>
  <si>
    <t>1 Hrs</t>
  </si>
  <si>
    <t>3 Hrs</t>
  </si>
  <si>
    <t>MANDSAUR</t>
  </si>
  <si>
    <t>30.07.2026</t>
  </si>
  <si>
    <t>31.07.2026</t>
  </si>
  <si>
    <t>01.08.2026</t>
  </si>
  <si>
    <t>CHANDRA SHEKHAR</t>
  </si>
  <si>
    <t>RAFIQ KHAN</t>
  </si>
  <si>
    <t>MUBARIK ALI</t>
  </si>
  <si>
    <t>AMAR BAHADUR</t>
  </si>
  <si>
    <t>NA</t>
  </si>
  <si>
    <t>.</t>
  </si>
  <si>
    <t>MAHADEV YADAW</t>
  </si>
  <si>
    <t>KAMAL RATHORE</t>
  </si>
  <si>
    <t>KISHORE LODHA</t>
  </si>
  <si>
    <t>BANGLORE</t>
  </si>
  <si>
    <t>02.08.2026</t>
  </si>
  <si>
    <t>FARUQ KHAN</t>
  </si>
  <si>
    <t>SHEKHAR PATEL</t>
  </si>
  <si>
    <t>VINOD MALVIYA</t>
  </si>
  <si>
    <t>ARMAAN KHAN</t>
  </si>
  <si>
    <t>DEVRAJ YADUVANSHI</t>
  </si>
  <si>
    <t>ABHISHEK VISHWAKARMA</t>
  </si>
  <si>
    <t>ANOKHILAL SOLANKI</t>
  </si>
  <si>
    <t>MOHAN YADAW</t>
  </si>
  <si>
    <t>MAHENDRA PRAJAPATI</t>
  </si>
  <si>
    <t>03.08.2026</t>
  </si>
  <si>
    <t>04.08.2026</t>
  </si>
  <si>
    <t>VIJAY KUMAWAT</t>
  </si>
  <si>
    <t>SUKUL PATEL</t>
  </si>
  <si>
    <t>BABLU RAWAT</t>
  </si>
  <si>
    <t>ABHISHEK YADAW</t>
  </si>
  <si>
    <t>m</t>
  </si>
  <si>
    <t>Jam Ke Karand Let</t>
  </si>
  <si>
    <t>20Ltr Extra Disel Lag Raha Hai, Gadi Pickup Nahi Bana Rhai Hai</t>
  </si>
  <si>
    <t>Kamlesh Sharma Ke Karand Gadi Let</t>
  </si>
  <si>
    <t>Bhopal Bypass Par Jam Ke Karand Let</t>
  </si>
  <si>
    <t>Touching Pr Gadi Waps Rok Li Thi Mal Reh Gaya Tha Bharne Ka To Seal Kat Kr Waps Seal Lagai Safe Se Mal Load Kr Ke</t>
  </si>
  <si>
    <t>Touching Let</t>
  </si>
  <si>
    <t>Vapi Me Barish Hone K Karand Let Hogi</t>
  </si>
  <si>
    <t>Indore Se Gadi Late Nikli</t>
  </si>
  <si>
    <t>Barish Ke Karnd Gadi Let</t>
  </si>
  <si>
    <t>Khargone Ho Kar Ai Gadi Is Karnd Se Let</t>
  </si>
  <si>
    <t>Gadi Let Ho Jaygi Jam Ke Karand</t>
  </si>
  <si>
    <t>Market</t>
  </si>
  <si>
    <t>Nind Ane Ke Karand Or Gadi Pickukp Bhi Nahi Bana Rahi Hai</t>
  </si>
  <si>
    <t>Tyre Foot Jane Ki Vjh Se Late</t>
  </si>
  <si>
    <t>Taching Se Gadi Late Chodi Hai</t>
  </si>
  <si>
    <t>Touching Se Gadi Late Chodi Hai</t>
  </si>
  <si>
    <t>New Routh Se Aane Ki Vjh Se Late</t>
  </si>
  <si>
    <t>Driver Na Hone Ki Vjh Se Late</t>
  </si>
  <si>
    <t>Jaam K Karan Gadi Late Hui Hai</t>
  </si>
  <si>
    <t>Driver Issue K Karan Gadi Late Hui Hai</t>
  </si>
  <si>
    <t>Manpur Ghat Par Jam Laga Hua Tha Or Gadi Indore Se Kam Karwa K Nikli Thi</t>
  </si>
  <si>
    <t>Jamsedpur Me Jaam Laga Hua Hai Isliye Gadi Late Hui Hai</t>
  </si>
  <si>
    <t>2 Ghante Touching Par Late , Vapi Se Niklte Hi Jaam Laga Hua Tha</t>
  </si>
  <si>
    <t>Aandhi Tufan K Karan Gadi Late Ho Gai Hai</t>
  </si>
  <si>
    <t>Manpur Ghat Me Jaam Laga Hua H, Mh Border Par Jam Laga Hua Hai Gadi Late Ho Jayegi</t>
  </si>
  <si>
    <t>Taching Par Gadi Hold Thi</t>
  </si>
  <si>
    <t>Dhara Me Jaam Or Bich Me Light Lene Ruka Tha Jske Karan Gadi Late Hui</t>
  </si>
  <si>
    <t>Gadi Ka Tyre Fut Gya Hai, Jbl Se Pehle Tollparjaam Laga Hua Hai Jiske Karan Gadi Late Hogi</t>
  </si>
  <si>
    <t>Takniki Problem K Karan Gadi Late Hui</t>
  </si>
  <si>
    <t>Sehore Me Gadi Ghumke Aai Isliye Late Hui Hai</t>
  </si>
  <si>
    <t>Driver Isye</t>
  </si>
  <si>
    <t>Patan K Pas Jam Laga Hua Hia Jiske Karan Gadi Late Hui Hai</t>
  </si>
  <si>
    <t>Accident Ke Karan Jaam Laga Hua Hai</t>
  </si>
  <si>
    <t>Gadi Light Ka Kam Karwaya Mangliya M, Touching Pr Let Chodi</t>
  </si>
  <si>
    <t>Gadi Time Par Pahuch Gai Thi Taching Par Late Hui Haii</t>
  </si>
  <si>
    <t>Gadi 8No Highway Par Jaam K Karan Late Hui Hai</t>
  </si>
  <si>
    <t>Desal Ke Liye Indore Se Late Nikli Thi Isliye Gadi Late Hui Hai</t>
  </si>
  <si>
    <t>Jaam Laga Hua Hai Gadi Late Ho Gi</t>
  </si>
  <si>
    <t>Jaam K Karn Gddi Late</t>
  </si>
  <si>
    <t>Gadi Aurangabad Se 15:15 Par Nikali Hai</t>
  </si>
  <si>
    <t>Jhalawad Taching Par Gadi Hold Thii Isliye Gadi Late Hui Hai Or Driver Isye</t>
  </si>
  <si>
    <t>Gadi Mandsor Taching Se Late Chodi Hai,Dodhar K Pas Jaam Laga Hua Hai. Isliye Gadi Late Hui Hai</t>
  </si>
  <si>
    <t>Driver Gadi Par Late Aaya Jiske Karan Gadi Late Hui Hai</t>
  </si>
  <si>
    <t>Driver Issue</t>
  </si>
  <si>
    <t>Cng Pump Par Line Lagi Hui Thi Jiske Karan Gadi Late Hui</t>
  </si>
  <si>
    <t>Diesel Bharwane Ke Karan Gadi Late Hui Hai Gadi</t>
  </si>
  <si>
    <t>Breakdown K Karan Gadi Late Hui Hai</t>
  </si>
  <si>
    <t>Sehore Taching Band Tha Subah, Toll Par Jam Laga Hua Hone K Karan Gadi Late</t>
  </si>
  <si>
    <t>Vapi Jaam K Karan Gadi Late Hui Hai</t>
  </si>
  <si>
    <t>Railway Gat Band Ho Gaya Tha Or Railway Ka Kam Chal Rha Tha Is Liye Let Hui Hai</t>
  </si>
  <si>
    <t>Vapi Se Niklte Hi Jaam Laga Hua Hai Or Surat Taching Par Gadi Late</t>
  </si>
  <si>
    <t>Mandsour Nahi Gai Gadi</t>
  </si>
  <si>
    <t>Jhabua Me Barish Tej Ho Rahi Hai Gadi Late Ho Sakti Hai</t>
  </si>
  <si>
    <t>Touching Par Gadi Nhi Ruki</t>
  </si>
  <si>
    <t>Songad Railway Station Par Jam Lag Raha Hai</t>
  </si>
  <si>
    <t>Bijasan Ghat Me Jam Laga Hua Hai</t>
  </si>
  <si>
    <t>Driver Issye</t>
  </si>
  <si>
    <t>05.08.2026</t>
  </si>
  <si>
    <t>JHALAWAD SAFEX OPEN NHI HUA THA JISKE KARAN GADI LATE HUI</t>
  </si>
  <si>
    <t>NIMKHEDA ME JAAM LAG RAHA HAI</t>
  </si>
  <si>
    <t>ABHISHEK CHOUHAN</t>
  </si>
  <si>
    <t>DRIVER ISSUE</t>
  </si>
  <si>
    <t>MAHESWAR SAFEX BAND THA GADI JALDI PAHUCH GAI HAI, OR GANESHGHAT ME JAAM LAGA HUA THA</t>
  </si>
  <si>
    <t>TOUCHING ME AADHA GHANTA LATE THI GADI</t>
  </si>
  <si>
    <t>TACHING PAR TIME LAGA HAI</t>
  </si>
  <si>
    <t>TACHING PAR TIME LAGA JISKE KARAN GADI LATE HUI HAI</t>
  </si>
  <si>
    <t>MUKESH WASKALE</t>
  </si>
  <si>
    <t>GADI KI LIGHT BAND HO AII THI JISKE KARAN GADDI LATE HUI HAI</t>
  </si>
  <si>
    <t>SUKET SE PEHLE ACCIDENT HO GAYA HAI JISKE KRAN GADI LATE HO JAYEGI</t>
  </si>
  <si>
    <t>PATAN ME JAAM LAG RAHA HAI</t>
  </si>
  <si>
    <t>RAJESH RATHORE</t>
  </si>
  <si>
    <t>LOCKNOW</t>
  </si>
  <si>
    <t>Suresh Singh Bhati</t>
  </si>
  <si>
    <t>06.08.2026</t>
  </si>
  <si>
    <t>KALPESH SISODIYA</t>
  </si>
  <si>
    <t>START NHI HONE KI VJH SE LATE</t>
  </si>
  <si>
    <t>DRRIVER ISSUE</t>
  </si>
  <si>
    <t>DIGVIJAY SINGH</t>
  </si>
  <si>
    <t>MEHRBAAN SINGH</t>
  </si>
  <si>
    <t>AJAY BAMANIYA</t>
  </si>
  <si>
    <t>07.08.2026</t>
  </si>
  <si>
    <t>TACHING SE GADI LATE CHODI HAI</t>
  </si>
  <si>
    <t>SHAKTI RAJ</t>
  </si>
  <si>
    <t>PAWAN VISHWAKARMA</t>
  </si>
  <si>
    <t>NARSINGPUR ME EK GHANTA LATE CHODI HAI, BHOJPUR TOLL PAR JAM LAGA HAU HAI</t>
  </si>
  <si>
    <t>GADI KA KAM KARWAYA HAI SEHORE ME</t>
  </si>
  <si>
    <t>-</t>
  </si>
  <si>
    <t>Driver Ne Rps Nhai Dala Hai Na Touching Time Dala Hai, Driver Issye</t>
  </si>
  <si>
    <t>Bhopal Company K Pas Gadi Punture Ho Gai Gadi Breakdown Hai</t>
  </si>
  <si>
    <t xml:space="preserve">Patna Me Jam Lag Rha Hai </t>
  </si>
  <si>
    <t>Tyre Fut Gaya Tha Indore Mangliya Mee Hi Change Karne Me Time Laga H Jiske Karan Gadi Late Hui</t>
  </si>
  <si>
    <t>Taching Par Gadi Late Hui Hai</t>
  </si>
  <si>
    <t>Battery Fut Gai Thi Meragaw Me Isliye Gadi Late Hui Hai</t>
  </si>
  <si>
    <t>Sehore Touching Se Late Chodi</t>
  </si>
  <si>
    <t>Mapur Me Jaam Laga Hua Hai</t>
  </si>
  <si>
    <t>Gunawad Me Jaam K Karan Gadi Late Hui Hai</t>
  </si>
  <si>
    <t>Vapi Se Nikalte Hi Jaam Mila</t>
  </si>
  <si>
    <t>Taching Par Gadi Late Chodi Hai</t>
  </si>
  <si>
    <t xml:space="preserve">New Driver Rps Nahi Diya </t>
  </si>
  <si>
    <t>Gadi Ki Service Hone K Karan Gadi Late</t>
  </si>
  <si>
    <t>Toll Par Jam K Karan Gadi Late Hui Hai</t>
  </si>
  <si>
    <t>Narshinghpur Nahi Ruki Hai Gadi</t>
  </si>
  <si>
    <t>Dhule Me Gadi Ka Tyre Fut Gaya Hai, Breck Down</t>
  </si>
  <si>
    <t>Jaam Or Gadi Ka Kam Karwaya Hai Jiske Karan Gadi Late Ho Jayegi</t>
  </si>
  <si>
    <t>Vapi Se Niklate Hi Jam Laga Hua Hai</t>
  </si>
  <si>
    <t>Barish Or Jaam K Karan Gadi Late Hui Hai</t>
  </si>
  <si>
    <t>9712 Ka Tyre Khulwane K Liyee Raste Me Gadi Ruki Thi</t>
  </si>
  <si>
    <t>Tyre Change Hue Jiske Karan Gadi Late</t>
  </si>
  <si>
    <t>Gadi Break Down Hai</t>
  </si>
  <si>
    <t xml:space="preserve">New Driver Fist Trip </t>
  </si>
  <si>
    <t>Uria Lene K Karan Gadi Late Hui Hai</t>
  </si>
  <si>
    <t>3930 Gadi Ko Disel Dene K Karan Gadi Late Hui Hai</t>
  </si>
  <si>
    <t>Vapi Se Niklte Hi Jam Laga Hua Hai</t>
  </si>
  <si>
    <t>Toll K Pass Jaam Kk Karan Gadi Late Hui H</t>
  </si>
  <si>
    <t>08.08.2026</t>
  </si>
  <si>
    <t>KAWAD YATRA K KARAN JAAM MILA</t>
  </si>
  <si>
    <t>BOLT DALWANE K KARAN GADI LATE HAI, DHARA KI NAAL ME JAAM LAGA HAI</t>
  </si>
  <si>
    <t>MANDSOUR TOUCHING SE GADI LATE CHODI HAI</t>
  </si>
  <si>
    <t>BETUL TOUCHING SE GADI LATE CHUTI HAI</t>
  </si>
  <si>
    <t>FASTAKE ME BALANCE KHMT HO JANE KI VJH SE LATE</t>
  </si>
  <si>
    <t>UDAIPUR TOLL NAA KATNE KI WAJAH SE GADI LATE HO SAKTI HAI</t>
  </si>
  <si>
    <t>MSANMD K PEHLE JAAM LAGA HUA HAI</t>
  </si>
  <si>
    <t>MANDIDEEP</t>
  </si>
  <si>
    <t>MANDDIP TIME PAR THI PAR GODAM OPEN NHI HUA THA</t>
  </si>
  <si>
    <t>KHALGHAT-KHARGONE HOKAR JANE ME LATE</t>
  </si>
  <si>
    <t>LUCKNOW</t>
  </si>
  <si>
    <t>09.08.2026</t>
  </si>
  <si>
    <t>JAAM ME LATE</t>
  </si>
  <si>
    <t>SENDHWA ME AADIVASI DIWAS HONE KI VJH SE NO ENTRY KI VJH SELATE</t>
  </si>
  <si>
    <t>GADI INDORE SE 23:59 NIKALI DRIVER NA HONE K KARAN GADI LATE HUI HAI</t>
  </si>
  <si>
    <t>MALEGAON JAAM ME LATE-BREAK NA AANE KI VJH SE LATE</t>
  </si>
  <si>
    <t>TACHING SE GADI LATE CHUTI HAI</t>
  </si>
  <si>
    <t>SURAT TOUCHING SE GADI LATE CHODI HAI</t>
  </si>
  <si>
    <t>1 HOUR EXTRA DIYA HAI</t>
  </si>
  <si>
    <t>SEHORE TOLL K PAS JAAM K KARAN GADI LATEE HUI HAI</t>
  </si>
  <si>
    <t>INDORE TOUCHING PAR GADII LATE HUI HAI</t>
  </si>
  <si>
    <t>TACHING PAR GADI LATE HUI</t>
  </si>
  <si>
    <t>TOUCHING PAR GADI PEHLE PAHUCH GAI THI PAR BAND THA JISKE KARAN GADI LATE HUI HAI</t>
  </si>
  <si>
    <t>SURAT TACHING PAR GADI LATE HUI HAI</t>
  </si>
  <si>
    <t>SEHORE KAWAD YATRA K KARAN GADI LATE HAI</t>
  </si>
  <si>
    <t>KOTA SE GADI HALF HOURLATE CHODI THI JISKE KARAN GADI LATE HUI HAI</t>
  </si>
  <si>
    <t>PARVATIPUR ME GADI ROK DI GAI THI 5  GHNATE TAK-BGHICHA ROAD BAND HONE KI VJH SE PATHALGAON GHUM KAR GYI.</t>
  </si>
  <si>
    <t>AMBIKAPUR K PASS POLICE NE GADI ROKDI THI RAT KO 12 BAJE TAK RASTA BAND THA</t>
  </si>
  <si>
    <t xml:space="preserve">Bithday tha is liye ruk gaya tha rste ne </t>
  </si>
  <si>
    <t>AMBIKAPUR K PASS POLICE NE GADI ROKDI THI, rasta band hone k karand</t>
  </si>
  <si>
    <t>10.08.2026</t>
  </si>
  <si>
    <t>TACHING PAR GADI LATE HUII HAI</t>
  </si>
  <si>
    <t>BARISH K KARAN JAAM LAGA HUA HAI RASTO ME</t>
  </si>
  <si>
    <t>BETUL TOUCHING SE GADI LATE CHODI HAI</t>
  </si>
  <si>
    <t>TOUCHING PAR GADI LATE HAI</t>
  </si>
  <si>
    <t>AASTA ME GADI KA KAM KARWAYA HAI</t>
  </si>
  <si>
    <t>GADI KA TYRE KHARAB HO GAYA HAI</t>
  </si>
  <si>
    <t>ok</t>
  </si>
  <si>
    <t>ARJUN CHOUHAN</t>
  </si>
  <si>
    <t>TACHING PAR GADI LATE HUI HAI</t>
  </si>
  <si>
    <t>SEHORE ME JAAM LAGA HUA HAI</t>
  </si>
  <si>
    <t>GADI START NHI HO RAHI HAI</t>
  </si>
  <si>
    <t>JAAM K KARAN GADI LATE HUI HAI</t>
  </si>
  <si>
    <t>mandsour touching pr gadi nahi ruki</t>
  </si>
  <si>
    <t>VAPI SE NIKLTE HI JAAM MILA HAI GADI LATE HO JAYEGI, adiwasi diwas k krnd let</t>
  </si>
  <si>
    <t>11.08.2026</t>
  </si>
  <si>
    <t>DHARA KI NAL ME JAAM KLAGA HUA HAI</t>
  </si>
  <si>
    <t>RASTE ME DIESEL K LIYE RUKI THI 1HR\</t>
  </si>
  <si>
    <t>TOUCHING PAR GADI LATE HUI HAI</t>
  </si>
  <si>
    <t>DEASEL KHATM HO JANE KI VJH SE LATE</t>
  </si>
  <si>
    <t>DRIVER GET PAR SE GIR GAYA THA SOLDER SWALING HO GYA THA TO GADI CHALANE ME DIKAT ARHI THI IS LIYE LET HO GAYA</t>
  </si>
  <si>
    <t>RANCHI KA TIME RPS PR MISS HAI</t>
  </si>
  <si>
    <t>GADI BREAKDOWN K KARAN LATE HUI HAI</t>
  </si>
  <si>
    <t>ROAD BAND K KARAN GADI ALIGAD ME KHADI HAI</t>
  </si>
  <si>
    <t>12.08.2026</t>
  </si>
  <si>
    <t>UJJAIN ME BREAKDOWN HONE KI VJH SE LATE</t>
  </si>
  <si>
    <t>BETUL TOUCHING SE GADII LATE CHUTI HAI</t>
  </si>
  <si>
    <t>UDAIPURA TOLL K PASS JAAM LAGA HUA HAI</t>
  </si>
  <si>
    <t>touching let</t>
  </si>
  <si>
    <t>touching se let choda</t>
  </si>
  <si>
    <t>rout divert hone k karnd</t>
  </si>
  <si>
    <t>DUSRA DRIVER HONE K KARAN GADI LATE HUI HAI</t>
  </si>
  <si>
    <t>KAWAD KE KARAN RASTE BAND KARR RAKHE THE AMBIKAPURR K PASS JISKE KARAN GADII LATE HAI</t>
  </si>
  <si>
    <t>TOLL PAR JAAM HONE K KARAN GADI LATE HUI HAI</t>
  </si>
  <si>
    <t>GADI INDORE SE 12 BAJE NIKLI THI</t>
  </si>
  <si>
    <t xml:space="preserve">MAANMAD K JAAM K KAARAN GADI LATEE HAI </t>
  </si>
  <si>
    <t>1 HOUR EXTRA DIYA GAYA HAI JISKE KARAN GADI LATE HAI</t>
  </si>
  <si>
    <t>13.08.2026</t>
  </si>
  <si>
    <t>DHARA ME JAM HONE K KRND LET</t>
  </si>
  <si>
    <t>CHANDRAPAL TOMAR</t>
  </si>
  <si>
    <t>RAISAEN CHORAHAE PR JAM HONE K KRNAD</t>
  </si>
  <si>
    <t>TYER PANCHER K KARND LET</t>
  </si>
  <si>
    <t>WIFER LOCK TUT GYA THA RAT ME BARISH HO RHI THI</t>
  </si>
  <si>
    <t>DURGAPRASAD</t>
  </si>
  <si>
    <t>HUBLI</t>
  </si>
  <si>
    <t>16.08.2026</t>
  </si>
  <si>
    <t>ACILATOR CHOD PAKAD KAR RAH THA</t>
  </si>
  <si>
    <t>RAIS KHAN</t>
  </si>
  <si>
    <t>GWALIOR</t>
  </si>
  <si>
    <t>14.08.2026</t>
  </si>
  <si>
    <t>KAMAL PREM</t>
  </si>
  <si>
    <t>URIA DALANE ME LATE HUI GADI</t>
  </si>
  <si>
    <t>KAILASH KUMAWAT</t>
  </si>
  <si>
    <t>RAISEN ROAD PAR JAAM LAGA HUA THA JISKE KARAN GADI LATE HUI HAI</t>
  </si>
  <si>
    <t>TOLL PR JAM HONE K BAD</t>
  </si>
  <si>
    <t>KHANDWA ME BREAKDOWN HONE KI VJH SE LATE</t>
  </si>
  <si>
    <t>15.08.2026</t>
  </si>
  <si>
    <t>VEHICLA LATE DUE TO DRIVER NOT AVAILABLE</t>
  </si>
  <si>
    <t>BREAKDOWN HONE KI VJH SE LATE</t>
  </si>
  <si>
    <t>DRIVER ISSYE</t>
  </si>
  <si>
    <t>BARODA-indore-INDORE</t>
  </si>
  <si>
    <t>ROUTE DIVERT K KRANA GADI LATE HUI HIA</t>
  </si>
  <si>
    <t xml:space="preserve">new drier </t>
  </si>
  <si>
    <t>acilator nahi le rhi thi gadi or gadi m dikat arhi thi is karnd se gai let hui hai</t>
  </si>
  <si>
    <t>gadi m dikat ane k karand let ho rahi hai</t>
  </si>
  <si>
    <t>17.08.2026</t>
  </si>
  <si>
    <t>FILIKA WALE K KARAN GADI LATE HUI HAI</t>
  </si>
  <si>
    <t>JITENDRA SEN NE 21:30PM INDORE SE VEHICAL NIKALI ISLIYE LATE/WITHOUT INFORMATION GADI LOAD KI SAFE NE PAYMENT DD NAHI KRNA HAI</t>
  </si>
  <si>
    <t>DEWAS TRUCK SAFEEXPRESS DALY ENTRY AUG-2026</t>
  </si>
  <si>
    <t>SAFEEXPRESS ENTRY AUG-2026</t>
  </si>
  <si>
    <t>narshingpur office band tha is liye let hui hai</t>
  </si>
  <si>
    <t>driver issye</t>
  </si>
  <si>
    <t xml:space="preserve">gadi me kam krwaya tha </t>
  </si>
  <si>
    <t>18.08.2026</t>
  </si>
  <si>
    <t>TABIYAT KHARAB HONE K KARND</t>
  </si>
  <si>
    <t>MAHADEV NAGAR</t>
  </si>
  <si>
    <t>TOLL PR JAM</t>
  </si>
  <si>
    <t>PRAKESH ENGLE</t>
  </si>
  <si>
    <t>19.08.2026</t>
  </si>
  <si>
    <t>RAMCHARAN</t>
  </si>
  <si>
    <t>9717 KE LIYE DUSRA DRIVER LE KR GAYA THA US GADI KO BHI STAH LE KAR AA RAH THA OR US GADI ME SE DISEL BHI NIKL LIYA THA TO DISEL DILANE ME LET</t>
  </si>
  <si>
    <t>TOUCHING KA TIME NAHI DALWAYA DRIVER NE NEW DRIVER</t>
  </si>
  <si>
    <t>DRIVER GADI CHOD K BHAG GAYA THA DARU PI LI THI MANMAD K PASS DUSRA DRIVER BHEJA THA RAT ME 20 KO DURGAPRASAD PR PAYMENT DEDUCT HOGA  DUSRE DRIVER KE NAM PR SALRY BANE GI DEVKARAN KE NAM SE DISEL BHI DURGA PRASAD LE KAR BHAG GAYA THA NEW DRIVER KA DISEL NAHI DD HOGA</t>
  </si>
  <si>
    <t>TOUCHING LER</t>
  </si>
  <si>
    <t>TAYER PANCHAR HO GAYA THA ISL IYE LET,OR JAM HONE K KARND ADIWASI RELY ME JAM</t>
  </si>
  <si>
    <t>BARISH OR JAM HONE K KRNAD</t>
  </si>
  <si>
    <t>GADI K TYER ME SE LINER PAKD RHAI THI IS LIYE DHIRE CHALA RAH THA</t>
  </si>
  <si>
    <t>HEAD LIGHT BAND HO GAI THI</t>
  </si>
  <si>
    <t>JAM OR ROAD KHARAB HONE KI WAJ SE</t>
  </si>
  <si>
    <t>DRIVER ISSYE TOUCHING LER</t>
  </si>
  <si>
    <t>JAM HONE K KARND LET</t>
  </si>
  <si>
    <t>20.08.2026</t>
  </si>
  <si>
    <t>JAM KE KARAND LET</t>
  </si>
  <si>
    <t>GATE PAR JAM K KARAN GADI LATE</t>
  </si>
  <si>
    <t xml:space="preserve">MANPUR GHAT ME LAMBA JAL LAGA HUA HAI LET HO SAKTI HAI GAI </t>
  </si>
  <si>
    <t>VISHAL KUMAR</t>
  </si>
  <si>
    <t>BAGICHA WALE ROAD PAR JAAM LAGA HUA THA JISKE KARAN GAI LATE HUI HAI</t>
  </si>
  <si>
    <t>RAISEN ROAD PAR JAM ME HONE K KARND LET</t>
  </si>
  <si>
    <t>TOUCHING LET AND DRIVER ISSYE</t>
  </si>
  <si>
    <t>PATAN ME JAM LAGA HAI ROAD PAR BACHE KI DEATH HONE PAR 3 GHANTA JAM LAGA DIYA THA</t>
  </si>
  <si>
    <t>PATAN ME JAM HONE K KARND LET</t>
  </si>
  <si>
    <t>JAM LAGNE K KARD LET</t>
  </si>
  <si>
    <t>SIDE GLAS CHORI HONE K KARND LET</t>
  </si>
  <si>
    <t>TOUCHING LET OR HUB BAND HONE K KARAND</t>
  </si>
  <si>
    <t>GADI KA KAM KARWAYA YURIYA JAM GAYA THA</t>
  </si>
  <si>
    <t>TABYAT KHARAB HONE K KARND</t>
  </si>
  <si>
    <t>DISEL LET MILNE K KARAND LET</t>
  </si>
  <si>
    <t>JAM ME HONE K KANRD</t>
  </si>
  <si>
    <t>JAM ME HONE KE KARAND</t>
  </si>
  <si>
    <t>GADI ME KAM THA KAM KRWAYA</t>
  </si>
  <si>
    <t>21.08.2026</t>
  </si>
  <si>
    <t>TAYER KA KAM KRWAYA</t>
  </si>
  <si>
    <t>VISHNU PATIDAR</t>
  </si>
  <si>
    <t>jam me 2 ghante ho gay hai let ho jauga</t>
  </si>
  <si>
    <t>ALINGMENT M LET</t>
  </si>
  <si>
    <t>DEVKARAN</t>
  </si>
  <si>
    <t>PITHAMPUR PURANE HUB PAR JANE KI VJH SE LATE</t>
  </si>
  <si>
    <t>SIDE CENTER LOCK NAHI HONE K KRNAD GADI KHADI KRWA DI THI</t>
  </si>
  <si>
    <t>mandana se phale jam hone k karnd let</t>
  </si>
  <si>
    <t>pani boht tej hone k karnd let hogai</t>
  </si>
  <si>
    <t>gadi ka brack chipak ke chal rah tha gadi me kam tha is liye showl chala rha tha jam chal rhai thi gadi</t>
  </si>
  <si>
    <t>side road k karnd gadi khadi karwai thi isliye let</t>
  </si>
  <si>
    <t>gadi me pani arha tha wo chek krne k liye gadi roki</t>
  </si>
  <si>
    <t>jam me hone k karnd</t>
  </si>
  <si>
    <t>NILMANGLA</t>
  </si>
  <si>
    <t>SELAM</t>
  </si>
  <si>
    <t>RUDRAPUR</t>
  </si>
  <si>
    <t>MALANPUR</t>
  </si>
  <si>
    <t>HOLD</t>
  </si>
  <si>
    <t>#</t>
  </si>
  <si>
    <t>22.08.2026</t>
  </si>
  <si>
    <t>JAAM LAGA HUA HAI</t>
  </si>
  <si>
    <t>DRIVER KI TABIYAT KHARAB HONE KI VJH SE LATE</t>
  </si>
  <si>
    <t>23.08.2026</t>
  </si>
  <si>
    <t>KAWAD YATRA JAAM KI VJH SE LATE-HEADLIGHT BULB LENE ME LATE</t>
  </si>
  <si>
    <t>TOUCHING LATE</t>
  </si>
  <si>
    <t>BREAKDOWN HO JANE KI VJH SE LATE</t>
  </si>
  <si>
    <t>MANPUR JAAM ME LATE HE</t>
  </si>
  <si>
    <t>8 NO. HAIGHWAY PR JAM TH</t>
  </si>
  <si>
    <t>OTHER ROUTH SE GHUM KAR AANE ME LATE</t>
  </si>
  <si>
    <t>RDA11</t>
  </si>
  <si>
    <t>SURAT JANE WALA ROAD KHARAB HONE K KARND OR JAM HONE K KARND</t>
  </si>
  <si>
    <t>ALINGMENT M LET OR GADI KE TAYER KA KAM</t>
  </si>
  <si>
    <t>JAM ME HONE K KARND</t>
  </si>
  <si>
    <t>DISEL DENE ME LET</t>
  </si>
  <si>
    <t>TOUCNING OR JAM K KANRD</t>
  </si>
  <si>
    <t>PATAN K TOLL PAR JAM</t>
  </si>
  <si>
    <t>rout divert hone k karnd, GADI RUKWA DI THI</t>
  </si>
  <si>
    <t>MAIN</t>
  </si>
  <si>
    <t>4 HRS</t>
  </si>
  <si>
    <t>2 HRS</t>
  </si>
  <si>
    <t>24.08.2026</t>
  </si>
  <si>
    <t>MP9ZQ0712</t>
  </si>
  <si>
    <t>RAKESH PATEL-PAWAN VISHVKARMA</t>
  </si>
  <si>
    <t>ROUTE DIVERT K KARAN GADI LATE HAI</t>
  </si>
  <si>
    <t>MP09ZL4130</t>
  </si>
  <si>
    <t>ROUTE DIVERT K KARAN GADI LATE HUI HAI</t>
  </si>
  <si>
    <t>ROUTE DIVERT</t>
  </si>
  <si>
    <t>HYD</t>
  </si>
  <si>
    <t>BRECK DOWN</t>
  </si>
  <si>
    <t>ROUT DIVERT AND TOUCHING LET</t>
  </si>
  <si>
    <t>ROUT DIVERT HONE KE KARND</t>
  </si>
  <si>
    <t>ACCELATEOR SAHI SE NAHI LE RAHI THI IS LIYE LET'</t>
  </si>
  <si>
    <t>TOLL PAR JAM HONE KE KARND</t>
  </si>
  <si>
    <t>HEAD LIGHT KAM KRWAYA</t>
  </si>
  <si>
    <t>TAYER ME SE OIL OR BOLT TUT GAY THE KAM KRWAYA GADI KA</t>
  </si>
  <si>
    <t>RAILWAY FATAK BAND TAH ISLEYE LET</t>
  </si>
  <si>
    <t>JAM ME HAONE KE KARND</t>
  </si>
  <si>
    <t>25.08.2026</t>
  </si>
  <si>
    <t>DHARA ME JAM KE KERNAD LET</t>
  </si>
  <si>
    <t>BIORA ROUTH SE JANE ME LATE</t>
  </si>
  <si>
    <t>DRIVER- SHEKHAR PATEL NA AANE KI VJH SE LATE</t>
  </si>
  <si>
    <t>DRIVER ISYE OR ROUT DIVERT</t>
  </si>
  <si>
    <t>JAIPUR</t>
  </si>
  <si>
    <t>ROUT DIVERT HONE K KARAND</t>
  </si>
  <si>
    <t>rout divert hone k kanrd</t>
  </si>
  <si>
    <t>ACCIDENT HONE K KANRD MANGLIYA K PASS DRIVER NE GADI KA ACCIDENT KAR DIYA THA</t>
  </si>
  <si>
    <t>Row Labels</t>
  </si>
  <si>
    <t>26.08.2026</t>
  </si>
  <si>
    <t>RAKESH PATEL</t>
  </si>
  <si>
    <t>MEKUSH DHAKAD</t>
  </si>
  <si>
    <t>TABIYAT KHARAB HONE KE KRNAD</t>
  </si>
  <si>
    <t>DISEL K KARND INDORE SE GADI LET NIKLI</t>
  </si>
  <si>
    <t>27.08.2026</t>
  </si>
  <si>
    <t>GADI LOAD NHI LE RAHI HAI</t>
  </si>
  <si>
    <t>JAAM KK KARAN GADI LATE HUI HAI</t>
  </si>
  <si>
    <t>PARHLAD MAKWAMA</t>
  </si>
  <si>
    <t>MANMAAD JAAM ME LATE</t>
  </si>
  <si>
    <t>TOLL PAR JAM K KARAN GADI LATE HUI H</t>
  </si>
  <si>
    <t>TOLL PAR JAAM LAGA HUA THA</t>
  </si>
  <si>
    <t>NEVRI FATA ME JAAM ME LAGI HUI HAI</t>
  </si>
  <si>
    <t>MANMAD K PEHLE JAAM LAGA HUA HAI</t>
  </si>
  <si>
    <t>GADI TRAIL K LIYE GAI HAI</t>
  </si>
  <si>
    <t>28.08.2026</t>
  </si>
  <si>
    <t>DHARA KI NAAL ME JAAM ME LATE</t>
  </si>
  <si>
    <t>VISHAL MAKWANA</t>
  </si>
  <si>
    <t>RAHUL BAIRAGI</t>
  </si>
  <si>
    <t>29.08.2026</t>
  </si>
  <si>
    <t>30.08.2026</t>
  </si>
  <si>
    <t>TOUHCING LATE</t>
  </si>
  <si>
    <t>TYRE FOOT JANE KI VJH SE LATE UJJAIN ME</t>
  </si>
  <si>
    <t>KAMAL RATHORE-GOVIND</t>
  </si>
  <si>
    <t>JABALPUR ME JAAM ME LATE</t>
  </si>
  <si>
    <t>DEWAS BYPASS JAAM ME LATE</t>
  </si>
  <si>
    <t>DEWAS TOLL PAR JAAM ME LATE</t>
  </si>
  <si>
    <t>CAL11</t>
  </si>
  <si>
    <t>HGL11</t>
  </si>
  <si>
    <t>DRIVER NHI HONE KI VJH SE LATE rat 6 baje nikli gadi abhi jam bhi boht laga hai 7 baje se 31 raikh me</t>
  </si>
  <si>
    <t>TOUCHING JHALAWAD PAR HOLD or kota se let bhi nikli</t>
  </si>
  <si>
    <t>DRIVER NE TIME UPDATE NAI KARWAYA RPS PR TOUCING KA</t>
  </si>
  <si>
    <t>NEW DRIVER THA BADLI PR IS LIYE LET</t>
  </si>
  <si>
    <t>JHALAWAR NAHI RUKI HAI</t>
  </si>
  <si>
    <t>MANDSOUR NAHI RUKI</t>
  </si>
  <si>
    <t>JHABUWA TOUCHING NAHI RUKI DIRECT GAI HAI</t>
  </si>
  <si>
    <t>TOUCING NAHI HUI</t>
  </si>
  <si>
    <t>TOUCHING NAHI DI HAI DRIVER ISSYE</t>
  </si>
  <si>
    <t xml:space="preserve">driver ki tabiyat kharab ho gai thi or dusra driver bheja tha </t>
  </si>
  <si>
    <t>31.08.2026</t>
  </si>
  <si>
    <t>MP09ZQ4991</t>
  </si>
  <si>
    <t>ROUT DIVERT</t>
  </si>
  <si>
    <t>main</t>
  </si>
  <si>
    <t>RAM CHARAN BAGRI</t>
  </si>
  <si>
    <t>INDORE TOUCHING PAR GADI LATE HUI</t>
  </si>
  <si>
    <t>KALPESH SOLANKI</t>
  </si>
  <si>
    <t>CHORAL GHAT ME JAAM LAGA HUA HAI</t>
  </si>
  <si>
    <t>GADI AIR LENE K KARAN LATE HUI HAI</t>
  </si>
  <si>
    <t>BALAWANT SINGH</t>
  </si>
  <si>
    <t>TYRE PUNTURE HO GAYA THA JISKE KARAN GADI LATE HO SAKTI HAI</t>
  </si>
  <si>
    <t>FASTAGE NHI KATNE KI WAJAH SE GADI LATE HUI HAI</t>
  </si>
  <si>
    <t>TYRE KHARAB HO GAYA THA OR TYRE GHNJA HONE K KARAN GADI DHEERE CHALANI PADI JISKE KARAN GADI LATE HUI HAI</t>
  </si>
  <si>
    <t>rout divert hone ke karnd</t>
  </si>
  <si>
    <t>gadi let nikli thi</t>
  </si>
  <si>
    <t>jam lag gaya tha is liye</t>
  </si>
  <si>
    <t>jam me hone ke karnd</t>
  </si>
  <si>
    <t>rout divert</t>
  </si>
  <si>
    <t>jam lag gaya tha</t>
  </si>
  <si>
    <t>jam lag a tha lamba</t>
  </si>
  <si>
    <t>by pass par jam hone ke karnd</t>
  </si>
  <si>
    <t>DRIVER issye</t>
  </si>
  <si>
    <t>500'</t>
  </si>
  <si>
    <t>BIORA ROUT DIVERT</t>
  </si>
  <si>
    <t>LAMBA JAM LAGA THA GADI ME AG LAG GAI THI ROAD BAND KAR DIYE THE</t>
  </si>
  <si>
    <t>SENDWA ME RALY NIKALNE KE KARAN GADI LATE HUI HAI 1GHANTA BADA K RAKHA HAI DEWAS TRUCK SE</t>
  </si>
  <si>
    <t>DRIVER NE RPS HI NHI DIYE DRIVER ISSYE</t>
  </si>
  <si>
    <t>Over Load Hone Ke Karnd Gadi Ka GAIER Nahi Lag Rah Tha Is Liye Let Hui Hai</t>
  </si>
  <si>
    <t>POLICE WALE NE GADI RUKWA K RAKHI THI JISKE KARAN LATE HUI HAI</t>
  </si>
  <si>
    <t>MAHENDRA KUNAR PRAJAPATI</t>
  </si>
  <si>
    <t>JAAM K KARAN LATE HUI HI GADI</t>
  </si>
  <si>
    <t>NOT ADD THIS MONTH SALARY</t>
  </si>
  <si>
    <t>BLR11</t>
  </si>
  <si>
    <t>market</t>
  </si>
  <si>
    <t>28:00</t>
  </si>
  <si>
    <t>Vehicle Not Starts</t>
  </si>
  <si>
    <t xml:space="preserve">Siyaganj </t>
  </si>
  <si>
    <t>In Time Soft</t>
  </si>
  <si>
    <t>Dept Soft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</si>
</sst>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F400]h:mm:ss\ AM/PM"/>
    <numFmt numFmtId="165" formatCode="dd\-mm\-yyyy"/>
    <numFmt numFmtId="166" formatCode="[$-14009]hh:mm:ss;@"/>
    <numFmt numFmtId="167" formatCode="[$-14009]hh:mm;@"/>
    <numFmt numFmtId="168" formatCode="[$-409]m/d/yy\ h:mm\ AM/PM;@"/>
    <numFmt numFmtId="169" formatCode="[$-14009]h:mm;@"/>
    <numFmt numFmtId="170" formatCode="h:mm;@"/>
  </numFmts>
  <fonts count="35" x14ac:knownFonts="1">
    <font>
      <sz val="11"/>
      <color theme="1"/>
      <name val="Calibri"/>
      <family val="2"/>
      <scheme val="minor"/>
    </font>
    <font>
      <sz val="12"/>
      <color theme="1"/>
      <name val="Calibri"/>
      <family val="2"/>
      <scheme val="minor"/>
    </font>
    <font>
      <b/>
      <sz val="22"/>
      <color theme="1"/>
      <name val="Calibri"/>
      <family val="2"/>
      <scheme val="minor"/>
    </font>
    <font>
      <b/>
      <sz val="14"/>
      <color theme="1"/>
      <name val="Calibri"/>
      <family val="2"/>
      <scheme val="minor"/>
    </font>
    <font>
      <sz val="14"/>
      <color theme="1"/>
      <name val="Calibri"/>
      <family val="2"/>
      <scheme val="minor"/>
    </font>
    <font>
      <b/>
      <sz val="14"/>
      <color theme="1"/>
      <name val="Arial"/>
      <family val="2"/>
    </font>
    <font>
      <b/>
      <sz val="12"/>
      <color theme="1"/>
      <name val="Calibri"/>
      <family val="2"/>
      <scheme val="minor"/>
    </font>
    <font>
      <b/>
      <sz val="11"/>
      <color rgb="FF000000"/>
      <name val="Verdana"/>
      <family val="2"/>
    </font>
    <font>
      <sz val="11"/>
      <color theme="1"/>
      <name val="Verdana"/>
      <family val="2"/>
    </font>
    <font>
      <sz val="11"/>
      <name val="Calibri"/>
      <family val="2"/>
      <scheme val="minor"/>
    </font>
    <font>
      <sz val="11"/>
      <color rgb="FF000000"/>
      <name val="Verdana"/>
      <family val="2"/>
    </font>
    <font>
      <sz val="11"/>
      <color theme="1"/>
      <name val="Calibri"/>
      <family val="2"/>
    </font>
    <font>
      <b/>
      <sz val="11"/>
      <color rgb="FFFF0000"/>
      <name val="Calibri"/>
      <family val="2"/>
      <scheme val="minor"/>
    </font>
    <font>
      <sz val="10"/>
      <name val="Arial"/>
      <family val="2"/>
    </font>
    <font>
      <sz val="11"/>
      <color theme="1"/>
      <name val="Aptos Narrow"/>
      <family val="2"/>
    </font>
    <font>
      <b/>
      <u/>
      <sz val="9"/>
      <color theme="1"/>
      <name val="Calibri"/>
      <family val="2"/>
    </font>
    <font>
      <u/>
      <sz val="11"/>
      <color theme="1"/>
      <name val="Calibri"/>
      <family val="2"/>
      <scheme val="minor"/>
    </font>
    <font>
      <u/>
      <sz val="10"/>
      <color theme="1"/>
      <name val="Calibri"/>
      <family val="2"/>
      <scheme val="minor"/>
    </font>
    <font>
      <sz val="22"/>
      <color theme="1"/>
      <name val="Calibri"/>
      <family val="2"/>
      <scheme val="minor"/>
    </font>
    <font>
      <sz val="8"/>
      <color theme="1"/>
      <name val="Arial"/>
      <family val="2"/>
    </font>
    <font>
      <sz val="11"/>
      <color rgb="FFFF0000"/>
      <name val="Calibri"/>
      <family val="2"/>
    </font>
    <font>
      <sz val="8"/>
      <color theme="1"/>
      <name val="Calibri"/>
      <family val="2"/>
    </font>
    <font>
      <sz val="10"/>
      <color theme="1"/>
      <name val="Calibri"/>
      <family val="2"/>
    </font>
    <font>
      <sz val="8"/>
      <name val="Calibri"/>
      <family val="2"/>
    </font>
    <font>
      <sz val="12"/>
      <color rgb="FF000000"/>
      <name val="Aptos"/>
      <family val="2"/>
    </font>
    <font>
      <b/>
      <sz val="12"/>
      <color rgb="FF000000"/>
      <name val="Aptos"/>
      <family val="2"/>
    </font>
    <font>
      <b/>
      <u/>
      <sz val="14"/>
      <color theme="1"/>
      <name val="Calibri"/>
      <family val="2"/>
      <scheme val="minor"/>
    </font>
    <font>
      <sz val="9"/>
      <color theme="1"/>
      <name val="Calibri"/>
      <family val="2"/>
      <scheme val="minor"/>
    </font>
    <font>
      <sz val="9"/>
      <name val="Calibri"/>
      <family val="2"/>
      <scheme val="minor"/>
    </font>
    <font>
      <u/>
      <sz val="9"/>
      <color theme="1"/>
      <name val="Calibri"/>
      <family val="2"/>
      <scheme val="minor"/>
    </font>
    <font>
      <b/>
      <u val="double"/>
      <sz val="14"/>
      <color theme="1"/>
      <name val="Calibri"/>
      <family val="2"/>
      <scheme val="minor"/>
    </font>
    <font>
      <b/>
      <sz val="12"/>
      <color rgb="FF000000"/>
      <name val="Verdana"/>
      <family val="2"/>
    </font>
    <font>
      <sz val="12"/>
      <color theme="1"/>
      <name val="Arial"/>
      <family val="2"/>
    </font>
    <font>
      <sz val="12"/>
      <color rgb="FF000000"/>
      <name val="Arial"/>
      <family val="2"/>
    </font>
    <font>
      <b/>
      <u/>
      <sz val="11"/>
      <color theme="1"/>
      <name val="Calibri"/>
      <family val="2"/>
    </font>
  </fonts>
  <fills count="12">
    <fill>
      <patternFill patternType="none"/>
    </fill>
    <fill>
      <patternFill patternType="gray125"/>
    </fill>
    <fill>
      <patternFill patternType="solid">
        <fgColor rgb="FFEAD1DC"/>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39997558519241921"/>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FFFF"/>
        <bgColor indexed="64"/>
      </patternFill>
    </fill>
    <fill>
      <patternFill patternType="solid">
        <fgColor theme="5" tint="0.39997558519241921"/>
        <bgColor indexed="64"/>
      </patternFill>
    </fill>
  </fills>
  <borders count="26">
    <border>
      <left/>
      <right/>
      <top/>
      <bottom/>
      <diagonal/>
    </border>
    <border>
      <left style="medium">
        <color rgb="FFCCCCCC"/>
      </left>
      <right style="medium">
        <color rgb="FF000000"/>
      </right>
      <top style="medium">
        <color rgb="FFCCCCCC"/>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rgb="FF000000"/>
      </right>
      <top style="medium">
        <color rgb="FFCCCCCC"/>
      </top>
      <bottom style="medium">
        <color rgb="FF000000"/>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260">
    <xf numFmtId="0" fontId="0" fillId="0" borderId="0" xfId="0"/>
    <xf numFmtId="0" fontId="0" fillId="0" borderId="0" xfId="0" applyAlignment="1">
      <alignment horizontal="center" vertical="center"/>
    </xf>
    <xf numFmtId="0" fontId="3" fillId="4" borderId="5" xfId="0" applyFont="1" applyFill="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5" xfId="0" applyFont="1" applyBorder="1" applyAlignment="1">
      <alignment horizontal="center" vertical="center"/>
    </xf>
    <xf numFmtId="0" fontId="6" fillId="0" borderId="5" xfId="0" applyFont="1" applyBorder="1" applyAlignment="1">
      <alignment horizontal="center" vertical="center"/>
    </xf>
    <xf numFmtId="0" fontId="4" fillId="0" borderId="9" xfId="0" applyFont="1" applyBorder="1" applyAlignment="1">
      <alignment horizontal="center" vertical="center"/>
    </xf>
    <xf numFmtId="14" fontId="5" fillId="4" borderId="5" xfId="0" applyNumberFormat="1" applyFont="1" applyFill="1" applyBorder="1" applyAlignment="1">
      <alignment horizontal="center" vertical="center" wrapText="1"/>
    </xf>
    <xf numFmtId="164" fontId="5" fillId="4" borderId="5" xfId="0" applyNumberFormat="1" applyFont="1" applyFill="1" applyBorder="1" applyAlignment="1">
      <alignment horizontal="center" vertical="center" wrapText="1"/>
    </xf>
    <xf numFmtId="0" fontId="11" fillId="0" borderId="1" xfId="0" applyFont="1" applyBorder="1" applyAlignment="1">
      <alignment horizontal="center" vertical="center"/>
    </xf>
    <xf numFmtId="164" fontId="11" fillId="0" borderId="1" xfId="0" applyNumberFormat="1" applyFont="1" applyBorder="1" applyAlignment="1">
      <alignment horizontal="center" vertical="center"/>
    </xf>
    <xf numFmtId="164" fontId="12" fillId="0" borderId="5" xfId="0" applyNumberFormat="1" applyFont="1" applyBorder="1" applyAlignment="1">
      <alignment horizontal="center" vertical="center"/>
    </xf>
    <xf numFmtId="0" fontId="2" fillId="5" borderId="0" xfId="0" applyFont="1" applyFill="1" applyAlignment="1">
      <alignment horizontal="center" vertical="center"/>
    </xf>
    <xf numFmtId="14" fontId="3" fillId="4" borderId="5" xfId="0" applyNumberFormat="1" applyFont="1" applyFill="1" applyBorder="1" applyAlignment="1">
      <alignment horizontal="center" vertical="center" wrapText="1"/>
    </xf>
    <xf numFmtId="0" fontId="4" fillId="0" borderId="0" xfId="0" applyFont="1" applyAlignment="1">
      <alignment horizontal="center" vertical="center"/>
    </xf>
    <xf numFmtId="0" fontId="13" fillId="5" borderId="5" xfId="0" quotePrefix="1" applyFont="1" applyFill="1" applyBorder="1" applyAlignment="1">
      <alignment horizontal="center" vertical="center" wrapText="1"/>
    </xf>
    <xf numFmtId="0" fontId="7" fillId="6" borderId="5" xfId="0" applyFont="1" applyFill="1" applyBorder="1" applyAlignment="1">
      <alignment horizontal="center" vertical="center"/>
    </xf>
    <xf numFmtId="0" fontId="7" fillId="6" borderId="5" xfId="0" applyFont="1" applyFill="1" applyBorder="1" applyAlignment="1">
      <alignment horizontal="center" vertical="center" wrapText="1"/>
    </xf>
    <xf numFmtId="0" fontId="13" fillId="5" borderId="0" xfId="0" quotePrefix="1" applyFont="1" applyFill="1" applyAlignment="1">
      <alignment horizontal="center" vertical="center" wrapText="1"/>
    </xf>
    <xf numFmtId="20" fontId="14" fillId="5" borderId="0" xfId="0" applyNumberFormat="1" applyFont="1" applyFill="1" applyAlignment="1">
      <alignment horizontal="center" vertical="center" wrapText="1"/>
    </xf>
    <xf numFmtId="0" fontId="3" fillId="0" borderId="5" xfId="0" applyFont="1" applyBorder="1" applyAlignment="1">
      <alignment horizontal="center" vertical="center"/>
    </xf>
    <xf numFmtId="0" fontId="3" fillId="0" borderId="5" xfId="0" quotePrefix="1" applyFont="1" applyBorder="1" applyAlignment="1">
      <alignment horizontal="center" vertical="center"/>
    </xf>
    <xf numFmtId="0" fontId="16" fillId="0" borderId="0" xfId="0" applyFont="1"/>
    <xf numFmtId="0" fontId="17" fillId="0" borderId="0" xfId="0" applyFont="1"/>
    <xf numFmtId="0" fontId="8" fillId="0" borderId="8" xfId="0" applyFont="1" applyBorder="1" applyAlignment="1">
      <alignment horizontal="center" vertical="center"/>
    </xf>
    <xf numFmtId="165" fontId="6" fillId="0" borderId="8" xfId="0" applyNumberFormat="1" applyFont="1" applyBorder="1" applyAlignment="1">
      <alignment horizontal="center" vertical="center"/>
    </xf>
    <xf numFmtId="0" fontId="1" fillId="0" borderId="8" xfId="0" applyFont="1" applyBorder="1" applyAlignment="1">
      <alignment horizontal="center" vertical="center"/>
    </xf>
    <xf numFmtId="21" fontId="10" fillId="0" borderId="8" xfId="0" applyNumberFormat="1" applyFont="1" applyBorder="1" applyAlignment="1">
      <alignment horizontal="center" vertical="center"/>
    </xf>
    <xf numFmtId="20" fontId="8" fillId="0" borderId="8" xfId="0" applyNumberFormat="1" applyFont="1" applyBorder="1" applyAlignment="1">
      <alignment horizontal="center" vertical="center"/>
    </xf>
    <xf numFmtId="0" fontId="0" fillId="0" borderId="8" xfId="0" applyBorder="1" applyAlignment="1">
      <alignment horizontal="center" vertical="center"/>
    </xf>
    <xf numFmtId="166" fontId="16" fillId="0" borderId="0" xfId="0" applyNumberFormat="1" applyFont="1"/>
    <xf numFmtId="167" fontId="16" fillId="0" borderId="0" xfId="0" applyNumberFormat="1" applyFont="1"/>
    <xf numFmtId="49" fontId="16" fillId="0" borderId="0" xfId="0" applyNumberFormat="1" applyFont="1"/>
    <xf numFmtId="46" fontId="19" fillId="0" borderId="0" xfId="0" applyNumberFormat="1" applyFont="1" applyAlignment="1">
      <alignment horizontal="center" vertical="center"/>
    </xf>
    <xf numFmtId="164" fontId="11" fillId="0" borderId="10" xfId="0" applyNumberFormat="1" applyFont="1" applyBorder="1" applyAlignment="1">
      <alignment horizontal="center" vertical="center"/>
    </xf>
    <xf numFmtId="0" fontId="4" fillId="0" borderId="11" xfId="0" applyFont="1" applyBorder="1" applyAlignment="1">
      <alignment horizontal="center" vertical="center"/>
    </xf>
    <xf numFmtId="164" fontId="20" fillId="0" borderId="1" xfId="0" applyNumberFormat="1" applyFont="1" applyBorder="1" applyAlignment="1">
      <alignment horizontal="center" vertical="center"/>
    </xf>
    <xf numFmtId="168" fontId="9" fillId="0" borderId="8" xfId="0" quotePrefix="1" applyNumberFormat="1" applyFont="1" applyBorder="1" applyAlignment="1">
      <alignment horizontal="center" vertical="center" wrapText="1"/>
    </xf>
    <xf numFmtId="168" fontId="9" fillId="0" borderId="12" xfId="0" quotePrefix="1" applyNumberFormat="1" applyFont="1" applyBorder="1" applyAlignment="1">
      <alignment horizontal="center" vertical="center" wrapText="1"/>
    </xf>
    <xf numFmtId="0" fontId="8" fillId="0" borderId="13" xfId="0" applyFont="1" applyBorder="1" applyAlignment="1">
      <alignment horizontal="center" vertical="center"/>
    </xf>
    <xf numFmtId="164" fontId="20" fillId="0" borderId="14" xfId="0" applyNumberFormat="1" applyFont="1" applyBorder="1" applyAlignment="1">
      <alignment horizontal="center" vertical="center"/>
    </xf>
    <xf numFmtId="0" fontId="8" fillId="0" borderId="15" xfId="0" applyFont="1" applyBorder="1" applyAlignment="1">
      <alignment horizontal="center" vertical="center"/>
    </xf>
    <xf numFmtId="0" fontId="1" fillId="0" borderId="16" xfId="0" applyFont="1" applyBorder="1" applyAlignment="1">
      <alignment horizontal="center" vertical="center"/>
    </xf>
    <xf numFmtId="168" fontId="9" fillId="0" borderId="16" xfId="0" quotePrefix="1" applyNumberFormat="1" applyFont="1" applyBorder="1" applyAlignment="1">
      <alignment horizontal="center" vertical="center" wrapText="1"/>
    </xf>
    <xf numFmtId="164" fontId="20" fillId="0" borderId="18" xfId="0" applyNumberFormat="1" applyFont="1" applyBorder="1" applyAlignment="1">
      <alignment horizontal="center" vertical="center"/>
    </xf>
    <xf numFmtId="164" fontId="20" fillId="0" borderId="17" xfId="0" applyNumberFormat="1" applyFont="1" applyBorder="1" applyAlignment="1">
      <alignment horizontal="center" vertical="center"/>
    </xf>
    <xf numFmtId="166" fontId="23" fillId="3" borderId="8" xfId="0" applyNumberFormat="1" applyFont="1" applyFill="1" applyBorder="1" applyAlignment="1">
      <alignment horizontal="center"/>
    </xf>
    <xf numFmtId="0" fontId="22" fillId="7" borderId="8" xfId="0" applyFont="1" applyFill="1" applyBorder="1" applyAlignment="1">
      <alignment horizontal="center" vertical="center"/>
    </xf>
    <xf numFmtId="0" fontId="21" fillId="7" borderId="8" xfId="0" applyFont="1" applyFill="1" applyBorder="1" applyAlignment="1">
      <alignment horizontal="center" vertical="center"/>
    </xf>
    <xf numFmtId="20" fontId="21" fillId="7" borderId="8" xfId="0" applyNumberFormat="1" applyFont="1" applyFill="1" applyBorder="1" applyAlignment="1">
      <alignment horizontal="center" vertical="center"/>
    </xf>
    <xf numFmtId="166" fontId="21" fillId="7" borderId="8" xfId="0" applyNumberFormat="1" applyFont="1" applyFill="1" applyBorder="1" applyAlignment="1">
      <alignment horizontal="center" vertical="center"/>
    </xf>
    <xf numFmtId="166" fontId="21" fillId="7" borderId="8" xfId="0" applyNumberFormat="1" applyFont="1" applyFill="1" applyBorder="1" applyAlignment="1">
      <alignment horizontal="center"/>
    </xf>
    <xf numFmtId="46" fontId="19" fillId="7" borderId="8" xfId="0" applyNumberFormat="1" applyFont="1" applyFill="1" applyBorder="1" applyAlignment="1">
      <alignment horizontal="center" vertical="center"/>
    </xf>
    <xf numFmtId="167" fontId="21" fillId="7" borderId="8" xfId="0" applyNumberFormat="1" applyFont="1" applyFill="1" applyBorder="1" applyAlignment="1">
      <alignment horizontal="center"/>
    </xf>
    <xf numFmtId="0" fontId="21" fillId="7" borderId="8" xfId="0" applyFont="1" applyFill="1" applyBorder="1" applyAlignment="1">
      <alignment horizontal="center"/>
    </xf>
    <xf numFmtId="49" fontId="21" fillId="7" borderId="8" xfId="0" applyNumberFormat="1" applyFont="1" applyFill="1" applyBorder="1" applyAlignment="1">
      <alignment horizontal="center"/>
    </xf>
    <xf numFmtId="167" fontId="21" fillId="7" borderId="8" xfId="0" applyNumberFormat="1" applyFont="1" applyFill="1" applyBorder="1" applyAlignment="1">
      <alignment horizontal="center" vertical="center"/>
    </xf>
    <xf numFmtId="166" fontId="23" fillId="7" borderId="8" xfId="0" applyNumberFormat="1" applyFont="1" applyFill="1" applyBorder="1" applyAlignment="1">
      <alignment horizontal="center"/>
    </xf>
    <xf numFmtId="0" fontId="22" fillId="8" borderId="8" xfId="0" applyFont="1" applyFill="1" applyBorder="1" applyAlignment="1">
      <alignment horizontal="center" vertical="center"/>
    </xf>
    <xf numFmtId="0" fontId="21" fillId="8" borderId="8" xfId="0" applyFont="1" applyFill="1" applyBorder="1" applyAlignment="1">
      <alignment horizontal="center" vertical="center"/>
    </xf>
    <xf numFmtId="20" fontId="21" fillId="8" borderId="8" xfId="0" applyNumberFormat="1" applyFont="1" applyFill="1" applyBorder="1" applyAlignment="1">
      <alignment horizontal="center" vertical="center"/>
    </xf>
    <xf numFmtId="166" fontId="21" fillId="8" borderId="8" xfId="0" applyNumberFormat="1" applyFont="1" applyFill="1" applyBorder="1" applyAlignment="1">
      <alignment horizontal="center" vertical="center"/>
    </xf>
    <xf numFmtId="166" fontId="21" fillId="8" borderId="8" xfId="0" applyNumberFormat="1" applyFont="1" applyFill="1" applyBorder="1" applyAlignment="1">
      <alignment horizontal="center"/>
    </xf>
    <xf numFmtId="46" fontId="19" fillId="8" borderId="8" xfId="0" applyNumberFormat="1" applyFont="1" applyFill="1" applyBorder="1" applyAlignment="1">
      <alignment horizontal="center" vertical="center"/>
    </xf>
    <xf numFmtId="167" fontId="21" fillId="8" borderId="8" xfId="0" applyNumberFormat="1" applyFont="1" applyFill="1" applyBorder="1" applyAlignment="1">
      <alignment horizontal="center"/>
    </xf>
    <xf numFmtId="0" fontId="21" fillId="8" borderId="8" xfId="0" applyFont="1" applyFill="1" applyBorder="1" applyAlignment="1">
      <alignment horizontal="center"/>
    </xf>
    <xf numFmtId="49" fontId="21" fillId="8" borderId="8" xfId="0" applyNumberFormat="1" applyFont="1" applyFill="1" applyBorder="1" applyAlignment="1">
      <alignment horizontal="center"/>
    </xf>
    <xf numFmtId="167" fontId="21" fillId="8" borderId="8" xfId="0" applyNumberFormat="1" applyFont="1" applyFill="1" applyBorder="1" applyAlignment="1">
      <alignment horizontal="center" vertical="center"/>
    </xf>
    <xf numFmtId="166" fontId="23" fillId="8" borderId="8" xfId="0" applyNumberFormat="1" applyFont="1" applyFill="1" applyBorder="1" applyAlignment="1">
      <alignment horizontal="center"/>
    </xf>
    <xf numFmtId="22" fontId="21" fillId="7" borderId="8" xfId="0" applyNumberFormat="1" applyFont="1" applyFill="1" applyBorder="1" applyAlignment="1">
      <alignment horizontal="center" vertical="center"/>
    </xf>
    <xf numFmtId="22" fontId="21" fillId="8" borderId="8" xfId="0" applyNumberFormat="1" applyFont="1" applyFill="1" applyBorder="1" applyAlignment="1">
      <alignment horizontal="center" vertical="center"/>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20" fontId="0" fillId="7" borderId="8" xfId="0" applyNumberFormat="1" applyFill="1" applyBorder="1" applyAlignment="1">
      <alignment horizontal="center" vertical="center"/>
    </xf>
    <xf numFmtId="0" fontId="25" fillId="8" borderId="19" xfId="0" applyFont="1" applyFill="1" applyBorder="1" applyAlignment="1">
      <alignment horizontal="center" vertical="center"/>
    </xf>
    <xf numFmtId="0" fontId="25" fillId="8" borderId="21" xfId="0" applyFont="1" applyFill="1" applyBorder="1" applyAlignment="1">
      <alignment horizontal="center" vertical="center"/>
    </xf>
    <xf numFmtId="0" fontId="24" fillId="0" borderId="20" xfId="0" applyFont="1" applyBorder="1" applyAlignment="1">
      <alignment horizontal="center" vertical="center"/>
    </xf>
    <xf numFmtId="0" fontId="24" fillId="0" borderId="22" xfId="0" applyFont="1" applyBorder="1" applyAlignment="1">
      <alignment horizontal="center" vertical="center"/>
    </xf>
    <xf numFmtId="20" fontId="24" fillId="0" borderId="22" xfId="0" applyNumberFormat="1" applyFont="1" applyBorder="1" applyAlignment="1">
      <alignment horizontal="center" vertical="center"/>
    </xf>
    <xf numFmtId="0" fontId="0" fillId="0" borderId="0" xfId="0" applyAlignment="1">
      <alignment horizontal="center"/>
    </xf>
    <xf numFmtId="0" fontId="25" fillId="8" borderId="19" xfId="0" applyFont="1" applyFill="1" applyBorder="1" applyAlignment="1">
      <alignment horizontal="center" vertical="center" wrapText="1"/>
    </xf>
    <xf numFmtId="20" fontId="0" fillId="0" borderId="0" xfId="0" applyNumberFormat="1" applyAlignment="1">
      <alignment horizontal="center"/>
    </xf>
    <xf numFmtId="20" fontId="0" fillId="8" borderId="8" xfId="0" applyNumberFormat="1" applyFill="1" applyBorder="1" applyAlignment="1">
      <alignment horizontal="center" vertical="center"/>
    </xf>
    <xf numFmtId="169" fontId="0" fillId="0" borderId="0" xfId="0" applyNumberFormat="1" applyAlignment="1">
      <alignment horizontal="center" vertical="center"/>
    </xf>
    <xf numFmtId="0" fontId="8" fillId="9" borderId="8" xfId="0" applyFont="1" applyFill="1" applyBorder="1" applyAlignment="1">
      <alignment horizontal="center" vertical="center"/>
    </xf>
    <xf numFmtId="165" fontId="6" fillId="9" borderId="8" xfId="0" applyNumberFormat="1" applyFont="1" applyFill="1" applyBorder="1" applyAlignment="1">
      <alignment horizontal="center" vertical="center"/>
    </xf>
    <xf numFmtId="0" fontId="1" fillId="9" borderId="8" xfId="0" applyFont="1" applyFill="1" applyBorder="1" applyAlignment="1">
      <alignment horizontal="center" vertical="center"/>
    </xf>
    <xf numFmtId="168" fontId="9" fillId="9" borderId="8" xfId="0" quotePrefix="1" applyNumberFormat="1" applyFont="1" applyFill="1" applyBorder="1" applyAlignment="1">
      <alignment horizontal="center" vertical="center" wrapText="1"/>
    </xf>
    <xf numFmtId="21" fontId="10" fillId="9" borderId="8" xfId="0" applyNumberFormat="1" applyFont="1" applyFill="1" applyBorder="1" applyAlignment="1">
      <alignment horizontal="center" vertical="center"/>
    </xf>
    <xf numFmtId="20" fontId="8" fillId="9" borderId="8" xfId="0" applyNumberFormat="1" applyFont="1" applyFill="1" applyBorder="1" applyAlignment="1">
      <alignment horizontal="center" vertical="center"/>
    </xf>
    <xf numFmtId="0" fontId="0" fillId="9" borderId="8" xfId="0" applyFill="1" applyBorder="1" applyAlignment="1">
      <alignment horizontal="center" vertical="center"/>
    </xf>
    <xf numFmtId="0" fontId="0" fillId="9" borderId="0" xfId="0" applyFill="1" applyAlignment="1">
      <alignment horizontal="center" vertical="center"/>
    </xf>
    <xf numFmtId="0" fontId="15" fillId="2" borderId="5" xfId="0" applyFont="1" applyFill="1" applyBorder="1" applyAlignment="1">
      <alignment horizontal="center" vertical="center" wrapText="1"/>
    </xf>
    <xf numFmtId="166" fontId="15" fillId="2" borderId="5" xfId="0" applyNumberFormat="1" applyFont="1" applyFill="1" applyBorder="1" applyAlignment="1">
      <alignment horizontal="center" vertical="center" wrapText="1"/>
    </xf>
    <xf numFmtId="167" fontId="15" fillId="2" borderId="5" xfId="0" applyNumberFormat="1" applyFont="1" applyFill="1" applyBorder="1" applyAlignment="1">
      <alignment horizontal="center" vertical="center" wrapText="1"/>
    </xf>
    <xf numFmtId="49" fontId="15" fillId="2" borderId="5" xfId="0" applyNumberFormat="1" applyFont="1" applyFill="1" applyBorder="1" applyAlignment="1">
      <alignment horizontal="center" vertical="center" wrapText="1"/>
    </xf>
    <xf numFmtId="0" fontId="15" fillId="2" borderId="2" xfId="0" applyFont="1" applyFill="1" applyBorder="1" applyAlignment="1">
      <alignment horizontal="center" vertical="center" wrapText="1"/>
    </xf>
    <xf numFmtId="14" fontId="21" fillId="7" borderId="8" xfId="0" applyNumberFormat="1" applyFont="1" applyFill="1" applyBorder="1" applyAlignment="1">
      <alignment horizontal="center" vertical="center"/>
    </xf>
    <xf numFmtId="14" fontId="21" fillId="8" borderId="8" xfId="0" applyNumberFormat="1" applyFont="1" applyFill="1" applyBorder="1" applyAlignment="1">
      <alignment horizontal="center" vertical="center"/>
    </xf>
    <xf numFmtId="0" fontId="31" fillId="9" borderId="8" xfId="0" applyFont="1" applyFill="1" applyBorder="1" applyAlignment="1">
      <alignment horizontal="center" vertical="center" wrapText="1"/>
    </xf>
    <xf numFmtId="14" fontId="31" fillId="9" borderId="8" xfId="0" applyNumberFormat="1" applyFont="1" applyFill="1" applyBorder="1" applyAlignment="1">
      <alignment horizontal="center" vertical="center" wrapText="1"/>
    </xf>
    <xf numFmtId="0" fontId="32" fillId="0" borderId="8" xfId="0" applyFont="1" applyBorder="1" applyAlignment="1">
      <alignment horizontal="center" vertical="center"/>
    </xf>
    <xf numFmtId="0" fontId="33" fillId="10" borderId="8" xfId="0" applyFont="1" applyFill="1" applyBorder="1" applyAlignment="1">
      <alignment horizontal="center" vertical="center" wrapText="1"/>
    </xf>
    <xf numFmtId="170" fontId="29" fillId="0" borderId="0" xfId="0" applyNumberFormat="1" applyFont="1" applyAlignment="1">
      <alignment horizontal="center"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14" fontId="21" fillId="8" borderId="12" xfId="0" applyNumberFormat="1" applyFont="1" applyFill="1" applyBorder="1" applyAlignment="1">
      <alignment horizontal="center" vertical="center"/>
    </xf>
    <xf numFmtId="0" fontId="22" fillId="8" borderId="12" xfId="0" applyFont="1" applyFill="1" applyBorder="1" applyAlignment="1">
      <alignment horizontal="center" vertical="center"/>
    </xf>
    <xf numFmtId="0" fontId="21" fillId="8" borderId="12" xfId="0" applyFont="1" applyFill="1" applyBorder="1" applyAlignment="1">
      <alignment horizontal="center" vertical="center"/>
    </xf>
    <xf numFmtId="20" fontId="21" fillId="8" borderId="12" xfId="0" applyNumberFormat="1" applyFont="1" applyFill="1" applyBorder="1" applyAlignment="1">
      <alignment horizontal="center" vertical="center"/>
    </xf>
    <xf numFmtId="22" fontId="21" fillId="8" borderId="12" xfId="0" applyNumberFormat="1" applyFont="1" applyFill="1" applyBorder="1" applyAlignment="1">
      <alignment horizontal="center" vertical="center"/>
    </xf>
    <xf numFmtId="166" fontId="21" fillId="8" borderId="12" xfId="0" applyNumberFormat="1" applyFont="1" applyFill="1" applyBorder="1" applyAlignment="1">
      <alignment horizontal="center" vertical="center"/>
    </xf>
    <xf numFmtId="166" fontId="21" fillId="8" borderId="12" xfId="0" applyNumberFormat="1" applyFont="1" applyFill="1" applyBorder="1" applyAlignment="1">
      <alignment horizontal="center"/>
    </xf>
    <xf numFmtId="46" fontId="19" fillId="8" borderId="12" xfId="0" applyNumberFormat="1" applyFont="1" applyFill="1" applyBorder="1" applyAlignment="1">
      <alignment horizontal="center" vertical="center"/>
    </xf>
    <xf numFmtId="167" fontId="21" fillId="8" borderId="12" xfId="0" applyNumberFormat="1" applyFont="1" applyFill="1" applyBorder="1" applyAlignment="1">
      <alignment horizontal="center"/>
    </xf>
    <xf numFmtId="0" fontId="21" fillId="8" borderId="12" xfId="0" applyFont="1" applyFill="1" applyBorder="1" applyAlignment="1">
      <alignment horizontal="center"/>
    </xf>
    <xf numFmtId="49" fontId="21" fillId="8" borderId="12" xfId="0" applyNumberFormat="1" applyFont="1" applyFill="1" applyBorder="1" applyAlignment="1">
      <alignment horizontal="center"/>
    </xf>
    <xf numFmtId="167" fontId="21" fillId="8" borderId="12" xfId="0" applyNumberFormat="1" applyFont="1" applyFill="1" applyBorder="1" applyAlignment="1">
      <alignment horizontal="center" vertical="center"/>
    </xf>
    <xf numFmtId="166" fontId="23" fillId="8" borderId="12" xfId="0" applyNumberFormat="1" applyFont="1" applyFill="1" applyBorder="1" applyAlignment="1">
      <alignment horizontal="center"/>
    </xf>
    <xf numFmtId="20" fontId="0" fillId="8" borderId="12" xfId="0" applyNumberFormat="1" applyFill="1" applyBorder="1" applyAlignment="1">
      <alignment horizontal="center" vertical="center"/>
    </xf>
    <xf numFmtId="0" fontId="34" fillId="2" borderId="5" xfId="0" applyFont="1" applyFill="1" applyBorder="1" applyAlignment="1">
      <alignment horizontal="center" vertical="center" wrapText="1"/>
    </xf>
    <xf numFmtId="49" fontId="11" fillId="8" borderId="12" xfId="0" applyNumberFormat="1" applyFont="1" applyFill="1" applyBorder="1" applyAlignment="1">
      <alignment horizontal="center"/>
    </xf>
    <xf numFmtId="49" fontId="11" fillId="8" borderId="8" xfId="0" applyNumberFormat="1" applyFont="1" applyFill="1" applyBorder="1" applyAlignment="1">
      <alignment horizontal="center"/>
    </xf>
    <xf numFmtId="21" fontId="11" fillId="7" borderId="8" xfId="0" applyNumberFormat="1" applyFont="1" applyFill="1" applyBorder="1" applyAlignment="1">
      <alignment horizontal="center"/>
    </xf>
    <xf numFmtId="21" fontId="11" fillId="8" borderId="8" xfId="0" applyNumberFormat="1" applyFont="1" applyFill="1" applyBorder="1" applyAlignment="1">
      <alignment horizontal="center"/>
    </xf>
    <xf numFmtId="0" fontId="0" fillId="7" borderId="0" xfId="0" applyFill="1"/>
    <xf numFmtId="0" fontId="0" fillId="8" borderId="0" xfId="0" applyFill="1"/>
    <xf numFmtId="14" fontId="21" fillId="9" borderId="8" xfId="0" applyNumberFormat="1" applyFont="1" applyFill="1" applyBorder="1" applyAlignment="1">
      <alignment horizontal="center" vertical="center"/>
    </xf>
    <xf numFmtId="0" fontId="22" fillId="9" borderId="8" xfId="0" applyFont="1" applyFill="1" applyBorder="1" applyAlignment="1">
      <alignment horizontal="center" vertical="center"/>
    </xf>
    <xf numFmtId="0" fontId="21" fillId="9" borderId="8" xfId="0" applyFont="1" applyFill="1" applyBorder="1" applyAlignment="1">
      <alignment horizontal="center" vertical="center"/>
    </xf>
    <xf numFmtId="20" fontId="21" fillId="9" borderId="8" xfId="0" applyNumberFormat="1" applyFont="1" applyFill="1" applyBorder="1" applyAlignment="1">
      <alignment horizontal="center" vertical="center"/>
    </xf>
    <xf numFmtId="22" fontId="21" fillId="9" borderId="8" xfId="0" applyNumberFormat="1" applyFont="1" applyFill="1" applyBorder="1" applyAlignment="1">
      <alignment horizontal="center" vertical="center"/>
    </xf>
    <xf numFmtId="166" fontId="21" fillId="9" borderId="8" xfId="0" applyNumberFormat="1" applyFont="1" applyFill="1" applyBorder="1" applyAlignment="1">
      <alignment horizontal="center" vertical="center"/>
    </xf>
    <xf numFmtId="166" fontId="21" fillId="9" borderId="8" xfId="0" applyNumberFormat="1" applyFont="1" applyFill="1" applyBorder="1" applyAlignment="1">
      <alignment horizontal="center"/>
    </xf>
    <xf numFmtId="46" fontId="19" fillId="9" borderId="8" xfId="0" applyNumberFormat="1" applyFont="1" applyFill="1" applyBorder="1" applyAlignment="1">
      <alignment horizontal="center" vertical="center"/>
    </xf>
    <xf numFmtId="167" fontId="21" fillId="9" borderId="8" xfId="0" applyNumberFormat="1" applyFont="1" applyFill="1" applyBorder="1" applyAlignment="1">
      <alignment horizontal="center"/>
    </xf>
    <xf numFmtId="0" fontId="21" fillId="9" borderId="8" xfId="0" applyFont="1" applyFill="1" applyBorder="1" applyAlignment="1">
      <alignment horizontal="center"/>
    </xf>
    <xf numFmtId="21" fontId="11" fillId="9" borderId="8" xfId="0" applyNumberFormat="1" applyFont="1" applyFill="1" applyBorder="1" applyAlignment="1">
      <alignment horizontal="center"/>
    </xf>
    <xf numFmtId="49" fontId="21" fillId="9" borderId="8" xfId="0" applyNumberFormat="1" applyFont="1" applyFill="1" applyBorder="1" applyAlignment="1">
      <alignment horizontal="center"/>
    </xf>
    <xf numFmtId="167" fontId="21" fillId="9" borderId="8" xfId="0" applyNumberFormat="1" applyFont="1" applyFill="1" applyBorder="1" applyAlignment="1">
      <alignment horizontal="center" vertical="center"/>
    </xf>
    <xf numFmtId="166" fontId="23" fillId="9" borderId="8" xfId="0" applyNumberFormat="1" applyFont="1" applyFill="1" applyBorder="1" applyAlignment="1">
      <alignment horizontal="center"/>
    </xf>
    <xf numFmtId="20" fontId="0" fillId="9" borderId="8" xfId="0" applyNumberFormat="1" applyFill="1" applyBorder="1" applyAlignment="1">
      <alignment horizontal="center" vertical="center"/>
    </xf>
    <xf numFmtId="0" fontId="0" fillId="9" borderId="0" xfId="0" applyFill="1"/>
    <xf numFmtId="49" fontId="11" fillId="9" borderId="8" xfId="0" applyNumberFormat="1" applyFont="1" applyFill="1" applyBorder="1" applyAlignment="1">
      <alignment horizontal="center"/>
    </xf>
    <xf numFmtId="20" fontId="0" fillId="0" borderId="8" xfId="0" applyNumberFormat="1" applyBorder="1" applyAlignment="1">
      <alignment horizontal="center" vertical="center"/>
    </xf>
    <xf numFmtId="49" fontId="11" fillId="7" borderId="8" xfId="0" applyNumberFormat="1" applyFont="1" applyFill="1" applyBorder="1" applyAlignment="1">
      <alignment horizontal="center"/>
    </xf>
    <xf numFmtId="167" fontId="21" fillId="0" borderId="8" xfId="0" applyNumberFormat="1" applyFont="1" applyBorder="1" applyAlignment="1">
      <alignment horizontal="center" vertical="center"/>
    </xf>
    <xf numFmtId="14" fontId="21" fillId="0" borderId="8" xfId="0" applyNumberFormat="1" applyFont="1" applyBorder="1" applyAlignment="1">
      <alignment horizontal="center" vertical="center"/>
    </xf>
    <xf numFmtId="0" fontId="22" fillId="0" borderId="8" xfId="0" applyFont="1" applyBorder="1" applyAlignment="1">
      <alignment horizontal="center" vertical="center"/>
    </xf>
    <xf numFmtId="0" fontId="21" fillId="0" borderId="8" xfId="0" applyFont="1" applyBorder="1" applyAlignment="1">
      <alignment horizontal="center" vertical="center"/>
    </xf>
    <xf numFmtId="20" fontId="21" fillId="0" borderId="8" xfId="0" applyNumberFormat="1" applyFont="1" applyBorder="1" applyAlignment="1">
      <alignment horizontal="center" vertical="center"/>
    </xf>
    <xf numFmtId="22" fontId="21" fillId="0" borderId="8" xfId="0" applyNumberFormat="1" applyFont="1" applyBorder="1" applyAlignment="1">
      <alignment horizontal="center" vertical="center"/>
    </xf>
    <xf numFmtId="166" fontId="21" fillId="0" borderId="8" xfId="0" applyNumberFormat="1" applyFont="1" applyBorder="1" applyAlignment="1">
      <alignment horizontal="center" vertical="center"/>
    </xf>
    <xf numFmtId="166" fontId="21" fillId="0" borderId="8" xfId="0" applyNumberFormat="1" applyFont="1" applyBorder="1" applyAlignment="1">
      <alignment horizontal="center"/>
    </xf>
    <xf numFmtId="167" fontId="21" fillId="0" borderId="8" xfId="0" applyNumberFormat="1" applyFont="1" applyBorder="1" applyAlignment="1">
      <alignment horizontal="center"/>
    </xf>
    <xf numFmtId="0" fontId="21" fillId="0" borderId="8" xfId="0" applyFont="1" applyBorder="1" applyAlignment="1">
      <alignment horizontal="center"/>
    </xf>
    <xf numFmtId="49" fontId="11" fillId="0" borderId="8" xfId="0" applyNumberFormat="1" applyFont="1" applyBorder="1" applyAlignment="1">
      <alignment horizontal="center"/>
    </xf>
    <xf numFmtId="49" fontId="21" fillId="0" borderId="8" xfId="0" applyNumberFormat="1" applyFont="1" applyBorder="1" applyAlignment="1">
      <alignment horizontal="center"/>
    </xf>
    <xf numFmtId="46" fontId="19" fillId="0" borderId="8" xfId="0" applyNumberFormat="1" applyFont="1" applyBorder="1" applyAlignment="1">
      <alignment horizontal="center" vertical="center"/>
    </xf>
    <xf numFmtId="166" fontId="23" fillId="0" borderId="8" xfId="0" applyNumberFormat="1" applyFont="1" applyBorder="1" applyAlignment="1">
      <alignment horizontal="center"/>
    </xf>
    <xf numFmtId="0" fontId="33" fillId="0" borderId="8" xfId="0" applyFont="1" applyBorder="1" applyAlignment="1">
      <alignment horizontal="center" vertical="center" wrapText="1"/>
    </xf>
    <xf numFmtId="0" fontId="0" fillId="8" borderId="0" xfId="0" applyFill="1" applyAlignment="1">
      <alignment horizontal="center" vertical="center"/>
    </xf>
    <xf numFmtId="167" fontId="21" fillId="3" borderId="8" xfId="0" applyNumberFormat="1" applyFont="1" applyFill="1" applyBorder="1" applyAlignment="1">
      <alignment horizontal="center"/>
    </xf>
    <xf numFmtId="166" fontId="28" fillId="0" borderId="12" xfId="0" applyNumberFormat="1" applyFont="1" applyBorder="1" applyAlignment="1">
      <alignment horizontal="center" vertical="center"/>
    </xf>
    <xf numFmtId="46" fontId="28" fillId="0" borderId="12" xfId="0" applyNumberFormat="1" applyFont="1" applyBorder="1" applyAlignment="1">
      <alignment horizontal="center" vertical="center"/>
    </xf>
    <xf numFmtId="0" fontId="28" fillId="0" borderId="12" xfId="0" applyFont="1" applyBorder="1" applyAlignment="1">
      <alignment horizontal="center" vertical="center"/>
    </xf>
    <xf numFmtId="166" fontId="28" fillId="0" borderId="8" xfId="0" applyNumberFormat="1" applyFont="1" applyBorder="1" applyAlignment="1">
      <alignment horizontal="center" vertical="center"/>
    </xf>
    <xf numFmtId="46" fontId="28" fillId="0" borderId="8" xfId="0" applyNumberFormat="1" applyFont="1" applyBorder="1" applyAlignment="1">
      <alignment horizontal="center" vertical="center"/>
    </xf>
    <xf numFmtId="0" fontId="28" fillId="0" borderId="8" xfId="0" applyFont="1" applyBorder="1" applyAlignment="1">
      <alignment horizontal="center" vertical="center"/>
    </xf>
    <xf numFmtId="170" fontId="27" fillId="0" borderId="12" xfId="0" applyNumberFormat="1" applyFont="1" applyBorder="1" applyAlignment="1">
      <alignment horizontal="center" vertical="center"/>
    </xf>
    <xf numFmtId="170" fontId="27" fillId="8" borderId="12" xfId="0" applyNumberFormat="1" applyFont="1" applyFill="1" applyBorder="1" applyAlignment="1">
      <alignment horizontal="center" vertical="center"/>
    </xf>
    <xf numFmtId="166" fontId="28" fillId="8" borderId="8" xfId="0" applyNumberFormat="1" applyFont="1" applyFill="1" applyBorder="1" applyAlignment="1">
      <alignment horizontal="center" vertical="center"/>
    </xf>
    <xf numFmtId="46" fontId="28" fillId="8" borderId="8" xfId="0" applyNumberFormat="1" applyFont="1" applyFill="1" applyBorder="1" applyAlignment="1">
      <alignment horizontal="center" vertical="center"/>
    </xf>
    <xf numFmtId="0" fontId="28" fillId="8" borderId="8" xfId="0" applyFont="1" applyFill="1" applyBorder="1" applyAlignment="1">
      <alignment horizontal="center" vertical="center"/>
    </xf>
    <xf numFmtId="166" fontId="23" fillId="3" borderId="12" xfId="0" applyNumberFormat="1" applyFont="1" applyFill="1" applyBorder="1" applyAlignment="1">
      <alignment horizontal="center"/>
    </xf>
    <xf numFmtId="170" fontId="27" fillId="7" borderId="12" xfId="0" applyNumberFormat="1" applyFont="1" applyFill="1" applyBorder="1" applyAlignment="1">
      <alignment horizontal="center" vertical="center"/>
    </xf>
    <xf numFmtId="166" fontId="28" fillId="7" borderId="8" xfId="0" applyNumberFormat="1" applyFont="1" applyFill="1" applyBorder="1" applyAlignment="1">
      <alignment horizontal="center" vertical="center"/>
    </xf>
    <xf numFmtId="46" fontId="28" fillId="7" borderId="8" xfId="0" applyNumberFormat="1" applyFont="1" applyFill="1" applyBorder="1" applyAlignment="1">
      <alignment horizontal="center" vertical="center"/>
    </xf>
    <xf numFmtId="0" fontId="28" fillId="7" borderId="8" xfId="0" applyFont="1" applyFill="1" applyBorder="1" applyAlignment="1">
      <alignment horizontal="center" vertical="center"/>
    </xf>
    <xf numFmtId="14" fontId="21" fillId="7" borderId="12" xfId="0" applyNumberFormat="1" applyFont="1" applyFill="1" applyBorder="1" applyAlignment="1">
      <alignment horizontal="center" vertical="center"/>
    </xf>
    <xf numFmtId="0" fontId="22" fillId="7" borderId="12" xfId="0" applyFont="1" applyFill="1" applyBorder="1" applyAlignment="1">
      <alignment horizontal="center" vertical="center"/>
    </xf>
    <xf numFmtId="0" fontId="21" fillId="7" borderId="12" xfId="0" applyFont="1" applyFill="1" applyBorder="1" applyAlignment="1">
      <alignment horizontal="center" vertical="center"/>
    </xf>
    <xf numFmtId="20" fontId="21" fillId="7" borderId="12" xfId="0" applyNumberFormat="1" applyFont="1" applyFill="1" applyBorder="1" applyAlignment="1">
      <alignment horizontal="center" vertical="center"/>
    </xf>
    <xf numFmtId="22" fontId="21" fillId="7" borderId="12" xfId="0" applyNumberFormat="1" applyFont="1" applyFill="1" applyBorder="1" applyAlignment="1">
      <alignment horizontal="center" vertical="center"/>
    </xf>
    <xf numFmtId="166" fontId="21" fillId="7" borderId="12" xfId="0" applyNumberFormat="1" applyFont="1" applyFill="1" applyBorder="1" applyAlignment="1">
      <alignment horizontal="center" vertical="center"/>
    </xf>
    <xf numFmtId="166" fontId="21" fillId="7" borderId="12" xfId="0" applyNumberFormat="1" applyFont="1" applyFill="1" applyBorder="1" applyAlignment="1">
      <alignment horizontal="center"/>
    </xf>
    <xf numFmtId="46" fontId="19" fillId="7" borderId="12" xfId="0" applyNumberFormat="1" applyFont="1" applyFill="1" applyBorder="1" applyAlignment="1">
      <alignment horizontal="center" vertical="center"/>
    </xf>
    <xf numFmtId="167" fontId="21" fillId="7" borderId="12" xfId="0" applyNumberFormat="1" applyFont="1" applyFill="1" applyBorder="1" applyAlignment="1">
      <alignment horizontal="center"/>
    </xf>
    <xf numFmtId="49" fontId="11" fillId="7" borderId="12" xfId="0" applyNumberFormat="1" applyFont="1" applyFill="1" applyBorder="1" applyAlignment="1">
      <alignment horizontal="center"/>
    </xf>
    <xf numFmtId="49" fontId="21" fillId="7" borderId="12" xfId="0" applyNumberFormat="1" applyFont="1" applyFill="1" applyBorder="1" applyAlignment="1">
      <alignment horizontal="center"/>
    </xf>
    <xf numFmtId="167" fontId="21" fillId="7" borderId="12" xfId="0" applyNumberFormat="1" applyFont="1" applyFill="1" applyBorder="1" applyAlignment="1">
      <alignment horizontal="center" vertical="center"/>
    </xf>
    <xf numFmtId="166" fontId="23" fillId="7" borderId="12" xfId="0" applyNumberFormat="1" applyFont="1" applyFill="1" applyBorder="1" applyAlignment="1">
      <alignment horizontal="center"/>
    </xf>
    <xf numFmtId="20" fontId="0" fillId="7" borderId="12" xfId="0" applyNumberFormat="1" applyFill="1" applyBorder="1" applyAlignment="1">
      <alignment horizontal="center" vertical="center"/>
    </xf>
    <xf numFmtId="166" fontId="28" fillId="7" borderId="12" xfId="0" applyNumberFormat="1" applyFont="1" applyFill="1" applyBorder="1" applyAlignment="1">
      <alignment horizontal="center" vertical="center"/>
    </xf>
    <xf numFmtId="46" fontId="28" fillId="7" borderId="12" xfId="0" applyNumberFormat="1" applyFont="1" applyFill="1" applyBorder="1" applyAlignment="1">
      <alignment horizontal="center" vertical="center"/>
    </xf>
    <xf numFmtId="0" fontId="28" fillId="7" borderId="12" xfId="0" applyFont="1" applyFill="1" applyBorder="1" applyAlignment="1">
      <alignment horizontal="center" vertical="center"/>
    </xf>
    <xf numFmtId="166" fontId="28" fillId="8" borderId="12" xfId="0" applyNumberFormat="1" applyFont="1" applyFill="1" applyBorder="1" applyAlignment="1">
      <alignment horizontal="center" vertical="center"/>
    </xf>
    <xf numFmtId="46" fontId="28" fillId="8" borderId="12" xfId="0" applyNumberFormat="1" applyFont="1" applyFill="1" applyBorder="1" applyAlignment="1">
      <alignment horizontal="center" vertical="center"/>
    </xf>
    <xf numFmtId="0" fontId="28" fillId="8" borderId="12" xfId="0" applyFont="1" applyFill="1" applyBorder="1" applyAlignment="1">
      <alignment horizontal="center" vertical="center"/>
    </xf>
    <xf numFmtId="14" fontId="21" fillId="9" borderId="12" xfId="0" applyNumberFormat="1" applyFont="1" applyFill="1" applyBorder="1" applyAlignment="1">
      <alignment horizontal="center" vertical="center"/>
    </xf>
    <xf numFmtId="0" fontId="22" fillId="9" borderId="12" xfId="0" applyFont="1" applyFill="1" applyBorder="1" applyAlignment="1">
      <alignment horizontal="center" vertical="center"/>
    </xf>
    <xf numFmtId="0" fontId="21" fillId="9" borderId="12" xfId="0" applyFont="1" applyFill="1" applyBorder="1" applyAlignment="1">
      <alignment horizontal="center" vertical="center"/>
    </xf>
    <xf numFmtId="20" fontId="21" fillId="9" borderId="12" xfId="0" applyNumberFormat="1" applyFont="1" applyFill="1" applyBorder="1" applyAlignment="1">
      <alignment horizontal="center" vertical="center"/>
    </xf>
    <xf numFmtId="22" fontId="21" fillId="9" borderId="12" xfId="0" applyNumberFormat="1" applyFont="1" applyFill="1" applyBorder="1" applyAlignment="1">
      <alignment horizontal="center" vertical="center"/>
    </xf>
    <xf numFmtId="166" fontId="21" fillId="9" borderId="12" xfId="0" applyNumberFormat="1" applyFont="1" applyFill="1" applyBorder="1" applyAlignment="1">
      <alignment horizontal="center" vertical="center"/>
    </xf>
    <xf numFmtId="166" fontId="21" fillId="9" borderId="12" xfId="0" applyNumberFormat="1" applyFont="1" applyFill="1" applyBorder="1" applyAlignment="1">
      <alignment horizontal="center"/>
    </xf>
    <xf numFmtId="46" fontId="19" fillId="9" borderId="12" xfId="0" applyNumberFormat="1" applyFont="1" applyFill="1" applyBorder="1" applyAlignment="1">
      <alignment horizontal="center" vertical="center"/>
    </xf>
    <xf numFmtId="167" fontId="21" fillId="9" borderId="12" xfId="0" applyNumberFormat="1" applyFont="1" applyFill="1" applyBorder="1" applyAlignment="1">
      <alignment horizontal="center"/>
    </xf>
    <xf numFmtId="0" fontId="21" fillId="9" borderId="12" xfId="0" applyFont="1" applyFill="1" applyBorder="1" applyAlignment="1">
      <alignment horizontal="center"/>
    </xf>
    <xf numFmtId="49" fontId="11" fillId="9" borderId="12" xfId="0" applyNumberFormat="1" applyFont="1" applyFill="1" applyBorder="1" applyAlignment="1">
      <alignment horizontal="center"/>
    </xf>
    <xf numFmtId="49" fontId="21" fillId="9" borderId="12" xfId="0" applyNumberFormat="1" applyFont="1" applyFill="1" applyBorder="1" applyAlignment="1">
      <alignment horizontal="center"/>
    </xf>
    <xf numFmtId="167" fontId="21" fillId="9" borderId="12" xfId="0" applyNumberFormat="1" applyFont="1" applyFill="1" applyBorder="1" applyAlignment="1">
      <alignment horizontal="center" vertical="center"/>
    </xf>
    <xf numFmtId="166" fontId="23" fillId="9" borderId="12" xfId="0" applyNumberFormat="1" applyFont="1" applyFill="1" applyBorder="1" applyAlignment="1">
      <alignment horizontal="center"/>
    </xf>
    <xf numFmtId="20" fontId="0" fillId="9" borderId="12" xfId="0" applyNumberFormat="1" applyFill="1" applyBorder="1" applyAlignment="1">
      <alignment horizontal="center" vertical="center"/>
    </xf>
    <xf numFmtId="170" fontId="27" fillId="9" borderId="12" xfId="0" applyNumberFormat="1" applyFont="1" applyFill="1" applyBorder="1" applyAlignment="1">
      <alignment horizontal="center" vertical="center"/>
    </xf>
    <xf numFmtId="166" fontId="28" fillId="9" borderId="12" xfId="0" applyNumberFormat="1" applyFont="1" applyFill="1" applyBorder="1" applyAlignment="1">
      <alignment horizontal="center" vertical="center"/>
    </xf>
    <xf numFmtId="46" fontId="28" fillId="9" borderId="12" xfId="0" applyNumberFormat="1" applyFont="1" applyFill="1" applyBorder="1" applyAlignment="1">
      <alignment horizontal="center" vertical="center"/>
    </xf>
    <xf numFmtId="0" fontId="28" fillId="9" borderId="12" xfId="0" applyFont="1" applyFill="1" applyBorder="1" applyAlignment="1">
      <alignment horizontal="center" vertical="center"/>
    </xf>
    <xf numFmtId="14" fontId="21" fillId="11" borderId="8" xfId="0" applyNumberFormat="1" applyFont="1" applyFill="1" applyBorder="1" applyAlignment="1">
      <alignment horizontal="center" vertical="center"/>
    </xf>
    <xf numFmtId="0" fontId="22" fillId="11" borderId="8" xfId="0" applyFont="1" applyFill="1" applyBorder="1" applyAlignment="1">
      <alignment horizontal="center" vertical="center"/>
    </xf>
    <xf numFmtId="0" fontId="21" fillId="11" borderId="8" xfId="0" applyFont="1" applyFill="1" applyBorder="1" applyAlignment="1">
      <alignment horizontal="center" vertical="center"/>
    </xf>
    <xf numFmtId="20" fontId="21" fillId="11" borderId="8" xfId="0" applyNumberFormat="1" applyFont="1" applyFill="1" applyBorder="1" applyAlignment="1">
      <alignment horizontal="center" vertical="center"/>
    </xf>
    <xf numFmtId="22" fontId="21" fillId="11" borderId="8" xfId="0" applyNumberFormat="1" applyFont="1" applyFill="1" applyBorder="1" applyAlignment="1">
      <alignment horizontal="center" vertical="center"/>
    </xf>
    <xf numFmtId="166" fontId="21" fillId="11" borderId="8" xfId="0" applyNumberFormat="1" applyFont="1" applyFill="1" applyBorder="1" applyAlignment="1">
      <alignment horizontal="center" vertical="center"/>
    </xf>
    <xf numFmtId="166" fontId="21" fillId="11" borderId="8" xfId="0" applyNumberFormat="1" applyFont="1" applyFill="1" applyBorder="1" applyAlignment="1">
      <alignment horizontal="center"/>
    </xf>
    <xf numFmtId="46" fontId="19" fillId="11" borderId="8" xfId="0" applyNumberFormat="1" applyFont="1" applyFill="1" applyBorder="1" applyAlignment="1">
      <alignment horizontal="center" vertical="center"/>
    </xf>
    <xf numFmtId="167" fontId="21" fillId="11" borderId="8" xfId="0" applyNumberFormat="1" applyFont="1" applyFill="1" applyBorder="1" applyAlignment="1">
      <alignment horizontal="center"/>
    </xf>
    <xf numFmtId="0" fontId="21" fillId="11" borderId="8" xfId="0" applyFont="1" applyFill="1" applyBorder="1" applyAlignment="1">
      <alignment horizontal="center"/>
    </xf>
    <xf numFmtId="21" fontId="11" fillId="11" borderId="8" xfId="0" applyNumberFormat="1" applyFont="1" applyFill="1" applyBorder="1" applyAlignment="1">
      <alignment horizontal="center"/>
    </xf>
    <xf numFmtId="49" fontId="21" fillId="11" borderId="8" xfId="0" applyNumberFormat="1" applyFont="1" applyFill="1" applyBorder="1" applyAlignment="1">
      <alignment horizontal="center"/>
    </xf>
    <xf numFmtId="167" fontId="21" fillId="11" borderId="8" xfId="0" applyNumberFormat="1" applyFont="1" applyFill="1" applyBorder="1" applyAlignment="1">
      <alignment horizontal="center" vertical="center"/>
    </xf>
    <xf numFmtId="166" fontId="23" fillId="11" borderId="8" xfId="0" applyNumberFormat="1" applyFont="1" applyFill="1" applyBorder="1" applyAlignment="1">
      <alignment horizontal="center"/>
    </xf>
    <xf numFmtId="20" fontId="0" fillId="11" borderId="8" xfId="0" applyNumberFormat="1" applyFill="1" applyBorder="1" applyAlignment="1">
      <alignment horizontal="center" vertical="center"/>
    </xf>
    <xf numFmtId="170" fontId="27" fillId="11" borderId="12" xfId="0" applyNumberFormat="1" applyFont="1" applyFill="1" applyBorder="1" applyAlignment="1">
      <alignment horizontal="center" vertical="center"/>
    </xf>
    <xf numFmtId="166" fontId="28" fillId="11" borderId="8" xfId="0" applyNumberFormat="1" applyFont="1" applyFill="1" applyBorder="1" applyAlignment="1">
      <alignment horizontal="center" vertical="center"/>
    </xf>
    <xf numFmtId="46" fontId="28" fillId="11" borderId="8" xfId="0" applyNumberFormat="1" applyFont="1" applyFill="1" applyBorder="1" applyAlignment="1">
      <alignment horizontal="center" vertical="center"/>
    </xf>
    <xf numFmtId="0" fontId="28" fillId="11" borderId="8" xfId="0" applyFont="1" applyFill="1" applyBorder="1" applyAlignment="1">
      <alignment horizontal="center" vertical="center"/>
    </xf>
    <xf numFmtId="0" fontId="0" fillId="11" borderId="0" xfId="0" applyFill="1"/>
    <xf numFmtId="49" fontId="11" fillId="11" borderId="8" xfId="0" applyNumberFormat="1" applyFont="1" applyFill="1" applyBorder="1" applyAlignment="1">
      <alignment horizontal="center"/>
    </xf>
    <xf numFmtId="166" fontId="28" fillId="9" borderId="8" xfId="0" applyNumberFormat="1" applyFont="1" applyFill="1" applyBorder="1" applyAlignment="1">
      <alignment horizontal="center" vertical="center"/>
    </xf>
    <xf numFmtId="46" fontId="28" fillId="9" borderId="8" xfId="0" applyNumberFormat="1" applyFont="1" applyFill="1" applyBorder="1" applyAlignment="1">
      <alignment horizontal="center" vertical="center"/>
    </xf>
    <xf numFmtId="0" fontId="28" fillId="9" borderId="8" xfId="0" applyFont="1" applyFill="1" applyBorder="1" applyAlignment="1">
      <alignment horizontal="center" vertical="center"/>
    </xf>
    <xf numFmtId="46" fontId="19" fillId="8" borderId="8" xfId="0" quotePrefix="1" applyNumberFormat="1" applyFont="1" applyFill="1" applyBorder="1" applyAlignment="1">
      <alignment horizontal="center" vertical="center"/>
    </xf>
    <xf numFmtId="0" fontId="26" fillId="4" borderId="2" xfId="0" applyFont="1" applyFill="1" applyBorder="1" applyAlignment="1">
      <alignment horizontal="center"/>
    </xf>
    <xf numFmtId="0" fontId="26" fillId="4" borderId="3" xfId="0" applyFont="1" applyFill="1" applyBorder="1" applyAlignment="1">
      <alignment horizontal="center"/>
    </xf>
    <xf numFmtId="170" fontId="30" fillId="4" borderId="23" xfId="0" applyNumberFormat="1" applyFont="1" applyFill="1" applyBorder="1" applyAlignment="1">
      <alignment horizontal="center"/>
    </xf>
    <xf numFmtId="170" fontId="30" fillId="4" borderId="24" xfId="0" applyNumberFormat="1" applyFont="1" applyFill="1" applyBorder="1" applyAlignment="1">
      <alignment horizontal="center"/>
    </xf>
    <xf numFmtId="0" fontId="30" fillId="4" borderId="24" xfId="0" applyFont="1" applyFill="1" applyBorder="1" applyAlignment="1">
      <alignment horizontal="center"/>
    </xf>
    <xf numFmtId="0" fontId="30" fillId="4" borderId="25" xfId="0" applyFont="1" applyFill="1" applyBorder="1" applyAlignment="1">
      <alignment horizont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14" fontId="3" fillId="4" borderId="2" xfId="0" applyNumberFormat="1" applyFont="1" applyFill="1" applyBorder="1" applyAlignment="1">
      <alignment horizontal="center" vertical="center"/>
    </xf>
    <xf numFmtId="14" fontId="3" fillId="4" borderId="4" xfId="0" applyNumberFormat="1" applyFont="1" applyFill="1" applyBorder="1" applyAlignment="1">
      <alignment horizontal="center" vertical="center"/>
    </xf>
    <xf numFmtId="14" fontId="3" fillId="4" borderId="2" xfId="0" applyNumberFormat="1" applyFont="1" applyFill="1" applyBorder="1" applyAlignment="1">
      <alignment horizontal="center" vertical="center" wrapText="1"/>
    </xf>
    <xf numFmtId="14" fontId="3" fillId="4" borderId="4"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4" xfId="0" applyFont="1" applyFill="1" applyBorder="1" applyAlignment="1">
      <alignment horizontal="center" vertical="center" wrapText="1"/>
    </xf>
  </cellXfs>
  <cellStyles count="1">
    <cellStyle name="Normal" xfId="0" builtinId="0"/>
  </cellStyles>
  <dxfs count="40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F5050"/>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FE31E-3A76-4B8D-8B8E-DA22D6BB69F3}">
  <dimension ref="A3:C7"/>
  <sheetViews>
    <sheetView topLeftCell="A2" zoomScaleNormal="100" workbookViewId="0">
      <selection activeCell="A4" sqref="A4:A7"/>
    </sheetView>
  </sheetViews>
  <sheetFormatPr defaultColWidth="9.109375" defaultRowHeight="14.4" x14ac:dyDescent="0.3"/>
  <cols>
    <col min="1" max="1" width="40.109375" style="1" bestFit="1" customWidth="1"/>
    <col min="2" max="2" width="27.33203125" style="1" bestFit="1" customWidth="1"/>
    <col min="3" max="16384" width="9.109375" style="1"/>
  </cols>
  <sheetData>
    <row r="3" spans="1:3" x14ac:dyDescent="0.3">
      <c r="A3" s="1" t="s">
        <v>716</v>
      </c>
    </row>
    <row r="4" spans="1:3" s="163" customFormat="1" x14ac:dyDescent="0.3">
      <c r="A4" s="163" t="s">
        <v>547</v>
      </c>
      <c r="B4" s="163">
        <v>4</v>
      </c>
      <c r="C4" s="163">
        <v>3921</v>
      </c>
    </row>
    <row r="5" spans="1:3" s="163" customFormat="1" x14ac:dyDescent="0.3">
      <c r="A5" s="163" t="s">
        <v>477</v>
      </c>
      <c r="B5" s="163">
        <v>6</v>
      </c>
      <c r="C5" s="163">
        <v>9717</v>
      </c>
    </row>
    <row r="6" spans="1:3" s="163" customFormat="1" x14ac:dyDescent="0.3">
      <c r="A6" s="163" t="s">
        <v>692</v>
      </c>
      <c r="B6" s="163">
        <v>1</v>
      </c>
      <c r="C6" s="163">
        <v>9717</v>
      </c>
    </row>
    <row r="7" spans="1:3" s="163" customFormat="1" x14ac:dyDescent="0.3">
      <c r="A7" s="163" t="s">
        <v>634</v>
      </c>
      <c r="B7" s="163">
        <v>1</v>
      </c>
      <c r="C7" s="163">
        <v>443</v>
      </c>
    </row>
  </sheetData>
  <autoFilter ref="A3:B8" xr:uid="{320FE31E-3A76-4B8D-8B8E-DA22D6BB69F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filterMode="1">
    <pageSetUpPr fitToPage="1"/>
  </sheetPr>
  <dimension ref="A1:AD1458"/>
  <sheetViews>
    <sheetView tabSelected="1" zoomScale="130" zoomScaleNormal="130" workbookViewId="0">
      <pane ySplit="2" topLeftCell="A1021" activePane="bottomLeft" state="frozen"/>
      <selection sqref="A1:K241"/>
      <selection pane="bottomLeft" activeCell="F1021" sqref="F1021"/>
    </sheetView>
  </sheetViews>
  <sheetFormatPr defaultRowHeight="14.4" x14ac:dyDescent="0.3"/>
  <cols>
    <col min="1" max="1" width="9" style="23" customWidth="1"/>
    <col min="2" max="2" width="8.109375" style="24" customWidth="1"/>
    <col min="3" max="3" width="10.5546875" style="23" customWidth="1"/>
    <col min="4" max="4" width="16.6640625" style="23" customWidth="1"/>
    <col min="5" max="5" width="7.33203125" style="23" customWidth="1"/>
    <col min="6" max="6" width="9.5546875" style="23" customWidth="1"/>
    <col min="7" max="7" width="9.88671875" style="23" customWidth="1"/>
    <col min="8" max="8" width="8.88671875" style="31" customWidth="1"/>
    <col min="9" max="9" width="19.6640625" style="31" customWidth="1"/>
    <col min="10" max="11" width="8.44140625" style="31" customWidth="1"/>
    <col min="12" max="12" width="7.44140625" style="31" customWidth="1"/>
    <col min="13" max="13" width="7.44140625" style="34" customWidth="1"/>
    <col min="14" max="14" width="7.5546875" style="32" customWidth="1"/>
    <col min="15" max="15" width="4.33203125" style="23" customWidth="1"/>
    <col min="16" max="16" width="21.5546875" style="23" customWidth="1"/>
    <col min="17" max="17" width="10.88671875" style="33" customWidth="1"/>
    <col min="18" max="18" width="7.6640625" style="32" customWidth="1"/>
    <col min="19" max="19" width="7.109375" style="32" customWidth="1"/>
    <col min="20" max="20" width="8.33203125" style="31" customWidth="1"/>
    <col min="21" max="21" width="6.33203125" style="23" customWidth="1"/>
    <col min="22" max="22" width="5.33203125" style="84" customWidth="1"/>
    <col min="23" max="23" width="6.33203125" style="23" customWidth="1"/>
    <col min="24" max="24" width="6.44140625" style="104" customWidth="1"/>
    <col min="25" max="25" width="5.109375" style="105" customWidth="1"/>
    <col min="26" max="26" width="6.6640625" style="106" customWidth="1"/>
    <col min="27" max="27" width="7.44140625" style="106" customWidth="1"/>
    <col min="28" max="28" width="8.5546875" style="107" customWidth="1"/>
    <col min="29" max="29" width="5.6640625" style="106" customWidth="1"/>
  </cols>
  <sheetData>
    <row r="1" spans="1:29" ht="15" customHeight="1" thickBot="1" x14ac:dyDescent="0.4">
      <c r="A1" s="245" t="s">
        <v>607</v>
      </c>
      <c r="B1" s="246"/>
      <c r="C1" s="246"/>
      <c r="D1" s="246"/>
      <c r="E1" s="246"/>
      <c r="F1" s="246"/>
      <c r="G1" s="246"/>
      <c r="H1" s="246"/>
      <c r="I1" s="246"/>
      <c r="J1" s="246"/>
      <c r="K1" s="246"/>
      <c r="L1" s="246"/>
      <c r="M1" s="246"/>
      <c r="N1" s="246"/>
      <c r="O1" s="246"/>
      <c r="P1" s="246"/>
      <c r="Q1" s="246"/>
      <c r="R1" s="246"/>
      <c r="S1" s="246"/>
      <c r="T1" s="246"/>
      <c r="U1" s="246"/>
      <c r="V1" s="246"/>
      <c r="W1" s="246"/>
      <c r="X1" s="247" t="s">
        <v>608</v>
      </c>
      <c r="Y1" s="248"/>
      <c r="Z1" s="249"/>
      <c r="AA1" s="249"/>
      <c r="AB1" s="249"/>
      <c r="AC1" s="250"/>
    </row>
    <row r="2" spans="1:29" ht="36.6" thickBot="1" x14ac:dyDescent="0.35">
      <c r="A2" s="93" t="s">
        <v>0</v>
      </c>
      <c r="B2" s="93" t="s">
        <v>1</v>
      </c>
      <c r="C2" s="93" t="s">
        <v>169</v>
      </c>
      <c r="D2" s="93" t="s">
        <v>93</v>
      </c>
      <c r="E2" s="93" t="s">
        <v>2</v>
      </c>
      <c r="F2" s="93" t="s">
        <v>3</v>
      </c>
      <c r="G2" s="93" t="s">
        <v>4</v>
      </c>
      <c r="H2" s="94" t="s">
        <v>5</v>
      </c>
      <c r="I2" s="94" t="s">
        <v>794</v>
      </c>
      <c r="J2" s="94" t="s">
        <v>6</v>
      </c>
      <c r="K2" s="94" t="s">
        <v>793</v>
      </c>
      <c r="L2" s="94" t="s">
        <v>7</v>
      </c>
      <c r="M2" s="94" t="s">
        <v>8</v>
      </c>
      <c r="N2" s="95" t="s">
        <v>9</v>
      </c>
      <c r="O2" s="93" t="s">
        <v>153</v>
      </c>
      <c r="P2" s="122" t="s">
        <v>10</v>
      </c>
      <c r="Q2" s="96" t="s">
        <v>11</v>
      </c>
      <c r="R2" s="95" t="s">
        <v>6</v>
      </c>
      <c r="S2" s="95" t="s">
        <v>7</v>
      </c>
      <c r="T2" s="94" t="s">
        <v>151</v>
      </c>
      <c r="U2" s="94" t="s">
        <v>233</v>
      </c>
      <c r="V2" s="94" t="s">
        <v>8</v>
      </c>
      <c r="W2" s="97" t="s">
        <v>152</v>
      </c>
      <c r="X2" s="97" t="s">
        <v>5</v>
      </c>
      <c r="Y2" s="97" t="s">
        <v>6</v>
      </c>
      <c r="Z2" s="97" t="s">
        <v>7</v>
      </c>
      <c r="AA2" s="97" t="s">
        <v>8</v>
      </c>
      <c r="AB2" s="97" t="s">
        <v>9</v>
      </c>
      <c r="AC2" s="93" t="s">
        <v>316</v>
      </c>
    </row>
    <row r="3" spans="1:29" ht="9.75" hidden="1" customHeight="1" x14ac:dyDescent="0.3">
      <c r="A3" s="108">
        <v>46235</v>
      </c>
      <c r="B3" s="109">
        <v>8135365</v>
      </c>
      <c r="C3" s="110" t="s">
        <v>53</v>
      </c>
      <c r="D3" s="110" t="s">
        <v>298</v>
      </c>
      <c r="E3" s="111">
        <v>8.3333333333333329E-2</v>
      </c>
      <c r="F3" s="110" t="s">
        <v>13</v>
      </c>
      <c r="G3" s="112" t="s">
        <v>19</v>
      </c>
      <c r="H3" s="113">
        <v>8.611111111111111E-2</v>
      </c>
      <c r="I3" s="113" t="str">
        <f>TEXT(A3,"dd-mm-yyyy")&amp;"T"&amp;TEXT(H3,"hh:mm:ss")</f>
        <v>01-08-2026T02:04:00</v>
      </c>
      <c r="J3" s="113">
        <v>0.4909722222222222</v>
      </c>
      <c r="K3" s="113"/>
      <c r="L3" s="114">
        <f t="shared" ref="L3:L34" si="0">J3-H3</f>
        <v>0.40486111111111112</v>
      </c>
      <c r="M3" s="115">
        <v>0.41666666666666669</v>
      </c>
      <c r="N3" s="116" t="str">
        <f t="shared" ref="N3:N34" si="1">IF(M3-L3&gt;0,TEXT(M3-L3,"HH:MM:SS"),TEXT(ABS(M3-L3),"-HH:MM:SS"))</f>
        <v>00:17:00</v>
      </c>
      <c r="O3" s="117"/>
      <c r="P3" s="123"/>
      <c r="Q3" s="118" t="s">
        <v>229</v>
      </c>
      <c r="R3" s="119">
        <v>46235.361111111109</v>
      </c>
      <c r="S3" s="119">
        <v>46235.395833333336</v>
      </c>
      <c r="T3" s="120">
        <f t="shared" ref="T3:T45" si="2">S3-R3</f>
        <v>3.4722222226264421E-2</v>
      </c>
      <c r="U3" s="111"/>
      <c r="V3" s="121">
        <v>4.1666666666666664E-2</v>
      </c>
      <c r="W3" s="111">
        <f t="shared" ref="W3:W45" si="3">T3-V3</f>
        <v>-6.9444444404022435E-3</v>
      </c>
      <c r="X3" s="171">
        <v>46235.086111111108</v>
      </c>
      <c r="Y3" s="171">
        <v>46235.490972222222</v>
      </c>
      <c r="Z3" s="165">
        <f t="shared" ref="Z3" si="4">Y3-X3</f>
        <v>0.40486111111385981</v>
      </c>
      <c r="AA3" s="166">
        <f t="shared" ref="AA3" si="5">M3</f>
        <v>0.41666666666666669</v>
      </c>
      <c r="AB3" s="167" t="str">
        <f t="shared" ref="AB3" si="6">IF(AA3-Z3&gt;0,TEXT(AA3-Z3,"HH:MM:SS"),TEXT(ABS(AA3-Z3),"-HH:MM:SS"))</f>
        <v>00:17:00</v>
      </c>
      <c r="AC3" s="167" t="b">
        <f t="shared" ref="AC3" si="7">AB3=N3</f>
        <v>1</v>
      </c>
    </row>
    <row r="4" spans="1:29" ht="9.75" hidden="1" customHeight="1" x14ac:dyDescent="0.3">
      <c r="A4" s="99">
        <v>46235</v>
      </c>
      <c r="B4" s="59">
        <v>8135349</v>
      </c>
      <c r="C4" s="60" t="s">
        <v>29</v>
      </c>
      <c r="D4" s="60" t="s">
        <v>373</v>
      </c>
      <c r="E4" s="61">
        <v>8.3333333333333329E-2</v>
      </c>
      <c r="F4" s="60" t="s">
        <v>15</v>
      </c>
      <c r="G4" s="71" t="s">
        <v>17</v>
      </c>
      <c r="H4" s="62">
        <v>8.1250000000000003E-2</v>
      </c>
      <c r="I4" s="113" t="str">
        <f t="shared" ref="I4:K67" si="8">TEXT(A4,"dd-mm-yyyy")&amp;"T"&amp;TEXT(H4,"hh:mm:ss")</f>
        <v>01-08-2026T01:57:00</v>
      </c>
      <c r="J4" s="62">
        <v>0.4909722222222222</v>
      </c>
      <c r="K4" s="62"/>
      <c r="L4" s="63">
        <f t="shared" si="0"/>
        <v>0.40972222222222221</v>
      </c>
      <c r="M4" s="64">
        <v>0.41666666666666669</v>
      </c>
      <c r="N4" s="65" t="str">
        <f t="shared" si="1"/>
        <v>00:10:00</v>
      </c>
      <c r="O4" s="66"/>
      <c r="P4" s="124"/>
      <c r="Q4" s="67"/>
      <c r="R4" s="68"/>
      <c r="S4" s="68"/>
      <c r="T4" s="69">
        <f t="shared" si="2"/>
        <v>0</v>
      </c>
      <c r="U4" s="61" t="s">
        <v>234</v>
      </c>
      <c r="V4" s="83">
        <v>0</v>
      </c>
      <c r="W4" s="61">
        <f t="shared" si="3"/>
        <v>0</v>
      </c>
      <c r="X4" s="171">
        <v>46235.081250000003</v>
      </c>
      <c r="Y4" s="171">
        <v>46235.490972222222</v>
      </c>
      <c r="Z4" s="168">
        <f t="shared" ref="Z4:Z56" si="9">Y4-X4</f>
        <v>0.40972222221898846</v>
      </c>
      <c r="AA4" s="169">
        <f t="shared" ref="AA4:AA56" si="10">M4</f>
        <v>0.41666666666666669</v>
      </c>
      <c r="AB4" s="170" t="str">
        <f t="shared" ref="AB4:AB56" si="11">IF(AA4-Z4&gt;0,TEXT(AA4-Z4,"HH:MM:SS"),TEXT(ABS(AA4-Z4),"-HH:MM:SS"))</f>
        <v>00:10:00</v>
      </c>
      <c r="AC4" s="170" t="b">
        <f t="shared" ref="AC4:AC56" si="12">AB4=N4</f>
        <v>1</v>
      </c>
    </row>
    <row r="5" spans="1:29" ht="9.75" hidden="1" customHeight="1" x14ac:dyDescent="0.3">
      <c r="A5" s="99">
        <v>46235</v>
      </c>
      <c r="B5" s="59">
        <v>8135820</v>
      </c>
      <c r="C5" s="60" t="s">
        <v>87</v>
      </c>
      <c r="D5" s="60" t="s">
        <v>367</v>
      </c>
      <c r="E5" s="61">
        <v>0.125</v>
      </c>
      <c r="F5" s="60" t="s">
        <v>13</v>
      </c>
      <c r="G5" s="71" t="s">
        <v>284</v>
      </c>
      <c r="H5" s="62">
        <v>0.23194444444444445</v>
      </c>
      <c r="I5" s="113" t="str">
        <f t="shared" si="8"/>
        <v>01-08-2026T05:34:00</v>
      </c>
      <c r="J5" s="62">
        <v>0.57638888888888884</v>
      </c>
      <c r="K5" s="62"/>
      <c r="L5" s="63">
        <f t="shared" si="0"/>
        <v>0.34444444444444439</v>
      </c>
      <c r="M5" s="64">
        <v>0.35416666666666669</v>
      </c>
      <c r="N5" s="65" t="str">
        <f t="shared" si="1"/>
        <v>00:14:00</v>
      </c>
      <c r="O5" s="66"/>
      <c r="P5" s="124"/>
      <c r="Q5" s="67" t="s">
        <v>174</v>
      </c>
      <c r="R5" s="68">
        <v>46235.451388888891</v>
      </c>
      <c r="S5" s="68">
        <v>46235.5</v>
      </c>
      <c r="T5" s="69">
        <f t="shared" si="2"/>
        <v>4.8611111109494232E-2</v>
      </c>
      <c r="U5" s="61" t="s">
        <v>234</v>
      </c>
      <c r="V5" s="83">
        <v>6.25E-2</v>
      </c>
      <c r="W5" s="61">
        <f t="shared" si="3"/>
        <v>-1.3888888890505768E-2</v>
      </c>
      <c r="X5" s="171">
        <v>46235.231944444444</v>
      </c>
      <c r="Y5" s="171">
        <v>46235.576388888891</v>
      </c>
      <c r="Z5" s="168">
        <f t="shared" si="9"/>
        <v>0.34444444444670808</v>
      </c>
      <c r="AA5" s="169">
        <f t="shared" si="10"/>
        <v>0.35416666666666669</v>
      </c>
      <c r="AB5" s="170" t="str">
        <f t="shared" si="11"/>
        <v>00:14:00</v>
      </c>
      <c r="AC5" s="170" t="b">
        <f t="shared" si="12"/>
        <v>1</v>
      </c>
    </row>
    <row r="6" spans="1:29" ht="9.75" hidden="1" customHeight="1" x14ac:dyDescent="0.3">
      <c r="A6" s="99">
        <v>46235</v>
      </c>
      <c r="B6" s="59">
        <v>8135406</v>
      </c>
      <c r="C6" s="60" t="s">
        <v>57</v>
      </c>
      <c r="D6" s="60" t="s">
        <v>370</v>
      </c>
      <c r="E6" s="61">
        <v>0.125</v>
      </c>
      <c r="F6" s="60" t="s">
        <v>24</v>
      </c>
      <c r="G6" s="71" t="s">
        <v>13</v>
      </c>
      <c r="H6" s="62">
        <v>0.10625</v>
      </c>
      <c r="I6" s="113" t="str">
        <f t="shared" si="8"/>
        <v>01-08-2026T02:33:00</v>
      </c>
      <c r="J6" s="62">
        <v>0.18124999999999999</v>
      </c>
      <c r="K6" s="62"/>
      <c r="L6" s="63">
        <f t="shared" si="0"/>
        <v>7.4999999999999997E-2</v>
      </c>
      <c r="M6" s="64">
        <v>8.3333333333333329E-2</v>
      </c>
      <c r="N6" s="65" t="str">
        <f t="shared" si="1"/>
        <v>00:12:00</v>
      </c>
      <c r="O6" s="66"/>
      <c r="P6" s="124"/>
      <c r="Q6" s="67"/>
      <c r="R6" s="68"/>
      <c r="S6" s="68"/>
      <c r="T6" s="69">
        <f t="shared" si="2"/>
        <v>0</v>
      </c>
      <c r="U6" s="61" t="s">
        <v>234</v>
      </c>
      <c r="V6" s="83">
        <v>0</v>
      </c>
      <c r="W6" s="61">
        <f t="shared" si="3"/>
        <v>0</v>
      </c>
      <c r="X6" s="171">
        <v>46235.106249999997</v>
      </c>
      <c r="Y6" s="171">
        <v>46235.181250000001</v>
      </c>
      <c r="Z6" s="168">
        <f t="shared" si="9"/>
        <v>7.5000000004365575E-2</v>
      </c>
      <c r="AA6" s="169">
        <f t="shared" si="10"/>
        <v>8.3333333333333329E-2</v>
      </c>
      <c r="AB6" s="170" t="str">
        <f t="shared" si="11"/>
        <v>00:12:00</v>
      </c>
      <c r="AC6" s="170" t="b">
        <f t="shared" si="12"/>
        <v>1</v>
      </c>
    </row>
    <row r="7" spans="1:29" ht="9.75" hidden="1" customHeight="1" x14ac:dyDescent="0.3">
      <c r="A7" s="99">
        <v>46235</v>
      </c>
      <c r="B7" s="59">
        <v>8135589</v>
      </c>
      <c r="C7" s="60" t="s">
        <v>16</v>
      </c>
      <c r="D7" s="60" t="s">
        <v>285</v>
      </c>
      <c r="E7" s="61">
        <v>0.16666666666666666</v>
      </c>
      <c r="F7" s="60" t="s">
        <v>17</v>
      </c>
      <c r="G7" s="71" t="s">
        <v>15</v>
      </c>
      <c r="H7" s="62">
        <v>0.16805555555555557</v>
      </c>
      <c r="I7" s="113" t="str">
        <f t="shared" si="8"/>
        <v>01-08-2026T04:02:00</v>
      </c>
      <c r="J7" s="62">
        <v>0.66597222222222219</v>
      </c>
      <c r="K7" s="62"/>
      <c r="L7" s="63">
        <f t="shared" si="0"/>
        <v>0.49791666666666662</v>
      </c>
      <c r="M7" s="64">
        <v>0.5</v>
      </c>
      <c r="N7" s="65" t="str">
        <f t="shared" si="1"/>
        <v>00:03:00</v>
      </c>
      <c r="O7" s="66"/>
      <c r="P7" s="124"/>
      <c r="Q7" s="67" t="s">
        <v>98</v>
      </c>
      <c r="R7" s="68">
        <v>46235.375</v>
      </c>
      <c r="S7" s="68">
        <v>46235.454861111109</v>
      </c>
      <c r="T7" s="69">
        <f t="shared" si="2"/>
        <v>7.9861111109494232E-2</v>
      </c>
      <c r="U7" s="61"/>
      <c r="V7" s="83">
        <v>8.3333333333333329E-2</v>
      </c>
      <c r="W7" s="61">
        <f t="shared" si="3"/>
        <v>-3.4722222238390971E-3</v>
      </c>
      <c r="X7" s="171">
        <v>46235.168055555558</v>
      </c>
      <c r="Y7" s="171">
        <v>46235.665972222225</v>
      </c>
      <c r="Z7" s="168">
        <f t="shared" si="9"/>
        <v>0.49791666666715173</v>
      </c>
      <c r="AA7" s="169">
        <f t="shared" si="10"/>
        <v>0.5</v>
      </c>
      <c r="AB7" s="170" t="str">
        <f t="shared" si="11"/>
        <v>00:03:00</v>
      </c>
      <c r="AC7" s="170" t="b">
        <f t="shared" si="12"/>
        <v>1</v>
      </c>
    </row>
    <row r="8" spans="1:29" ht="9.75" hidden="1" customHeight="1" x14ac:dyDescent="0.3">
      <c r="A8" s="98">
        <v>46235</v>
      </c>
      <c r="B8" s="48">
        <v>8135629</v>
      </c>
      <c r="C8" s="49" t="s">
        <v>86</v>
      </c>
      <c r="D8" s="49" t="s">
        <v>182</v>
      </c>
      <c r="E8" s="50">
        <v>0.16666666666666666</v>
      </c>
      <c r="F8" s="49" t="s">
        <v>31</v>
      </c>
      <c r="G8" s="70" t="s">
        <v>13</v>
      </c>
      <c r="H8" s="51">
        <v>46235.184027777781</v>
      </c>
      <c r="I8" s="113" t="str">
        <f t="shared" si="8"/>
        <v>01-08-2026T04:25:00</v>
      </c>
      <c r="J8" s="51">
        <v>46236.14166666667</v>
      </c>
      <c r="K8" s="51"/>
      <c r="L8" s="52">
        <f t="shared" si="0"/>
        <v>0.95763888888905058</v>
      </c>
      <c r="M8" s="53">
        <v>0.70833333333333337</v>
      </c>
      <c r="N8" s="54" t="str">
        <f t="shared" si="1"/>
        <v>-05:59:00</v>
      </c>
      <c r="O8" s="55">
        <v>400</v>
      </c>
      <c r="P8" s="125" t="s">
        <v>395</v>
      </c>
      <c r="Q8" s="56" t="s">
        <v>13</v>
      </c>
      <c r="R8" s="57">
        <v>46235.85833333333</v>
      </c>
      <c r="S8" s="57">
        <v>46236.134722222225</v>
      </c>
      <c r="T8" s="47">
        <f t="shared" si="2"/>
        <v>0.27638888889487134</v>
      </c>
      <c r="U8" s="50"/>
      <c r="V8" s="74">
        <v>8.3333333333333329E-2</v>
      </c>
      <c r="W8" s="50">
        <f t="shared" si="3"/>
        <v>0.19305555556153803</v>
      </c>
      <c r="X8" s="171">
        <v>46235.184027777781</v>
      </c>
      <c r="Y8" s="171">
        <v>46236.14166666667</v>
      </c>
      <c r="Z8" s="168">
        <f t="shared" si="9"/>
        <v>0.95763888888905058</v>
      </c>
      <c r="AA8" s="169">
        <f t="shared" si="10"/>
        <v>0.70833333333333337</v>
      </c>
      <c r="AB8" s="170" t="str">
        <f t="shared" si="11"/>
        <v>-05:59:00</v>
      </c>
      <c r="AC8" s="170" t="b">
        <f t="shared" si="12"/>
        <v>1</v>
      </c>
    </row>
    <row r="9" spans="1:29" ht="9.75" hidden="1" customHeight="1" x14ac:dyDescent="0.3">
      <c r="A9" s="98">
        <v>46235</v>
      </c>
      <c r="B9" s="48">
        <v>8135632</v>
      </c>
      <c r="C9" s="49" t="s">
        <v>12</v>
      </c>
      <c r="D9" s="49" t="s">
        <v>383</v>
      </c>
      <c r="E9" s="50">
        <v>0.16666666666666666</v>
      </c>
      <c r="F9" s="49" t="s">
        <v>13</v>
      </c>
      <c r="G9" s="70" t="s">
        <v>14</v>
      </c>
      <c r="H9" s="51">
        <v>0.18402777777777779</v>
      </c>
      <c r="I9" s="113" t="str">
        <f t="shared" si="8"/>
        <v>01-08-2026T04:25:00</v>
      </c>
      <c r="J9" s="51">
        <v>0.81805555555555554</v>
      </c>
      <c r="K9" s="51"/>
      <c r="L9" s="52">
        <f t="shared" si="0"/>
        <v>0.63402777777777775</v>
      </c>
      <c r="M9" s="53">
        <v>0.54166666666666663</v>
      </c>
      <c r="N9" s="54" t="str">
        <f t="shared" si="1"/>
        <v>-02:13:00</v>
      </c>
      <c r="O9" s="55">
        <v>600</v>
      </c>
      <c r="P9" s="125" t="s">
        <v>394</v>
      </c>
      <c r="Q9" s="56"/>
      <c r="R9" s="57"/>
      <c r="S9" s="57"/>
      <c r="T9" s="58">
        <f t="shared" si="2"/>
        <v>0</v>
      </c>
      <c r="U9" s="50"/>
      <c r="V9" s="74">
        <v>0</v>
      </c>
      <c r="W9" s="50">
        <f t="shared" si="3"/>
        <v>0</v>
      </c>
      <c r="X9" s="171">
        <v>46235.184027777781</v>
      </c>
      <c r="Y9" s="171">
        <v>46235.818055555559</v>
      </c>
      <c r="Z9" s="168">
        <f t="shared" si="9"/>
        <v>0.63402777777810115</v>
      </c>
      <c r="AA9" s="169">
        <f t="shared" si="10"/>
        <v>0.54166666666666663</v>
      </c>
      <c r="AB9" s="170" t="str">
        <f t="shared" si="11"/>
        <v>-02:13:00</v>
      </c>
      <c r="AC9" s="170" t="b">
        <f t="shared" si="12"/>
        <v>1</v>
      </c>
    </row>
    <row r="10" spans="1:29" ht="9.75" hidden="1" customHeight="1" x14ac:dyDescent="0.3">
      <c r="A10" s="99">
        <v>46235</v>
      </c>
      <c r="B10" s="59">
        <v>8135720</v>
      </c>
      <c r="C10" s="60" t="s">
        <v>32</v>
      </c>
      <c r="D10" s="60" t="s">
        <v>476</v>
      </c>
      <c r="E10" s="61">
        <v>0.20833333333333334</v>
      </c>
      <c r="F10" s="60" t="s">
        <v>13</v>
      </c>
      <c r="G10" s="71" t="s">
        <v>287</v>
      </c>
      <c r="H10" s="62">
        <v>0.2076388888888889</v>
      </c>
      <c r="I10" s="113" t="str">
        <f t="shared" si="8"/>
        <v>01-08-2026T04:59:00</v>
      </c>
      <c r="J10" s="62">
        <v>0.35069444444444442</v>
      </c>
      <c r="K10" s="62"/>
      <c r="L10" s="63">
        <f t="shared" si="0"/>
        <v>0.14305555555555552</v>
      </c>
      <c r="M10" s="64">
        <v>0.14583333333333334</v>
      </c>
      <c r="N10" s="65" t="str">
        <f t="shared" si="1"/>
        <v>00:04:00</v>
      </c>
      <c r="O10" s="66"/>
      <c r="P10" s="124"/>
      <c r="Q10" s="67"/>
      <c r="R10" s="68"/>
      <c r="S10" s="68"/>
      <c r="T10" s="69">
        <f t="shared" si="2"/>
        <v>0</v>
      </c>
      <c r="U10" s="61"/>
      <c r="V10" s="83">
        <v>0</v>
      </c>
      <c r="W10" s="61">
        <f t="shared" si="3"/>
        <v>0</v>
      </c>
      <c r="X10" s="171">
        <v>46235.207638888889</v>
      </c>
      <c r="Y10" s="171">
        <v>46235.350694444445</v>
      </c>
      <c r="Z10" s="168">
        <f t="shared" si="9"/>
        <v>0.14305555555620231</v>
      </c>
      <c r="AA10" s="169">
        <f t="shared" si="10"/>
        <v>0.14583333333333334</v>
      </c>
      <c r="AB10" s="170" t="str">
        <f t="shared" si="11"/>
        <v>00:04:00</v>
      </c>
      <c r="AC10" s="170" t="b">
        <f t="shared" si="12"/>
        <v>1</v>
      </c>
    </row>
    <row r="11" spans="1:29" ht="9.75" hidden="1" customHeight="1" x14ac:dyDescent="0.3">
      <c r="A11" s="98">
        <v>46235</v>
      </c>
      <c r="B11" s="48">
        <v>8135967</v>
      </c>
      <c r="C11" s="49" t="s">
        <v>82</v>
      </c>
      <c r="D11" s="49" t="s">
        <v>333</v>
      </c>
      <c r="E11" s="50">
        <v>0.20833333333333334</v>
      </c>
      <c r="F11" s="49" t="s">
        <v>26</v>
      </c>
      <c r="G11" s="70" t="s">
        <v>13</v>
      </c>
      <c r="H11" s="51">
        <v>0.2673611111111111</v>
      </c>
      <c r="I11" s="113" t="str">
        <f t="shared" si="8"/>
        <v>01-08-2026T06:25:00</v>
      </c>
      <c r="J11" s="51">
        <v>0.72847222222222219</v>
      </c>
      <c r="K11" s="51"/>
      <c r="L11" s="52">
        <f t="shared" si="0"/>
        <v>0.46111111111111108</v>
      </c>
      <c r="M11" s="53">
        <v>0.45833333333333331</v>
      </c>
      <c r="N11" s="54" t="str">
        <f t="shared" si="1"/>
        <v>-00:04:00</v>
      </c>
      <c r="O11" s="55">
        <v>250</v>
      </c>
      <c r="P11" s="125" t="s">
        <v>396</v>
      </c>
      <c r="Q11" s="56" t="s">
        <v>13</v>
      </c>
      <c r="R11" s="57">
        <v>46235.629861111112</v>
      </c>
      <c r="S11" s="57">
        <v>46235.631944444445</v>
      </c>
      <c r="T11" s="58">
        <f t="shared" si="2"/>
        <v>2.0833333328482695E-3</v>
      </c>
      <c r="U11" s="50"/>
      <c r="V11" s="74">
        <v>8.3333333333333329E-2</v>
      </c>
      <c r="W11" s="50">
        <f t="shared" si="3"/>
        <v>-8.1250000000485059E-2</v>
      </c>
      <c r="X11" s="171">
        <v>46235.267361111109</v>
      </c>
      <c r="Y11" s="171">
        <v>46235.728472222225</v>
      </c>
      <c r="Z11" s="168">
        <f t="shared" si="9"/>
        <v>0.461111111115315</v>
      </c>
      <c r="AA11" s="169">
        <f t="shared" si="10"/>
        <v>0.45833333333333331</v>
      </c>
      <c r="AB11" s="170" t="str">
        <f t="shared" si="11"/>
        <v>-00:04:00</v>
      </c>
      <c r="AC11" s="170" t="b">
        <f t="shared" si="12"/>
        <v>1</v>
      </c>
    </row>
    <row r="12" spans="1:29" ht="9.75" hidden="1" customHeight="1" x14ac:dyDescent="0.3">
      <c r="A12" s="99">
        <v>46235</v>
      </c>
      <c r="B12" s="59">
        <v>8135893</v>
      </c>
      <c r="C12" s="60" t="s">
        <v>58</v>
      </c>
      <c r="D12" s="60" t="s">
        <v>368</v>
      </c>
      <c r="E12" s="61">
        <v>0.25</v>
      </c>
      <c r="F12" s="60" t="s">
        <v>14</v>
      </c>
      <c r="G12" s="71" t="s">
        <v>13</v>
      </c>
      <c r="H12" s="62">
        <v>0.24930555555555556</v>
      </c>
      <c r="I12" s="113" t="str">
        <f t="shared" si="8"/>
        <v>01-08-2026T05:59:00</v>
      </c>
      <c r="J12" s="62">
        <v>0.74722222222222223</v>
      </c>
      <c r="K12" s="62"/>
      <c r="L12" s="63">
        <f t="shared" si="0"/>
        <v>0.49791666666666667</v>
      </c>
      <c r="M12" s="64">
        <v>0.54166666666666663</v>
      </c>
      <c r="N12" s="65" t="str">
        <f t="shared" si="1"/>
        <v>01:03:00</v>
      </c>
      <c r="O12" s="66"/>
      <c r="P12" s="124"/>
      <c r="Q12" s="67"/>
      <c r="R12" s="68"/>
      <c r="S12" s="68"/>
      <c r="T12" s="69">
        <f t="shared" si="2"/>
        <v>0</v>
      </c>
      <c r="U12" s="61"/>
      <c r="V12" s="83">
        <v>0</v>
      </c>
      <c r="W12" s="61">
        <f t="shared" si="3"/>
        <v>0</v>
      </c>
      <c r="X12" s="171">
        <v>46235.249305555553</v>
      </c>
      <c r="Y12" s="171">
        <v>46235.74722222222</v>
      </c>
      <c r="Z12" s="168">
        <f t="shared" si="9"/>
        <v>0.49791666666715173</v>
      </c>
      <c r="AA12" s="169">
        <f t="shared" si="10"/>
        <v>0.54166666666666663</v>
      </c>
      <c r="AB12" s="170" t="str">
        <f t="shared" si="11"/>
        <v>01:03:00</v>
      </c>
      <c r="AC12" s="170" t="b">
        <f t="shared" si="12"/>
        <v>1</v>
      </c>
    </row>
    <row r="13" spans="1:29" ht="9.75" hidden="1" customHeight="1" x14ac:dyDescent="0.3">
      <c r="A13" s="99">
        <v>46235</v>
      </c>
      <c r="B13" s="59">
        <v>8135907</v>
      </c>
      <c r="C13" s="60" t="s">
        <v>89</v>
      </c>
      <c r="D13" s="60" t="s">
        <v>294</v>
      </c>
      <c r="E13" s="61">
        <v>0.25</v>
      </c>
      <c r="F13" s="60" t="s">
        <v>13</v>
      </c>
      <c r="G13" s="71" t="s">
        <v>35</v>
      </c>
      <c r="H13" s="62">
        <v>0.25</v>
      </c>
      <c r="I13" s="113" t="str">
        <f t="shared" si="8"/>
        <v>01-08-2026T06:00:00</v>
      </c>
      <c r="J13" s="62">
        <v>0.28819444444444442</v>
      </c>
      <c r="K13" s="62"/>
      <c r="L13" s="63">
        <f t="shared" si="0"/>
        <v>3.819444444444442E-2</v>
      </c>
      <c r="M13" s="64">
        <v>4.1666666666666664E-2</v>
      </c>
      <c r="N13" s="65" t="str">
        <f t="shared" si="1"/>
        <v>00:05:00</v>
      </c>
      <c r="O13" s="66"/>
      <c r="P13" s="124"/>
      <c r="Q13" s="67"/>
      <c r="R13" s="68"/>
      <c r="S13" s="68"/>
      <c r="T13" s="69">
        <f t="shared" si="2"/>
        <v>0</v>
      </c>
      <c r="U13" s="61"/>
      <c r="V13" s="83">
        <v>0</v>
      </c>
      <c r="W13" s="61">
        <f t="shared" si="3"/>
        <v>0</v>
      </c>
      <c r="X13" s="171">
        <v>46235.25</v>
      </c>
      <c r="Y13" s="171">
        <v>46235.288194444445</v>
      </c>
      <c r="Z13" s="168">
        <f t="shared" si="9"/>
        <v>3.8194444445252884E-2</v>
      </c>
      <c r="AA13" s="169">
        <f t="shared" si="10"/>
        <v>4.1666666666666664E-2</v>
      </c>
      <c r="AB13" s="170" t="str">
        <f t="shared" si="11"/>
        <v>00:05:00</v>
      </c>
      <c r="AC13" s="170" t="b">
        <f t="shared" si="12"/>
        <v>1</v>
      </c>
    </row>
    <row r="14" spans="1:29" ht="9.75" hidden="1" customHeight="1" x14ac:dyDescent="0.3">
      <c r="A14" s="98">
        <v>46235</v>
      </c>
      <c r="B14" s="48">
        <v>8135973</v>
      </c>
      <c r="C14" s="49" t="s">
        <v>37</v>
      </c>
      <c r="D14" s="49" t="s">
        <v>369</v>
      </c>
      <c r="E14" s="50">
        <v>0.27083333333333331</v>
      </c>
      <c r="F14" s="49" t="s">
        <v>14</v>
      </c>
      <c r="G14" s="70" t="s">
        <v>13</v>
      </c>
      <c r="H14" s="51">
        <v>0.26874999999999999</v>
      </c>
      <c r="I14" s="113" t="str">
        <f t="shared" si="8"/>
        <v>01-08-2026T06:27:00</v>
      </c>
      <c r="J14" s="51">
        <v>0.99375000000000002</v>
      </c>
      <c r="K14" s="51"/>
      <c r="L14" s="52">
        <f t="shared" si="0"/>
        <v>0.72500000000000009</v>
      </c>
      <c r="M14" s="53">
        <v>0.625</v>
      </c>
      <c r="N14" s="54" t="str">
        <f t="shared" si="1"/>
        <v>-02:24:00</v>
      </c>
      <c r="O14" s="55">
        <v>600</v>
      </c>
      <c r="P14" s="125" t="s">
        <v>394</v>
      </c>
      <c r="Q14" s="56" t="s">
        <v>126</v>
      </c>
      <c r="R14" s="57">
        <v>46235.375</v>
      </c>
      <c r="S14" s="57">
        <v>46235.440972222219</v>
      </c>
      <c r="T14" s="47">
        <f t="shared" si="2"/>
        <v>6.5972222218988463E-2</v>
      </c>
      <c r="U14" s="50"/>
      <c r="V14" s="74">
        <v>6.25E-2</v>
      </c>
      <c r="W14" s="50">
        <f t="shared" si="3"/>
        <v>3.4722222189884633E-3</v>
      </c>
      <c r="X14" s="171">
        <v>46235.268750000003</v>
      </c>
      <c r="Y14" s="171">
        <v>46235.993750000001</v>
      </c>
      <c r="Z14" s="168">
        <f t="shared" si="9"/>
        <v>0.72499999999854481</v>
      </c>
      <c r="AA14" s="169">
        <f t="shared" si="10"/>
        <v>0.625</v>
      </c>
      <c r="AB14" s="170" t="str">
        <f t="shared" si="11"/>
        <v>-02:24:00</v>
      </c>
      <c r="AC14" s="170" t="b">
        <f t="shared" si="12"/>
        <v>1</v>
      </c>
    </row>
    <row r="15" spans="1:29" ht="9.75" hidden="1" customHeight="1" x14ac:dyDescent="0.3">
      <c r="A15" s="98">
        <v>46235</v>
      </c>
      <c r="B15" s="48">
        <v>8135988</v>
      </c>
      <c r="C15" s="49" t="s">
        <v>38</v>
      </c>
      <c r="D15" s="49" t="s">
        <v>289</v>
      </c>
      <c r="E15" s="50">
        <v>0.27083333333333331</v>
      </c>
      <c r="F15" s="49" t="s">
        <v>13</v>
      </c>
      <c r="G15" s="70" t="s">
        <v>14</v>
      </c>
      <c r="H15" s="51">
        <v>0.27152777777777776</v>
      </c>
      <c r="I15" s="113" t="str">
        <f t="shared" si="8"/>
        <v>01-08-2026T06:31:00</v>
      </c>
      <c r="J15" s="51">
        <v>0.92986111111111114</v>
      </c>
      <c r="K15" s="51"/>
      <c r="L15" s="52">
        <f t="shared" si="0"/>
        <v>0.65833333333333344</v>
      </c>
      <c r="M15" s="53">
        <v>0.625</v>
      </c>
      <c r="N15" s="54" t="str">
        <f t="shared" si="1"/>
        <v>-00:48:00</v>
      </c>
      <c r="O15" s="55">
        <v>250</v>
      </c>
      <c r="P15" s="125" t="s">
        <v>783</v>
      </c>
      <c r="Q15" s="56" t="s">
        <v>15</v>
      </c>
      <c r="R15" s="57">
        <v>46235.551388888889</v>
      </c>
      <c r="S15" s="57">
        <v>46235.579861111109</v>
      </c>
      <c r="T15" s="58">
        <f t="shared" si="2"/>
        <v>2.8472222220443655E-2</v>
      </c>
      <c r="U15" s="50"/>
      <c r="V15" s="74">
        <v>6.25E-2</v>
      </c>
      <c r="W15" s="50">
        <f t="shared" si="3"/>
        <v>-3.4027777779556345E-2</v>
      </c>
      <c r="X15" s="171">
        <v>46235.271527777775</v>
      </c>
      <c r="Y15" s="171">
        <v>46235.929861111108</v>
      </c>
      <c r="Z15" s="168">
        <f t="shared" si="9"/>
        <v>0.65833333333284827</v>
      </c>
      <c r="AA15" s="169">
        <f t="shared" si="10"/>
        <v>0.625</v>
      </c>
      <c r="AB15" s="170" t="str">
        <f t="shared" si="11"/>
        <v>-00:48:00</v>
      </c>
      <c r="AC15" s="170" t="b">
        <f t="shared" si="12"/>
        <v>1</v>
      </c>
    </row>
    <row r="16" spans="1:29" ht="9.75" hidden="1" customHeight="1" x14ac:dyDescent="0.3">
      <c r="A16" s="98">
        <v>46235</v>
      </c>
      <c r="B16" s="48">
        <v>8135878</v>
      </c>
      <c r="C16" s="49" t="s">
        <v>36</v>
      </c>
      <c r="D16" s="49" t="s">
        <v>300</v>
      </c>
      <c r="E16" s="50">
        <v>0.25</v>
      </c>
      <c r="F16" s="49" t="s">
        <v>14</v>
      </c>
      <c r="G16" s="70" t="s">
        <v>13</v>
      </c>
      <c r="H16" s="51">
        <v>0.24791666666666667</v>
      </c>
      <c r="I16" s="113" t="str">
        <f t="shared" si="8"/>
        <v>01-08-2026T05:57:00</v>
      </c>
      <c r="J16" s="51">
        <v>0.79722222222222228</v>
      </c>
      <c r="K16" s="51"/>
      <c r="L16" s="52">
        <f t="shared" si="0"/>
        <v>0.5493055555555556</v>
      </c>
      <c r="M16" s="53">
        <v>0.54166666666666663</v>
      </c>
      <c r="N16" s="54" t="str">
        <f t="shared" si="1"/>
        <v>-00:11:00</v>
      </c>
      <c r="O16" s="55">
        <v>250</v>
      </c>
      <c r="P16" s="125" t="s">
        <v>397</v>
      </c>
      <c r="Q16" s="56"/>
      <c r="R16" s="57"/>
      <c r="S16" s="57"/>
      <c r="T16" s="58">
        <f t="shared" si="2"/>
        <v>0</v>
      </c>
      <c r="U16" s="50"/>
      <c r="V16" s="74">
        <v>0</v>
      </c>
      <c r="W16" s="50">
        <f t="shared" si="3"/>
        <v>0</v>
      </c>
      <c r="X16" s="171">
        <v>46235.247916666667</v>
      </c>
      <c r="Y16" s="171">
        <v>46235.797222222223</v>
      </c>
      <c r="Z16" s="168">
        <f t="shared" si="9"/>
        <v>0.54930555555620231</v>
      </c>
      <c r="AA16" s="169">
        <f t="shared" si="10"/>
        <v>0.54166666666666663</v>
      </c>
      <c r="AB16" s="170" t="str">
        <f t="shared" si="11"/>
        <v>-00:11:00</v>
      </c>
      <c r="AC16" s="170" t="b">
        <f t="shared" si="12"/>
        <v>1</v>
      </c>
    </row>
    <row r="17" spans="1:29" ht="9.75" hidden="1" customHeight="1" x14ac:dyDescent="0.3">
      <c r="A17" s="98">
        <v>46235</v>
      </c>
      <c r="B17" s="48">
        <v>8136033</v>
      </c>
      <c r="C17" s="49" t="s">
        <v>56</v>
      </c>
      <c r="D17" s="49" t="s">
        <v>326</v>
      </c>
      <c r="E17" s="50">
        <v>0.29166666666666669</v>
      </c>
      <c r="F17" s="49" t="s">
        <v>15</v>
      </c>
      <c r="G17" s="70" t="s">
        <v>13</v>
      </c>
      <c r="H17" s="51">
        <v>0.28749999999999998</v>
      </c>
      <c r="I17" s="113" t="str">
        <f t="shared" si="8"/>
        <v>01-08-2026T06:54:00</v>
      </c>
      <c r="J17" s="51">
        <v>0.61736111111111114</v>
      </c>
      <c r="K17" s="51"/>
      <c r="L17" s="52">
        <f t="shared" si="0"/>
        <v>0.32986111111111116</v>
      </c>
      <c r="M17" s="53">
        <v>0.25</v>
      </c>
      <c r="N17" s="54" t="str">
        <f t="shared" si="1"/>
        <v>-01:55:00</v>
      </c>
      <c r="O17" s="55">
        <v>250</v>
      </c>
      <c r="P17" s="125" t="s">
        <v>398</v>
      </c>
      <c r="Q17" s="56" t="s">
        <v>205</v>
      </c>
      <c r="R17" s="57">
        <v>46235.380555555559</v>
      </c>
      <c r="S17" s="57">
        <v>46235.472222222219</v>
      </c>
      <c r="T17" s="47">
        <f t="shared" si="2"/>
        <v>9.1666666659875773E-2</v>
      </c>
      <c r="U17" s="50"/>
      <c r="V17" s="74">
        <v>4.1666666666666664E-2</v>
      </c>
      <c r="W17" s="50">
        <f t="shared" si="3"/>
        <v>4.9999999993209109E-2</v>
      </c>
      <c r="X17" s="171">
        <v>46235.287499999999</v>
      </c>
      <c r="Y17" s="171">
        <v>46235.617361111108</v>
      </c>
      <c r="Z17" s="168">
        <f t="shared" si="9"/>
        <v>0.32986111110949423</v>
      </c>
      <c r="AA17" s="169">
        <f t="shared" si="10"/>
        <v>0.25</v>
      </c>
      <c r="AB17" s="170" t="str">
        <f t="shared" si="11"/>
        <v>-01:55:00</v>
      </c>
      <c r="AC17" s="170" t="b">
        <f t="shared" si="12"/>
        <v>1</v>
      </c>
    </row>
    <row r="18" spans="1:29" s="128" customFormat="1" ht="9.75" hidden="1" customHeight="1" x14ac:dyDescent="0.3">
      <c r="A18" s="99">
        <v>46235</v>
      </c>
      <c r="B18" s="59">
        <v>8136013</v>
      </c>
      <c r="C18" s="60" t="s">
        <v>50</v>
      </c>
      <c r="D18" s="60" t="s">
        <v>329</v>
      </c>
      <c r="E18" s="61">
        <v>0.29166666666666669</v>
      </c>
      <c r="F18" s="60" t="s">
        <v>13</v>
      </c>
      <c r="G18" s="71" t="s">
        <v>31</v>
      </c>
      <c r="H18" s="62">
        <v>0.28125</v>
      </c>
      <c r="I18" s="113" t="str">
        <f t="shared" si="8"/>
        <v>01-08-2026T06:45:00</v>
      </c>
      <c r="J18" s="62">
        <v>0.87569444444444444</v>
      </c>
      <c r="K18" s="62"/>
      <c r="L18" s="63">
        <f t="shared" si="0"/>
        <v>0.59444444444444444</v>
      </c>
      <c r="M18" s="64">
        <v>0.625</v>
      </c>
      <c r="N18" s="65" t="str">
        <f t="shared" si="1"/>
        <v>00:44:00</v>
      </c>
      <c r="O18" s="66"/>
      <c r="P18" s="126" t="s">
        <v>394</v>
      </c>
      <c r="Q18" s="67"/>
      <c r="R18" s="68"/>
      <c r="S18" s="68"/>
      <c r="T18" s="69">
        <f t="shared" si="2"/>
        <v>0</v>
      </c>
      <c r="U18" s="61"/>
      <c r="V18" s="83">
        <v>0</v>
      </c>
      <c r="W18" s="61">
        <f t="shared" si="3"/>
        <v>0</v>
      </c>
      <c r="X18" s="172">
        <v>46235.28125</v>
      </c>
      <c r="Y18" s="172">
        <v>46235.875694444447</v>
      </c>
      <c r="Z18" s="173">
        <f t="shared" si="9"/>
        <v>0.59444444444670808</v>
      </c>
      <c r="AA18" s="174">
        <f t="shared" si="10"/>
        <v>0.625</v>
      </c>
      <c r="AB18" s="175" t="str">
        <f t="shared" si="11"/>
        <v>00:44:00</v>
      </c>
      <c r="AC18" s="175" t="b">
        <f t="shared" si="12"/>
        <v>1</v>
      </c>
    </row>
    <row r="19" spans="1:29" ht="9.75" hidden="1" customHeight="1" x14ac:dyDescent="0.3">
      <c r="A19" s="99">
        <v>46235</v>
      </c>
      <c r="B19" s="59">
        <v>8135186</v>
      </c>
      <c r="C19" s="60" t="s">
        <v>42</v>
      </c>
      <c r="D19" s="60" t="s">
        <v>181</v>
      </c>
      <c r="E19" s="61">
        <v>0.875</v>
      </c>
      <c r="F19" s="60" t="s">
        <v>55</v>
      </c>
      <c r="G19" s="71" t="s">
        <v>13</v>
      </c>
      <c r="H19" s="62">
        <v>1.3194444444444444E-2</v>
      </c>
      <c r="I19" s="113" t="str">
        <f t="shared" si="8"/>
        <v>01-08-2026T00:19:00</v>
      </c>
      <c r="J19" s="62">
        <v>5.7638888888888892E-2</v>
      </c>
      <c r="K19" s="62"/>
      <c r="L19" s="63">
        <f t="shared" si="0"/>
        <v>4.4444444444444446E-2</v>
      </c>
      <c r="M19" s="64">
        <v>6.25E-2</v>
      </c>
      <c r="N19" s="65" t="str">
        <f t="shared" si="1"/>
        <v>00:26:00</v>
      </c>
      <c r="O19" s="66"/>
      <c r="P19" s="124"/>
      <c r="Q19" s="67"/>
      <c r="R19" s="68"/>
      <c r="S19" s="68"/>
      <c r="T19" s="69">
        <f>S19-R19</f>
        <v>0</v>
      </c>
      <c r="U19" s="61"/>
      <c r="V19" s="83">
        <v>0</v>
      </c>
      <c r="W19" s="61">
        <f>T19-V19</f>
        <v>0</v>
      </c>
      <c r="X19" s="171">
        <v>46235.013194444444</v>
      </c>
      <c r="Y19" s="171">
        <v>46235.057638888888</v>
      </c>
      <c r="Z19" s="168">
        <f t="shared" si="9"/>
        <v>4.4444444443797693E-2</v>
      </c>
      <c r="AA19" s="169">
        <f t="shared" si="10"/>
        <v>6.25E-2</v>
      </c>
      <c r="AB19" s="170" t="str">
        <f t="shared" si="11"/>
        <v>00:26:00</v>
      </c>
      <c r="AC19" s="170" t="b">
        <f t="shared" si="12"/>
        <v>1</v>
      </c>
    </row>
    <row r="20" spans="1:29" ht="9.75" hidden="1" customHeight="1" x14ac:dyDescent="0.3">
      <c r="A20" s="99">
        <v>46235</v>
      </c>
      <c r="B20" s="59">
        <v>8136111</v>
      </c>
      <c r="C20" s="60" t="s">
        <v>42</v>
      </c>
      <c r="D20" s="60" t="s">
        <v>181</v>
      </c>
      <c r="E20" s="61">
        <v>0.3125</v>
      </c>
      <c r="F20" s="60" t="s">
        <v>13</v>
      </c>
      <c r="G20" s="71" t="s">
        <v>55</v>
      </c>
      <c r="H20" s="62">
        <v>0.3125</v>
      </c>
      <c r="I20" s="113" t="str">
        <f t="shared" si="8"/>
        <v>01-08-2026T07:30:00</v>
      </c>
      <c r="J20" s="62">
        <v>0.37152777777777779</v>
      </c>
      <c r="K20" s="62"/>
      <c r="L20" s="63">
        <f t="shared" si="0"/>
        <v>5.902777777777779E-2</v>
      </c>
      <c r="M20" s="64">
        <v>6.25E-2</v>
      </c>
      <c r="N20" s="65" t="str">
        <f t="shared" si="1"/>
        <v>00:05:00</v>
      </c>
      <c r="O20" s="66"/>
      <c r="P20" s="124"/>
      <c r="Q20" s="67"/>
      <c r="R20" s="68"/>
      <c r="S20" s="68"/>
      <c r="T20" s="69">
        <f t="shared" si="2"/>
        <v>0</v>
      </c>
      <c r="U20" s="61" t="s">
        <v>234</v>
      </c>
      <c r="V20" s="83">
        <v>0</v>
      </c>
      <c r="W20" s="61">
        <f t="shared" si="3"/>
        <v>0</v>
      </c>
      <c r="X20" s="171">
        <v>46235.3125</v>
      </c>
      <c r="Y20" s="171">
        <v>46235.371527777781</v>
      </c>
      <c r="Z20" s="168">
        <f t="shared" si="9"/>
        <v>5.9027777781011537E-2</v>
      </c>
      <c r="AA20" s="169">
        <f t="shared" si="10"/>
        <v>6.25E-2</v>
      </c>
      <c r="AB20" s="170" t="str">
        <f t="shared" si="11"/>
        <v>00:05:00</v>
      </c>
      <c r="AC20" s="170" t="b">
        <f t="shared" si="12"/>
        <v>1</v>
      </c>
    </row>
    <row r="21" spans="1:29" s="128" customFormat="1" ht="9.75" hidden="1" customHeight="1" x14ac:dyDescent="0.3">
      <c r="A21" s="99">
        <v>46235</v>
      </c>
      <c r="B21" s="59">
        <v>8136329</v>
      </c>
      <c r="C21" s="60" t="s">
        <v>30</v>
      </c>
      <c r="D21" s="60" t="s">
        <v>286</v>
      </c>
      <c r="E21" s="61">
        <v>0.375</v>
      </c>
      <c r="F21" s="60" t="s">
        <v>13</v>
      </c>
      <c r="G21" s="71" t="s">
        <v>31</v>
      </c>
      <c r="H21" s="62">
        <v>46235.429166666669</v>
      </c>
      <c r="I21" s="113" t="str">
        <f t="shared" si="8"/>
        <v>01-08-2026T10:18:00</v>
      </c>
      <c r="J21" s="62">
        <v>46236.169444444444</v>
      </c>
      <c r="K21" s="62"/>
      <c r="L21" s="63">
        <f t="shared" si="0"/>
        <v>0.74027777777519077</v>
      </c>
      <c r="M21" s="64">
        <v>0.75</v>
      </c>
      <c r="N21" s="65" t="str">
        <f t="shared" si="1"/>
        <v>00:14:00</v>
      </c>
      <c r="O21" s="66"/>
      <c r="P21" s="126" t="s">
        <v>399</v>
      </c>
      <c r="Q21" s="67" t="s">
        <v>45</v>
      </c>
      <c r="R21" s="68">
        <v>46235.938888888886</v>
      </c>
      <c r="S21" s="68">
        <v>46236.041666666664</v>
      </c>
      <c r="T21" s="69">
        <f t="shared" si="2"/>
        <v>0.10277777777810115</v>
      </c>
      <c r="U21" s="61"/>
      <c r="V21" s="83">
        <v>8.3333333333333329E-2</v>
      </c>
      <c r="W21" s="61">
        <f t="shared" si="3"/>
        <v>1.9444444444767825E-2</v>
      </c>
      <c r="X21" s="172">
        <v>46235.429166666669</v>
      </c>
      <c r="Y21" s="172">
        <v>46236.169444444444</v>
      </c>
      <c r="Z21" s="173">
        <f t="shared" si="9"/>
        <v>0.74027777777519077</v>
      </c>
      <c r="AA21" s="174">
        <f t="shared" si="10"/>
        <v>0.75</v>
      </c>
      <c r="AB21" s="175" t="str">
        <f t="shared" si="11"/>
        <v>00:14:00</v>
      </c>
      <c r="AC21" s="175" t="b">
        <f t="shared" si="12"/>
        <v>1</v>
      </c>
    </row>
    <row r="22" spans="1:29" s="144" customFormat="1" ht="9.75" hidden="1" customHeight="1" x14ac:dyDescent="0.3">
      <c r="A22" s="129">
        <v>46235</v>
      </c>
      <c r="B22" s="130">
        <v>8136253</v>
      </c>
      <c r="C22" s="131" t="s">
        <v>48</v>
      </c>
      <c r="D22" s="131" t="s">
        <v>183</v>
      </c>
      <c r="E22" s="132">
        <v>0.375</v>
      </c>
      <c r="F22" s="131" t="s">
        <v>49</v>
      </c>
      <c r="G22" s="133" t="s">
        <v>13</v>
      </c>
      <c r="H22" s="134">
        <v>0.37986111111111109</v>
      </c>
      <c r="I22" s="113" t="str">
        <f t="shared" si="8"/>
        <v>01-08-2026T09:07:00</v>
      </c>
      <c r="J22" s="134">
        <v>46236.251388888886</v>
      </c>
      <c r="K22" s="134"/>
      <c r="L22" s="135">
        <f t="shared" si="0"/>
        <v>46235.871527777774</v>
      </c>
      <c r="M22" s="136">
        <v>0.58333333333333337</v>
      </c>
      <c r="N22" s="137" t="str">
        <f t="shared" si="1"/>
        <v>-06:55:00</v>
      </c>
      <c r="O22" s="138"/>
      <c r="P22" s="139" t="s">
        <v>399</v>
      </c>
      <c r="Q22" s="140" t="s">
        <v>13</v>
      </c>
      <c r="R22" s="141">
        <v>46235.861805555556</v>
      </c>
      <c r="S22" s="141">
        <v>46236.245138888888</v>
      </c>
      <c r="T22" s="142">
        <f t="shared" si="2"/>
        <v>0.38333333333139308</v>
      </c>
      <c r="U22" s="132"/>
      <c r="V22" s="143">
        <v>8.3333333333333329E-2</v>
      </c>
      <c r="W22" s="132">
        <f t="shared" si="3"/>
        <v>0.29999999999805976</v>
      </c>
      <c r="X22" s="171">
        <v>46235.379861111112</v>
      </c>
      <c r="Y22" s="171">
        <v>46236.251388888886</v>
      </c>
      <c r="Z22" s="168">
        <f t="shared" si="9"/>
        <v>0.87152777777373558</v>
      </c>
      <c r="AA22" s="169">
        <f t="shared" si="10"/>
        <v>0.58333333333333337</v>
      </c>
      <c r="AB22" s="170" t="str">
        <f t="shared" si="11"/>
        <v>-06:55:00</v>
      </c>
      <c r="AC22" s="170" t="b">
        <f t="shared" si="12"/>
        <v>1</v>
      </c>
    </row>
    <row r="23" spans="1:29" ht="9.75" hidden="1" customHeight="1" x14ac:dyDescent="0.3">
      <c r="A23" s="98">
        <v>46235</v>
      </c>
      <c r="B23" s="48">
        <v>8136324</v>
      </c>
      <c r="C23" s="49" t="s">
        <v>40</v>
      </c>
      <c r="D23" s="49" t="s">
        <v>460</v>
      </c>
      <c r="E23" s="50">
        <v>0.41666666666666669</v>
      </c>
      <c r="F23" s="49" t="s">
        <v>31</v>
      </c>
      <c r="G23" s="70" t="s">
        <v>13</v>
      </c>
      <c r="H23" s="51">
        <v>0.42569444444444443</v>
      </c>
      <c r="I23" s="113" t="str">
        <f t="shared" si="8"/>
        <v>01-08-2026T10:13:00</v>
      </c>
      <c r="J23" s="51">
        <v>46236.213888888888</v>
      </c>
      <c r="K23" s="51"/>
      <c r="L23" s="52">
        <f t="shared" si="0"/>
        <v>46235.788194444445</v>
      </c>
      <c r="M23" s="53">
        <v>0.75</v>
      </c>
      <c r="N23" s="54" t="str">
        <f t="shared" si="1"/>
        <v>-00:55:00</v>
      </c>
      <c r="O23" s="55">
        <v>200</v>
      </c>
      <c r="P23" s="125" t="s">
        <v>400</v>
      </c>
      <c r="Q23" s="56" t="s">
        <v>45</v>
      </c>
      <c r="R23" s="57">
        <v>46235.561111111114</v>
      </c>
      <c r="S23" s="57">
        <v>46235.600694444445</v>
      </c>
      <c r="T23" s="58">
        <f t="shared" si="2"/>
        <v>3.9583333331393078E-2</v>
      </c>
      <c r="U23" s="50"/>
      <c r="V23" s="74">
        <v>8.3333333333333329E-2</v>
      </c>
      <c r="W23" s="50">
        <f t="shared" si="3"/>
        <v>-4.3750000001940251E-2</v>
      </c>
      <c r="X23" s="171">
        <v>46235.425694444442</v>
      </c>
      <c r="Y23" s="171">
        <v>46236.213888888888</v>
      </c>
      <c r="Z23" s="168">
        <f t="shared" si="9"/>
        <v>0.78819444444525288</v>
      </c>
      <c r="AA23" s="169">
        <f t="shared" si="10"/>
        <v>0.75</v>
      </c>
      <c r="AB23" s="170" t="str">
        <f t="shared" si="11"/>
        <v>-00:55:00</v>
      </c>
      <c r="AC23" s="170" t="b">
        <f t="shared" si="12"/>
        <v>1</v>
      </c>
    </row>
    <row r="24" spans="1:29" ht="9.75" hidden="1" customHeight="1" x14ac:dyDescent="0.3">
      <c r="A24" s="98">
        <v>46235</v>
      </c>
      <c r="B24" s="48">
        <v>8136498</v>
      </c>
      <c r="C24" s="49" t="s">
        <v>51</v>
      </c>
      <c r="D24" s="49" t="s">
        <v>295</v>
      </c>
      <c r="E24" s="50">
        <v>0.41666666666666669</v>
      </c>
      <c r="F24" s="49" t="s">
        <v>13</v>
      </c>
      <c r="G24" s="70" t="s">
        <v>49</v>
      </c>
      <c r="H24" s="51">
        <v>46235.490972222222</v>
      </c>
      <c r="I24" s="113" t="str">
        <f t="shared" si="8"/>
        <v>01-08-2026T11:47:00</v>
      </c>
      <c r="J24" s="51">
        <v>46236.021527777775</v>
      </c>
      <c r="K24" s="51"/>
      <c r="L24" s="52">
        <f t="shared" si="0"/>
        <v>0.53055555555329192</v>
      </c>
      <c r="M24" s="53">
        <v>0.5</v>
      </c>
      <c r="N24" s="54" t="str">
        <f t="shared" si="1"/>
        <v>-00:44:00</v>
      </c>
      <c r="O24" s="55">
        <v>250</v>
      </c>
      <c r="P24" s="125" t="s">
        <v>401</v>
      </c>
      <c r="Q24" s="56"/>
      <c r="R24" s="57"/>
      <c r="S24" s="57"/>
      <c r="T24" s="58">
        <f t="shared" si="2"/>
        <v>0</v>
      </c>
      <c r="U24" s="50"/>
      <c r="V24" s="74">
        <v>0</v>
      </c>
      <c r="W24" s="50">
        <f t="shared" si="3"/>
        <v>0</v>
      </c>
      <c r="X24" s="171">
        <v>46235.490972222222</v>
      </c>
      <c r="Y24" s="171">
        <v>46236.021527777775</v>
      </c>
      <c r="Z24" s="168">
        <f t="shared" si="9"/>
        <v>0.53055555555329192</v>
      </c>
      <c r="AA24" s="169">
        <f t="shared" si="10"/>
        <v>0.5</v>
      </c>
      <c r="AB24" s="170" t="str">
        <f t="shared" si="11"/>
        <v>-00:44:00</v>
      </c>
      <c r="AC24" s="170" t="b">
        <f t="shared" si="12"/>
        <v>1</v>
      </c>
    </row>
    <row r="25" spans="1:29" ht="9.75" customHeight="1" x14ac:dyDescent="0.3">
      <c r="A25" s="99">
        <v>46235</v>
      </c>
      <c r="B25" s="59">
        <v>8135591</v>
      </c>
      <c r="C25" s="60" t="s">
        <v>90</v>
      </c>
      <c r="D25" s="60" t="s">
        <v>290</v>
      </c>
      <c r="E25" s="61">
        <v>0.99930555555555556</v>
      </c>
      <c r="F25" s="60" t="s">
        <v>13</v>
      </c>
      <c r="G25" s="71" t="s">
        <v>15</v>
      </c>
      <c r="H25" s="62">
        <v>0.16805555555555557</v>
      </c>
      <c r="I25" s="113" t="str">
        <f t="shared" si="8"/>
        <v>01-08-2026T04:02:00</v>
      </c>
      <c r="J25" s="62">
        <v>0.40486111111111112</v>
      </c>
      <c r="K25" s="113" t="str">
        <f>TEXT(A25,"dd-mm-yyyy")&amp;"T"&amp;TEXT(J25,"hh:mm:ss")</f>
        <v>01-08-2026T09:43:00</v>
      </c>
      <c r="L25" s="63">
        <f t="shared" si="0"/>
        <v>0.23680555555555555</v>
      </c>
      <c r="M25" s="64">
        <v>0.27083333333333331</v>
      </c>
      <c r="N25" s="65" t="str">
        <f t="shared" si="1"/>
        <v>00:49:00</v>
      </c>
      <c r="O25" s="66"/>
      <c r="P25" s="124"/>
      <c r="Q25" s="67" t="s">
        <v>13</v>
      </c>
      <c r="R25" s="68">
        <v>0.1763888888888889</v>
      </c>
      <c r="S25" s="68">
        <v>0.18124999999999999</v>
      </c>
      <c r="T25" s="69">
        <f t="shared" si="2"/>
        <v>4.8611111111110938E-3</v>
      </c>
      <c r="U25" s="61"/>
      <c r="V25" s="83">
        <v>4.1666666666666664E-2</v>
      </c>
      <c r="W25" s="61">
        <f>T25-V25</f>
        <v>-3.6805555555555571E-2</v>
      </c>
      <c r="X25" s="171">
        <v>46235.168055555558</v>
      </c>
      <c r="Y25" s="171">
        <v>46235.404861111114</v>
      </c>
      <c r="Z25" s="168">
        <f t="shared" si="9"/>
        <v>0.23680555555620231</v>
      </c>
      <c r="AA25" s="169">
        <f t="shared" si="10"/>
        <v>0.27083333333333331</v>
      </c>
      <c r="AB25" s="170" t="str">
        <f t="shared" si="11"/>
        <v>00:49:00</v>
      </c>
      <c r="AC25" s="170" t="b">
        <f t="shared" si="12"/>
        <v>1</v>
      </c>
    </row>
    <row r="26" spans="1:29" ht="9.75" hidden="1" customHeight="1" x14ac:dyDescent="0.3">
      <c r="A26" s="98">
        <v>46235</v>
      </c>
      <c r="B26" s="48">
        <v>8136616</v>
      </c>
      <c r="C26" s="49" t="s">
        <v>90</v>
      </c>
      <c r="D26" s="49" t="s">
        <v>290</v>
      </c>
      <c r="E26" s="50">
        <v>0.4375</v>
      </c>
      <c r="F26" s="49" t="s">
        <v>15</v>
      </c>
      <c r="G26" s="70" t="s">
        <v>13</v>
      </c>
      <c r="H26" s="51">
        <v>0.52847222222222223</v>
      </c>
      <c r="I26" s="113" t="str">
        <f t="shared" si="8"/>
        <v>01-08-2026T12:41:00</v>
      </c>
      <c r="J26" s="51">
        <v>0.75069444444444444</v>
      </c>
      <c r="K26" s="113" t="str">
        <f>TEXT(A26,"dd-mm-yyyy")&amp;"T"&amp;TEXT(J26,"hh:mm:ss")</f>
        <v>01-08-2026T18:01:00</v>
      </c>
      <c r="L26" s="52">
        <f t="shared" si="0"/>
        <v>0.22222222222222221</v>
      </c>
      <c r="M26" s="53">
        <v>0.20833333333333334</v>
      </c>
      <c r="N26" s="54" t="str">
        <f t="shared" si="1"/>
        <v>-00:20:00</v>
      </c>
      <c r="O26" s="55">
        <v>200</v>
      </c>
      <c r="P26" s="125" t="s">
        <v>402</v>
      </c>
      <c r="Q26" s="56"/>
      <c r="R26" s="57"/>
      <c r="S26" s="57"/>
      <c r="T26" s="58">
        <f t="shared" si="2"/>
        <v>0</v>
      </c>
      <c r="U26" s="50"/>
      <c r="V26" s="74">
        <v>0</v>
      </c>
      <c r="W26" s="50">
        <f t="shared" si="3"/>
        <v>0</v>
      </c>
      <c r="X26" s="171">
        <v>46235.52847222222</v>
      </c>
      <c r="Y26" s="171">
        <v>46235.750694444447</v>
      </c>
      <c r="Z26" s="168">
        <f t="shared" si="9"/>
        <v>0.22222222222626442</v>
      </c>
      <c r="AA26" s="169">
        <f t="shared" si="10"/>
        <v>0.20833333333333334</v>
      </c>
      <c r="AB26" s="170" t="str">
        <f t="shared" si="11"/>
        <v>-00:20:00</v>
      </c>
      <c r="AC26" s="170" t="b">
        <f t="shared" si="12"/>
        <v>1</v>
      </c>
    </row>
    <row r="27" spans="1:29" ht="9.75" hidden="1" customHeight="1" x14ac:dyDescent="0.3">
      <c r="A27" s="99">
        <v>46235</v>
      </c>
      <c r="B27" s="59">
        <v>8136352</v>
      </c>
      <c r="C27" s="60" t="s">
        <v>57</v>
      </c>
      <c r="D27" s="60" t="s">
        <v>370</v>
      </c>
      <c r="E27" s="61">
        <v>0.45833333333333331</v>
      </c>
      <c r="F27" s="60" t="s">
        <v>13</v>
      </c>
      <c r="G27" s="71" t="s">
        <v>24</v>
      </c>
      <c r="H27" s="62">
        <v>0.43958333333333333</v>
      </c>
      <c r="I27" s="113" t="str">
        <f t="shared" si="8"/>
        <v>01-08-2026T10:33:00</v>
      </c>
      <c r="J27" s="62">
        <v>0.50694444444444442</v>
      </c>
      <c r="K27" s="62"/>
      <c r="L27" s="63">
        <f t="shared" si="0"/>
        <v>6.7361111111111094E-2</v>
      </c>
      <c r="M27" s="64">
        <v>8.3333333333333329E-2</v>
      </c>
      <c r="N27" s="65" t="str">
        <f t="shared" si="1"/>
        <v>00:23:00</v>
      </c>
      <c r="O27" s="66"/>
      <c r="P27" s="124"/>
      <c r="Q27" s="67"/>
      <c r="R27" s="68"/>
      <c r="S27" s="68"/>
      <c r="T27" s="69">
        <f t="shared" si="2"/>
        <v>0</v>
      </c>
      <c r="U27" s="61" t="s">
        <v>234</v>
      </c>
      <c r="V27" s="83">
        <v>0</v>
      </c>
      <c r="W27" s="61">
        <f t="shared" si="3"/>
        <v>0</v>
      </c>
      <c r="X27" s="171">
        <v>46235.439583333333</v>
      </c>
      <c r="Y27" s="171">
        <v>46235.506944444445</v>
      </c>
      <c r="Z27" s="168">
        <f t="shared" si="9"/>
        <v>6.7361111112404615E-2</v>
      </c>
      <c r="AA27" s="169">
        <f t="shared" si="10"/>
        <v>8.3333333333333329E-2</v>
      </c>
      <c r="AB27" s="170" t="str">
        <f t="shared" si="11"/>
        <v>00:23:00</v>
      </c>
      <c r="AC27" s="170" t="b">
        <f t="shared" si="12"/>
        <v>1</v>
      </c>
    </row>
    <row r="28" spans="1:29" ht="9.75" hidden="1" customHeight="1" x14ac:dyDescent="0.3">
      <c r="A28" s="99">
        <v>46235</v>
      </c>
      <c r="B28" s="59">
        <v>8136411</v>
      </c>
      <c r="C28" s="60" t="s">
        <v>41</v>
      </c>
      <c r="D28" s="60" t="s">
        <v>299</v>
      </c>
      <c r="E28" s="61">
        <v>0.45833333333333331</v>
      </c>
      <c r="F28" s="60" t="s">
        <v>13</v>
      </c>
      <c r="G28" s="71" t="s">
        <v>24</v>
      </c>
      <c r="H28" s="62">
        <v>0.4597222222222222</v>
      </c>
      <c r="I28" s="113" t="str">
        <f t="shared" si="8"/>
        <v>01-08-2026T11:02:00</v>
      </c>
      <c r="J28" s="62">
        <v>0.53472222222222221</v>
      </c>
      <c r="K28" s="62"/>
      <c r="L28" s="63">
        <f t="shared" si="0"/>
        <v>7.5000000000000011E-2</v>
      </c>
      <c r="M28" s="64">
        <v>8.3333333333333329E-2</v>
      </c>
      <c r="N28" s="65" t="str">
        <f t="shared" si="1"/>
        <v>00:12:00</v>
      </c>
      <c r="O28" s="66"/>
      <c r="P28" s="124"/>
      <c r="Q28" s="67"/>
      <c r="R28" s="68"/>
      <c r="S28" s="68"/>
      <c r="T28" s="69">
        <f t="shared" si="2"/>
        <v>0</v>
      </c>
      <c r="U28" s="61" t="s">
        <v>234</v>
      </c>
      <c r="V28" s="83">
        <v>0</v>
      </c>
      <c r="W28" s="61">
        <f t="shared" si="3"/>
        <v>0</v>
      </c>
      <c r="X28" s="171">
        <v>46235.459722222222</v>
      </c>
      <c r="Y28" s="171">
        <v>46235.534722222219</v>
      </c>
      <c r="Z28" s="168">
        <f t="shared" si="9"/>
        <v>7.4999999997089617E-2</v>
      </c>
      <c r="AA28" s="169">
        <f t="shared" si="10"/>
        <v>8.3333333333333329E-2</v>
      </c>
      <c r="AB28" s="170" t="str">
        <f t="shared" si="11"/>
        <v>00:12:00</v>
      </c>
      <c r="AC28" s="170" t="b">
        <f t="shared" si="12"/>
        <v>1</v>
      </c>
    </row>
    <row r="29" spans="1:29" ht="9.75" hidden="1" customHeight="1" x14ac:dyDescent="0.3">
      <c r="A29" s="99">
        <v>46235</v>
      </c>
      <c r="B29" s="59">
        <v>8135300</v>
      </c>
      <c r="C29" s="60" t="s">
        <v>20</v>
      </c>
      <c r="D29" s="60" t="s">
        <v>232</v>
      </c>
      <c r="E29" s="61">
        <v>0.95833333333333337</v>
      </c>
      <c r="F29" s="60" t="s">
        <v>21</v>
      </c>
      <c r="G29" s="71" t="s">
        <v>13</v>
      </c>
      <c r="H29" s="62">
        <v>5.2083333333333336E-2</v>
      </c>
      <c r="I29" s="113" t="str">
        <f t="shared" si="8"/>
        <v>01-08-2026T01:15:00</v>
      </c>
      <c r="J29" s="62">
        <v>0.29930555555555555</v>
      </c>
      <c r="K29" s="62"/>
      <c r="L29" s="63">
        <f t="shared" si="0"/>
        <v>0.2472222222222222</v>
      </c>
      <c r="M29" s="64">
        <v>0.25</v>
      </c>
      <c r="N29" s="65" t="str">
        <f t="shared" si="1"/>
        <v>00:04:00</v>
      </c>
      <c r="O29" s="66"/>
      <c r="P29" s="124"/>
      <c r="Q29" s="67"/>
      <c r="R29" s="68"/>
      <c r="S29" s="68"/>
      <c r="T29" s="69">
        <f>S29-R29</f>
        <v>0</v>
      </c>
      <c r="U29" s="61"/>
      <c r="V29" s="83">
        <v>0</v>
      </c>
      <c r="W29" s="61">
        <f>T29-V29</f>
        <v>0</v>
      </c>
      <c r="X29" s="171">
        <v>46235.052083333336</v>
      </c>
      <c r="Y29" s="171">
        <v>46235.299305555556</v>
      </c>
      <c r="Z29" s="168">
        <f t="shared" si="9"/>
        <v>0.24722222222044365</v>
      </c>
      <c r="AA29" s="169">
        <f t="shared" si="10"/>
        <v>0.25</v>
      </c>
      <c r="AB29" s="170" t="str">
        <f t="shared" si="11"/>
        <v>00:04:00</v>
      </c>
      <c r="AC29" s="170" t="b">
        <f t="shared" si="12"/>
        <v>1</v>
      </c>
    </row>
    <row r="30" spans="1:29" ht="9.75" hidden="1" customHeight="1" x14ac:dyDescent="0.3">
      <c r="A30" s="99">
        <v>46235</v>
      </c>
      <c r="B30" s="59">
        <v>8136560</v>
      </c>
      <c r="C30" s="60" t="s">
        <v>20</v>
      </c>
      <c r="D30" s="60" t="s">
        <v>232</v>
      </c>
      <c r="E30" s="61">
        <v>0.5</v>
      </c>
      <c r="F30" s="60" t="s">
        <v>13</v>
      </c>
      <c r="G30" s="71" t="s">
        <v>21</v>
      </c>
      <c r="H30" s="62">
        <v>0.50694444444444442</v>
      </c>
      <c r="I30" s="113" t="str">
        <f t="shared" si="8"/>
        <v>01-08-2026T12:10:00</v>
      </c>
      <c r="J30" s="62">
        <v>0.75347222222222221</v>
      </c>
      <c r="K30" s="62"/>
      <c r="L30" s="63">
        <f t="shared" si="0"/>
        <v>0.24652777777777779</v>
      </c>
      <c r="M30" s="64">
        <v>0.25</v>
      </c>
      <c r="N30" s="65" t="str">
        <f t="shared" si="1"/>
        <v>00:05:00</v>
      </c>
      <c r="O30" s="66"/>
      <c r="P30" s="124"/>
      <c r="Q30" s="67"/>
      <c r="R30" s="68"/>
      <c r="S30" s="68"/>
      <c r="T30" s="69">
        <f t="shared" si="2"/>
        <v>0</v>
      </c>
      <c r="U30" s="61"/>
      <c r="V30" s="83">
        <v>0</v>
      </c>
      <c r="W30" s="61">
        <f t="shared" si="3"/>
        <v>0</v>
      </c>
      <c r="X30" s="171">
        <v>46235.506944444445</v>
      </c>
      <c r="Y30" s="171">
        <v>46235.753472222219</v>
      </c>
      <c r="Z30" s="168">
        <f t="shared" si="9"/>
        <v>0.24652777777373558</v>
      </c>
      <c r="AA30" s="169">
        <f t="shared" si="10"/>
        <v>0.25</v>
      </c>
      <c r="AB30" s="170" t="str">
        <f t="shared" si="11"/>
        <v>00:05:00</v>
      </c>
      <c r="AC30" s="170" t="b">
        <f t="shared" si="12"/>
        <v>1</v>
      </c>
    </row>
    <row r="31" spans="1:29" ht="9.75" hidden="1" customHeight="1" x14ac:dyDescent="0.3">
      <c r="A31" s="98">
        <v>46235</v>
      </c>
      <c r="B31" s="48">
        <v>8136946</v>
      </c>
      <c r="C31" s="49" t="s">
        <v>53</v>
      </c>
      <c r="D31" s="49" t="s">
        <v>298</v>
      </c>
      <c r="E31" s="50">
        <v>0.64583333333333337</v>
      </c>
      <c r="F31" s="49" t="s">
        <v>19</v>
      </c>
      <c r="G31" s="70" t="s">
        <v>13</v>
      </c>
      <c r="H31" s="51">
        <v>0.6430555555555556</v>
      </c>
      <c r="I31" s="113" t="str">
        <f t="shared" si="8"/>
        <v>01-08-2026T15:26:00</v>
      </c>
      <c r="J31" s="51">
        <v>46236.117361111108</v>
      </c>
      <c r="K31" s="51"/>
      <c r="L31" s="52">
        <f t="shared" si="0"/>
        <v>46235.474305555552</v>
      </c>
      <c r="M31" s="53">
        <v>0.4375</v>
      </c>
      <c r="N31" s="54" t="str">
        <f t="shared" si="1"/>
        <v>-00:53:00</v>
      </c>
      <c r="O31" s="55">
        <v>200</v>
      </c>
      <c r="P31" s="125" t="s">
        <v>402</v>
      </c>
      <c r="Q31" s="56" t="s">
        <v>229</v>
      </c>
      <c r="R31" s="57">
        <v>46235.753472222219</v>
      </c>
      <c r="S31" s="57">
        <v>46235.829861111109</v>
      </c>
      <c r="T31" s="58">
        <f t="shared" si="2"/>
        <v>7.6388888890505768E-2</v>
      </c>
      <c r="U31" s="50"/>
      <c r="V31" s="74">
        <v>8.3333333333333329E-2</v>
      </c>
      <c r="W31" s="50">
        <f t="shared" si="3"/>
        <v>-6.9444444428275603E-3</v>
      </c>
      <c r="X31" s="171">
        <v>46235.643055555556</v>
      </c>
      <c r="Y31" s="171">
        <v>46236.117361111108</v>
      </c>
      <c r="Z31" s="168">
        <f t="shared" si="9"/>
        <v>0.47430555555183673</v>
      </c>
      <c r="AA31" s="169">
        <f t="shared" si="10"/>
        <v>0.4375</v>
      </c>
      <c r="AB31" s="170" t="str">
        <f t="shared" si="11"/>
        <v>-00:53:00</v>
      </c>
      <c r="AC31" s="170" t="b">
        <f t="shared" si="12"/>
        <v>1</v>
      </c>
    </row>
    <row r="32" spans="1:29" ht="9.75" hidden="1" customHeight="1" x14ac:dyDescent="0.3">
      <c r="A32" s="99">
        <v>46235</v>
      </c>
      <c r="B32" s="59">
        <v>8135833</v>
      </c>
      <c r="C32" s="60" t="s">
        <v>54</v>
      </c>
      <c r="D32" s="60" t="s">
        <v>288</v>
      </c>
      <c r="E32" s="61">
        <v>0.875</v>
      </c>
      <c r="F32" s="60" t="s">
        <v>24</v>
      </c>
      <c r="G32" s="71" t="s">
        <v>13</v>
      </c>
      <c r="H32" s="62">
        <v>0.23680555555555555</v>
      </c>
      <c r="I32" s="113" t="str">
        <f t="shared" si="8"/>
        <v>01-08-2026T05:41:00</v>
      </c>
      <c r="J32" s="62">
        <v>0.31388888888888888</v>
      </c>
      <c r="K32" s="62"/>
      <c r="L32" s="63">
        <f t="shared" si="0"/>
        <v>7.7083333333333337E-2</v>
      </c>
      <c r="M32" s="64">
        <v>8.3333333333333329E-2</v>
      </c>
      <c r="N32" s="65" t="str">
        <f t="shared" si="1"/>
        <v>00:09:00</v>
      </c>
      <c r="O32" s="66"/>
      <c r="P32" s="124"/>
      <c r="Q32" s="67"/>
      <c r="R32" s="68"/>
      <c r="S32" s="68"/>
      <c r="T32" s="69">
        <f>S32-R32</f>
        <v>0</v>
      </c>
      <c r="U32" s="61"/>
      <c r="V32" s="83">
        <v>0</v>
      </c>
      <c r="W32" s="61">
        <f>T32-V32</f>
        <v>0</v>
      </c>
      <c r="X32" s="171">
        <v>46235.236805555556</v>
      </c>
      <c r="Y32" s="171">
        <v>46235.313888888886</v>
      </c>
      <c r="Z32" s="168">
        <f t="shared" si="9"/>
        <v>7.7083333329937886E-2</v>
      </c>
      <c r="AA32" s="169">
        <f t="shared" si="10"/>
        <v>8.3333333333333329E-2</v>
      </c>
      <c r="AB32" s="170" t="str">
        <f t="shared" si="11"/>
        <v>00:09:00</v>
      </c>
      <c r="AC32" s="170" t="b">
        <f t="shared" si="12"/>
        <v>1</v>
      </c>
    </row>
    <row r="33" spans="1:29" ht="9.75" hidden="1" customHeight="1" x14ac:dyDescent="0.3">
      <c r="A33" s="99">
        <v>46235</v>
      </c>
      <c r="B33" s="59">
        <v>8137136</v>
      </c>
      <c r="C33" s="60" t="s">
        <v>54</v>
      </c>
      <c r="D33" s="60" t="s">
        <v>288</v>
      </c>
      <c r="E33" s="61">
        <v>0.70833333333333337</v>
      </c>
      <c r="F33" s="60" t="s">
        <v>13</v>
      </c>
      <c r="G33" s="71" t="s">
        <v>24</v>
      </c>
      <c r="H33" s="62">
        <v>0.70277777777777772</v>
      </c>
      <c r="I33" s="113" t="str">
        <f t="shared" si="8"/>
        <v>01-08-2026T16:52:00</v>
      </c>
      <c r="J33" s="62">
        <v>0.77777777777777779</v>
      </c>
      <c r="K33" s="62"/>
      <c r="L33" s="63">
        <f t="shared" si="0"/>
        <v>7.5000000000000067E-2</v>
      </c>
      <c r="M33" s="64">
        <v>8.3333333333333329E-2</v>
      </c>
      <c r="N33" s="65" t="str">
        <f t="shared" si="1"/>
        <v>00:12:00</v>
      </c>
      <c r="O33" s="66"/>
      <c r="P33" s="124"/>
      <c r="Q33" s="67"/>
      <c r="R33" s="68"/>
      <c r="S33" s="68"/>
      <c r="T33" s="69">
        <f t="shared" si="2"/>
        <v>0</v>
      </c>
      <c r="U33" s="61" t="s">
        <v>234</v>
      </c>
      <c r="V33" s="83">
        <v>0</v>
      </c>
      <c r="W33" s="61">
        <f t="shared" si="3"/>
        <v>0</v>
      </c>
      <c r="X33" s="171">
        <v>46235.702777777777</v>
      </c>
      <c r="Y33" s="171">
        <v>46235.777777777781</v>
      </c>
      <c r="Z33" s="168">
        <f t="shared" si="9"/>
        <v>7.5000000004365575E-2</v>
      </c>
      <c r="AA33" s="169">
        <f t="shared" si="10"/>
        <v>8.3333333333333329E-2</v>
      </c>
      <c r="AB33" s="170" t="str">
        <f t="shared" si="11"/>
        <v>00:12:00</v>
      </c>
      <c r="AC33" s="170" t="b">
        <f t="shared" si="12"/>
        <v>1</v>
      </c>
    </row>
    <row r="34" spans="1:29" ht="9.75" hidden="1" customHeight="1" x14ac:dyDescent="0.3">
      <c r="A34" s="99">
        <v>46235</v>
      </c>
      <c r="B34" s="59">
        <v>8137333</v>
      </c>
      <c r="C34" s="60" t="s">
        <v>87</v>
      </c>
      <c r="D34" s="60" t="s">
        <v>367</v>
      </c>
      <c r="E34" s="61">
        <v>0.70833333333333337</v>
      </c>
      <c r="F34" s="60" t="s">
        <v>85</v>
      </c>
      <c r="G34" s="71" t="s">
        <v>13</v>
      </c>
      <c r="H34" s="62">
        <v>46235.759722222225</v>
      </c>
      <c r="I34" s="113" t="str">
        <f t="shared" si="8"/>
        <v>01-08-2026T18:14:00</v>
      </c>
      <c r="J34" s="62">
        <v>46236.074999999997</v>
      </c>
      <c r="K34" s="62"/>
      <c r="L34" s="63">
        <f t="shared" si="0"/>
        <v>0.31527777777228039</v>
      </c>
      <c r="M34" s="64">
        <v>0.33333333333333331</v>
      </c>
      <c r="N34" s="65" t="str">
        <f t="shared" si="1"/>
        <v>00:26:00</v>
      </c>
      <c r="O34" s="66"/>
      <c r="P34" s="124"/>
      <c r="Q34" s="67" t="s">
        <v>174</v>
      </c>
      <c r="R34" s="68">
        <v>46235.826388888891</v>
      </c>
      <c r="S34" s="68">
        <v>46235.838194444441</v>
      </c>
      <c r="T34" s="69">
        <f t="shared" si="2"/>
        <v>1.1805555550381541E-2</v>
      </c>
      <c r="U34" s="61"/>
      <c r="V34" s="83">
        <v>4.1666666666666664E-2</v>
      </c>
      <c r="W34" s="61">
        <f t="shared" si="3"/>
        <v>-2.9861111116285123E-2</v>
      </c>
      <c r="X34" s="171">
        <v>46235.759722222225</v>
      </c>
      <c r="Y34" s="171">
        <v>46236.074999999997</v>
      </c>
      <c r="Z34" s="168">
        <f t="shared" si="9"/>
        <v>0.31527777777228039</v>
      </c>
      <c r="AA34" s="169">
        <f t="shared" si="10"/>
        <v>0.33333333333333331</v>
      </c>
      <c r="AB34" s="170" t="str">
        <f t="shared" si="11"/>
        <v>00:26:00</v>
      </c>
      <c r="AC34" s="170" t="b">
        <f t="shared" si="12"/>
        <v>1</v>
      </c>
    </row>
    <row r="35" spans="1:29" s="128" customFormat="1" ht="9.75" hidden="1" customHeight="1" x14ac:dyDescent="0.3">
      <c r="A35" s="99">
        <v>46235</v>
      </c>
      <c r="B35" s="59">
        <v>8137135</v>
      </c>
      <c r="C35" s="60" t="s">
        <v>94</v>
      </c>
      <c r="D35" s="60" t="s">
        <v>293</v>
      </c>
      <c r="E35" s="61">
        <v>0.70833333333333337</v>
      </c>
      <c r="F35" s="60" t="s">
        <v>13</v>
      </c>
      <c r="G35" s="71" t="s">
        <v>23</v>
      </c>
      <c r="H35" s="62">
        <v>46235.701388888891</v>
      </c>
      <c r="I35" s="113" t="str">
        <f t="shared" si="8"/>
        <v>01-08-2026T16:50:00</v>
      </c>
      <c r="J35" s="62">
        <v>46236.841666666667</v>
      </c>
      <c r="K35" s="62"/>
      <c r="L35" s="63">
        <f t="shared" ref="L35:L56" si="13">J35-H35</f>
        <v>1.140277777776646</v>
      </c>
      <c r="M35" s="64">
        <v>1</v>
      </c>
      <c r="N35" s="65" t="str">
        <f t="shared" ref="N35:N56" si="14">IF(M35-L35&gt;0,TEXT(M35-L35,"HH:MM:SS"),TEXT(ABS(M35-L35),"-HH:MM:SS"))</f>
        <v>-03:22:00</v>
      </c>
      <c r="O35" s="66"/>
      <c r="P35" s="126" t="s">
        <v>403</v>
      </c>
      <c r="Q35" s="67"/>
      <c r="R35" s="68"/>
      <c r="S35" s="68"/>
      <c r="T35" s="69">
        <f t="shared" si="2"/>
        <v>0</v>
      </c>
      <c r="U35" s="61"/>
      <c r="V35" s="83">
        <v>0</v>
      </c>
      <c r="W35" s="61">
        <f t="shared" si="3"/>
        <v>0</v>
      </c>
      <c r="X35" s="172">
        <v>46235.701388888891</v>
      </c>
      <c r="Y35" s="172">
        <v>46236.841666666667</v>
      </c>
      <c r="Z35" s="173">
        <f t="shared" si="9"/>
        <v>1.140277777776646</v>
      </c>
      <c r="AA35" s="174">
        <f t="shared" si="10"/>
        <v>1</v>
      </c>
      <c r="AB35" s="175" t="str">
        <f t="shared" si="11"/>
        <v>-03:22:00</v>
      </c>
      <c r="AC35" s="175" t="b">
        <f t="shared" si="12"/>
        <v>1</v>
      </c>
    </row>
    <row r="36" spans="1:29" ht="9.75" hidden="1" customHeight="1" x14ac:dyDescent="0.3">
      <c r="A36" s="99">
        <v>46235</v>
      </c>
      <c r="B36" s="59">
        <v>8137224</v>
      </c>
      <c r="C36" s="60" t="s">
        <v>89</v>
      </c>
      <c r="D36" s="60" t="s">
        <v>294</v>
      </c>
      <c r="E36" s="61">
        <v>0.75</v>
      </c>
      <c r="F36" s="60" t="s">
        <v>35</v>
      </c>
      <c r="G36" s="71" t="s">
        <v>13</v>
      </c>
      <c r="H36" s="62">
        <v>0.72986111111111107</v>
      </c>
      <c r="I36" s="113" t="str">
        <f t="shared" si="8"/>
        <v>01-08-2026T17:31:00</v>
      </c>
      <c r="J36" s="62">
        <v>0.75763888888888886</v>
      </c>
      <c r="K36" s="62"/>
      <c r="L36" s="63">
        <f t="shared" si="13"/>
        <v>2.777777777777779E-2</v>
      </c>
      <c r="M36" s="64">
        <v>4.1666666666666664E-2</v>
      </c>
      <c r="N36" s="65" t="str">
        <f t="shared" si="14"/>
        <v>00:20:00</v>
      </c>
      <c r="O36" s="66"/>
      <c r="P36" s="124"/>
      <c r="Q36" s="67"/>
      <c r="R36" s="68"/>
      <c r="S36" s="68"/>
      <c r="T36" s="69">
        <f t="shared" si="2"/>
        <v>0</v>
      </c>
      <c r="U36" s="61"/>
      <c r="V36" s="83">
        <v>0</v>
      </c>
      <c r="W36" s="61">
        <f t="shared" si="3"/>
        <v>0</v>
      </c>
      <c r="X36" s="171">
        <v>46235.729861111111</v>
      </c>
      <c r="Y36" s="171">
        <v>46235.757638888892</v>
      </c>
      <c r="Z36" s="168">
        <f t="shared" si="9"/>
        <v>2.7777777781011537E-2</v>
      </c>
      <c r="AA36" s="169">
        <f t="shared" si="10"/>
        <v>4.1666666666666664E-2</v>
      </c>
      <c r="AB36" s="170" t="str">
        <f t="shared" si="11"/>
        <v>00:20:00</v>
      </c>
      <c r="AC36" s="170" t="b">
        <f t="shared" si="12"/>
        <v>1</v>
      </c>
    </row>
    <row r="37" spans="1:29" ht="9.75" hidden="1" customHeight="1" x14ac:dyDescent="0.3">
      <c r="A37" s="99">
        <v>46235</v>
      </c>
      <c r="B37" s="59">
        <v>8137585</v>
      </c>
      <c r="C37" s="60" t="s">
        <v>32</v>
      </c>
      <c r="D37" s="60" t="s">
        <v>476</v>
      </c>
      <c r="E37" s="61">
        <v>0.83333333333333337</v>
      </c>
      <c r="F37" s="60" t="s">
        <v>287</v>
      </c>
      <c r="G37" s="71" t="s">
        <v>13</v>
      </c>
      <c r="H37" s="62">
        <v>0.82916666666666672</v>
      </c>
      <c r="I37" s="113" t="str">
        <f t="shared" si="8"/>
        <v>01-08-2026T19:54:00</v>
      </c>
      <c r="J37" s="62">
        <v>0.96527777777777779</v>
      </c>
      <c r="K37" s="62"/>
      <c r="L37" s="63">
        <f t="shared" si="13"/>
        <v>0.13611111111111107</v>
      </c>
      <c r="M37" s="64">
        <v>0.14583333333333334</v>
      </c>
      <c r="N37" s="65" t="str">
        <f t="shared" si="14"/>
        <v>00:14:00</v>
      </c>
      <c r="O37" s="66"/>
      <c r="P37" s="124"/>
      <c r="Q37" s="67"/>
      <c r="R37" s="68"/>
      <c r="S37" s="68"/>
      <c r="T37" s="69">
        <f t="shared" si="2"/>
        <v>0</v>
      </c>
      <c r="U37" s="61"/>
      <c r="V37" s="83">
        <v>0</v>
      </c>
      <c r="W37" s="61">
        <f t="shared" si="3"/>
        <v>0</v>
      </c>
      <c r="X37" s="171">
        <v>46235.82916666667</v>
      </c>
      <c r="Y37" s="171">
        <v>46235.965277777781</v>
      </c>
      <c r="Z37" s="168">
        <f t="shared" si="9"/>
        <v>0.13611111111094942</v>
      </c>
      <c r="AA37" s="169">
        <f t="shared" si="10"/>
        <v>0.14583333333333334</v>
      </c>
      <c r="AB37" s="170" t="str">
        <f t="shared" si="11"/>
        <v>00:14:00</v>
      </c>
      <c r="AC37" s="170" t="b">
        <f t="shared" si="12"/>
        <v>1</v>
      </c>
    </row>
    <row r="38" spans="1:29" ht="9.75" hidden="1" customHeight="1" x14ac:dyDescent="0.3">
      <c r="A38" s="99">
        <v>46235</v>
      </c>
      <c r="B38" s="59">
        <v>8137798</v>
      </c>
      <c r="C38" s="60" t="s">
        <v>56</v>
      </c>
      <c r="D38" s="60" t="s">
        <v>326</v>
      </c>
      <c r="E38" s="61">
        <v>0.875</v>
      </c>
      <c r="F38" s="60" t="s">
        <v>13</v>
      </c>
      <c r="G38" s="71" t="s">
        <v>15</v>
      </c>
      <c r="H38" s="62">
        <v>46235.873611111114</v>
      </c>
      <c r="I38" s="113" t="str">
        <f t="shared" si="8"/>
        <v>01-08-2026T20:58:00</v>
      </c>
      <c r="J38" s="62">
        <v>46236.081250000003</v>
      </c>
      <c r="K38" s="62"/>
      <c r="L38" s="63">
        <f t="shared" si="13"/>
        <v>0.20763888888905058</v>
      </c>
      <c r="M38" s="64">
        <v>0.20833333333333334</v>
      </c>
      <c r="N38" s="65" t="str">
        <f t="shared" si="14"/>
        <v>00:01:00</v>
      </c>
      <c r="O38" s="66"/>
      <c r="P38" s="126" t="s">
        <v>394</v>
      </c>
      <c r="Q38" s="67"/>
      <c r="R38" s="68"/>
      <c r="S38" s="68"/>
      <c r="T38" s="69">
        <f t="shared" si="2"/>
        <v>0</v>
      </c>
      <c r="U38" s="61"/>
      <c r="V38" s="83">
        <v>0</v>
      </c>
      <c r="W38" s="61">
        <f t="shared" si="3"/>
        <v>0</v>
      </c>
      <c r="X38" s="171">
        <v>46235.873611111114</v>
      </c>
      <c r="Y38" s="171">
        <v>46236.081250000003</v>
      </c>
      <c r="Z38" s="168">
        <f t="shared" si="9"/>
        <v>0.20763888888905058</v>
      </c>
      <c r="AA38" s="169">
        <f t="shared" si="10"/>
        <v>0.20833333333333334</v>
      </c>
      <c r="AB38" s="170" t="str">
        <f t="shared" si="11"/>
        <v>00:01:00</v>
      </c>
      <c r="AC38" s="170" t="b">
        <f t="shared" si="12"/>
        <v>1</v>
      </c>
    </row>
    <row r="39" spans="1:29" ht="9.75" hidden="1" customHeight="1" x14ac:dyDescent="0.3">
      <c r="A39" s="98">
        <v>46235</v>
      </c>
      <c r="B39" s="48">
        <v>8138099</v>
      </c>
      <c r="C39" s="49" t="s">
        <v>36</v>
      </c>
      <c r="D39" s="49" t="s">
        <v>300</v>
      </c>
      <c r="E39" s="50">
        <v>0.875</v>
      </c>
      <c r="F39" s="49" t="s">
        <v>13</v>
      </c>
      <c r="G39" s="70" t="s">
        <v>15</v>
      </c>
      <c r="H39" s="51">
        <v>46235.995138888888</v>
      </c>
      <c r="I39" s="113" t="str">
        <f t="shared" si="8"/>
        <v>01-08-2026T23:53:00</v>
      </c>
      <c r="J39" s="51">
        <v>46236.260416666664</v>
      </c>
      <c r="K39" s="51"/>
      <c r="L39" s="52">
        <f t="shared" si="13"/>
        <v>0.26527777777664596</v>
      </c>
      <c r="M39" s="53">
        <v>0.20833333333333334</v>
      </c>
      <c r="N39" s="54" t="str">
        <f t="shared" si="14"/>
        <v>-01:22:00</v>
      </c>
      <c r="O39" s="55">
        <v>500</v>
      </c>
      <c r="P39" s="125" t="s">
        <v>401</v>
      </c>
      <c r="Q39" s="56"/>
      <c r="R39" s="57"/>
      <c r="S39" s="57"/>
      <c r="T39" s="58">
        <f t="shared" si="2"/>
        <v>0</v>
      </c>
      <c r="U39" s="50"/>
      <c r="V39" s="74">
        <v>0</v>
      </c>
      <c r="W39" s="50">
        <f t="shared" si="3"/>
        <v>0</v>
      </c>
      <c r="X39" s="171">
        <v>46235.995138888888</v>
      </c>
      <c r="Y39" s="171">
        <v>46236.260416666664</v>
      </c>
      <c r="Z39" s="168">
        <f t="shared" si="9"/>
        <v>0.26527777777664596</v>
      </c>
      <c r="AA39" s="169">
        <f t="shared" si="10"/>
        <v>0.20833333333333334</v>
      </c>
      <c r="AB39" s="170" t="str">
        <f t="shared" si="11"/>
        <v>-01:22:00</v>
      </c>
      <c r="AC39" s="170" t="b">
        <f t="shared" si="12"/>
        <v>1</v>
      </c>
    </row>
    <row r="40" spans="1:29" ht="9.75" hidden="1" customHeight="1" x14ac:dyDescent="0.3">
      <c r="A40" s="99">
        <v>46235</v>
      </c>
      <c r="B40" s="59">
        <v>8137602</v>
      </c>
      <c r="C40" s="60" t="s">
        <v>42</v>
      </c>
      <c r="D40" s="60" t="s">
        <v>181</v>
      </c>
      <c r="E40" s="61">
        <v>0.875</v>
      </c>
      <c r="F40" s="60" t="s">
        <v>55</v>
      </c>
      <c r="G40" s="71" t="s">
        <v>13</v>
      </c>
      <c r="H40" s="62">
        <v>0.83194444444444449</v>
      </c>
      <c r="I40" s="113" t="str">
        <f t="shared" si="8"/>
        <v>01-08-2026T19:58:00</v>
      </c>
      <c r="J40" s="62">
        <v>0.87916666666666665</v>
      </c>
      <c r="K40" s="62"/>
      <c r="L40" s="63">
        <f t="shared" si="13"/>
        <v>4.7222222222222165E-2</v>
      </c>
      <c r="M40" s="64">
        <v>6.25E-2</v>
      </c>
      <c r="N40" s="65" t="str">
        <f t="shared" si="14"/>
        <v>00:22:00</v>
      </c>
      <c r="O40" s="66"/>
      <c r="P40" s="124"/>
      <c r="Q40" s="67"/>
      <c r="R40" s="68"/>
      <c r="S40" s="68"/>
      <c r="T40" s="69">
        <f t="shared" si="2"/>
        <v>0</v>
      </c>
      <c r="U40" s="61"/>
      <c r="V40" s="83">
        <v>0</v>
      </c>
      <c r="W40" s="61">
        <f t="shared" si="3"/>
        <v>0</v>
      </c>
      <c r="X40" s="171">
        <v>46235.831944444442</v>
      </c>
      <c r="Y40" s="171">
        <v>46235.879166666666</v>
      </c>
      <c r="Z40" s="168">
        <f t="shared" si="9"/>
        <v>4.7222222223354038E-2</v>
      </c>
      <c r="AA40" s="169">
        <f t="shared" si="10"/>
        <v>6.25E-2</v>
      </c>
      <c r="AB40" s="170" t="str">
        <f t="shared" si="11"/>
        <v>00:22:00</v>
      </c>
      <c r="AC40" s="170" t="b">
        <f t="shared" si="12"/>
        <v>1</v>
      </c>
    </row>
    <row r="41" spans="1:29" ht="9.75" hidden="1" customHeight="1" x14ac:dyDescent="0.3">
      <c r="A41" s="99">
        <v>46235</v>
      </c>
      <c r="B41" s="59">
        <v>8137757</v>
      </c>
      <c r="C41" s="60" t="s">
        <v>41</v>
      </c>
      <c r="D41" s="60" t="s">
        <v>299</v>
      </c>
      <c r="E41" s="61">
        <v>0.875</v>
      </c>
      <c r="F41" s="60" t="s">
        <v>24</v>
      </c>
      <c r="G41" s="71" t="s">
        <v>13</v>
      </c>
      <c r="H41" s="62">
        <v>0.86736111111111114</v>
      </c>
      <c r="I41" s="113" t="str">
        <f t="shared" si="8"/>
        <v>01-08-2026T20:49:00</v>
      </c>
      <c r="J41" s="62">
        <v>0.94652777777777775</v>
      </c>
      <c r="K41" s="62"/>
      <c r="L41" s="63">
        <f t="shared" si="13"/>
        <v>7.9166666666666607E-2</v>
      </c>
      <c r="M41" s="64">
        <v>8.3333333333333329E-2</v>
      </c>
      <c r="N41" s="65" t="str">
        <f t="shared" si="14"/>
        <v>00:06:00</v>
      </c>
      <c r="O41" s="66"/>
      <c r="P41" s="124"/>
      <c r="Q41" s="67"/>
      <c r="R41" s="68"/>
      <c r="S41" s="68"/>
      <c r="T41" s="69">
        <f t="shared" si="2"/>
        <v>0</v>
      </c>
      <c r="U41" s="61"/>
      <c r="V41" s="83">
        <v>0</v>
      </c>
      <c r="W41" s="61">
        <f t="shared" si="3"/>
        <v>0</v>
      </c>
      <c r="X41" s="171">
        <v>46235.867361111108</v>
      </c>
      <c r="Y41" s="171">
        <v>46235.946527777778</v>
      </c>
      <c r="Z41" s="168">
        <f t="shared" si="9"/>
        <v>7.9166666670062114E-2</v>
      </c>
      <c r="AA41" s="169">
        <f t="shared" si="10"/>
        <v>8.3333333333333329E-2</v>
      </c>
      <c r="AB41" s="170" t="str">
        <f t="shared" si="11"/>
        <v>00:06:00</v>
      </c>
      <c r="AC41" s="170" t="b">
        <f t="shared" si="12"/>
        <v>1</v>
      </c>
    </row>
    <row r="42" spans="1:29" ht="9.75" hidden="1" customHeight="1" x14ac:dyDescent="0.3">
      <c r="A42" s="99">
        <v>46235</v>
      </c>
      <c r="B42" s="59">
        <v>8136787</v>
      </c>
      <c r="C42" s="60" t="s">
        <v>57</v>
      </c>
      <c r="D42" s="60" t="s">
        <v>370</v>
      </c>
      <c r="E42" s="61">
        <v>0.875</v>
      </c>
      <c r="F42" s="60" t="s">
        <v>24</v>
      </c>
      <c r="G42" s="71" t="s">
        <v>13</v>
      </c>
      <c r="H42" s="62">
        <v>0.58472222222222225</v>
      </c>
      <c r="I42" s="113" t="str">
        <f t="shared" si="8"/>
        <v>01-08-2026T14:02:00</v>
      </c>
      <c r="J42" s="62">
        <v>0.66736111111111107</v>
      </c>
      <c r="K42" s="62"/>
      <c r="L42" s="63">
        <f t="shared" si="13"/>
        <v>8.2638888888888817E-2</v>
      </c>
      <c r="M42" s="64">
        <v>8.3333333333333329E-2</v>
      </c>
      <c r="N42" s="65" t="str">
        <f t="shared" si="14"/>
        <v>00:01:00</v>
      </c>
      <c r="O42" s="66"/>
      <c r="P42" s="124"/>
      <c r="Q42" s="67"/>
      <c r="R42" s="68"/>
      <c r="S42" s="68"/>
      <c r="T42" s="69">
        <f>S42-R42</f>
        <v>0</v>
      </c>
      <c r="U42" s="61" t="s">
        <v>234</v>
      </c>
      <c r="V42" s="83">
        <v>0</v>
      </c>
      <c r="W42" s="61">
        <f>T42-V42</f>
        <v>0</v>
      </c>
      <c r="X42" s="171">
        <v>46235.584722222222</v>
      </c>
      <c r="Y42" s="171">
        <v>46235.667361111111</v>
      </c>
      <c r="Z42" s="168">
        <f t="shared" si="9"/>
        <v>8.2638888889050577E-2</v>
      </c>
      <c r="AA42" s="169">
        <f t="shared" si="10"/>
        <v>8.3333333333333329E-2</v>
      </c>
      <c r="AB42" s="170" t="str">
        <f t="shared" si="11"/>
        <v>00:01:00</v>
      </c>
      <c r="AC42" s="170" t="b">
        <f t="shared" si="12"/>
        <v>1</v>
      </c>
    </row>
    <row r="43" spans="1:29" ht="9.75" hidden="1" customHeight="1" x14ac:dyDescent="0.3">
      <c r="A43" s="99">
        <v>46235</v>
      </c>
      <c r="B43" s="59">
        <v>8137828</v>
      </c>
      <c r="C43" s="60" t="s">
        <v>57</v>
      </c>
      <c r="D43" s="60" t="s">
        <v>370</v>
      </c>
      <c r="E43" s="61">
        <v>0.875</v>
      </c>
      <c r="F43" s="60" t="s">
        <v>13</v>
      </c>
      <c r="G43" s="71" t="s">
        <v>24</v>
      </c>
      <c r="H43" s="62">
        <v>0.87986111111111109</v>
      </c>
      <c r="I43" s="113" t="str">
        <f t="shared" si="8"/>
        <v>01-08-2026T21:07:00</v>
      </c>
      <c r="J43" s="62">
        <v>0.95763888888888893</v>
      </c>
      <c r="K43" s="62"/>
      <c r="L43" s="63">
        <f t="shared" si="13"/>
        <v>7.7777777777777835E-2</v>
      </c>
      <c r="M43" s="64">
        <v>8.3333333333333329E-2</v>
      </c>
      <c r="N43" s="65" t="str">
        <f t="shared" si="14"/>
        <v>00:08:00</v>
      </c>
      <c r="O43" s="66"/>
      <c r="P43" s="124"/>
      <c r="Q43" s="67"/>
      <c r="R43" s="68"/>
      <c r="S43" s="68"/>
      <c r="T43" s="69">
        <f t="shared" si="2"/>
        <v>0</v>
      </c>
      <c r="U43" s="61" t="s">
        <v>234</v>
      </c>
      <c r="V43" s="83">
        <v>0</v>
      </c>
      <c r="W43" s="61">
        <f t="shared" si="3"/>
        <v>0</v>
      </c>
      <c r="X43" s="171">
        <v>46235.879861111112</v>
      </c>
      <c r="Y43" s="171">
        <v>46235.957638888889</v>
      </c>
      <c r="Z43" s="168">
        <f t="shared" si="9"/>
        <v>7.7777777776645962E-2</v>
      </c>
      <c r="AA43" s="169">
        <f t="shared" si="10"/>
        <v>8.3333333333333329E-2</v>
      </c>
      <c r="AB43" s="170" t="str">
        <f t="shared" si="11"/>
        <v>00:08:00</v>
      </c>
      <c r="AC43" s="170" t="b">
        <f t="shared" si="12"/>
        <v>1</v>
      </c>
    </row>
    <row r="44" spans="1:29" ht="9.75" hidden="1" customHeight="1" x14ac:dyDescent="0.3">
      <c r="A44" s="99">
        <v>46235</v>
      </c>
      <c r="B44" s="59">
        <v>8135137</v>
      </c>
      <c r="C44" s="60" t="s">
        <v>104</v>
      </c>
      <c r="D44" s="60" t="s">
        <v>382</v>
      </c>
      <c r="E44" s="61">
        <v>0.95833333333333337</v>
      </c>
      <c r="F44" s="60" t="s">
        <v>173</v>
      </c>
      <c r="G44" s="71" t="s">
        <v>13</v>
      </c>
      <c r="H44" s="62">
        <v>46235.006944444445</v>
      </c>
      <c r="I44" s="113" t="str">
        <f t="shared" si="8"/>
        <v>01-08-2026T00:10:00</v>
      </c>
      <c r="J44" s="62">
        <v>46236.863888888889</v>
      </c>
      <c r="K44" s="62"/>
      <c r="L44" s="63">
        <f t="shared" si="13"/>
        <v>1.8569444444437977</v>
      </c>
      <c r="M44" s="64">
        <v>1.9166666666666667</v>
      </c>
      <c r="N44" s="65" t="str">
        <f t="shared" si="14"/>
        <v>01:26:00</v>
      </c>
      <c r="O44" s="66"/>
      <c r="P44" s="124"/>
      <c r="Q44" s="67" t="s">
        <v>96</v>
      </c>
      <c r="R44" s="68">
        <v>46235.174305555556</v>
      </c>
      <c r="S44" s="68">
        <v>46235.297222222223</v>
      </c>
      <c r="T44" s="47">
        <f t="shared" si="2"/>
        <v>0.12291666666715173</v>
      </c>
      <c r="U44" s="61"/>
      <c r="V44" s="83">
        <v>8.3333333333333329E-2</v>
      </c>
      <c r="W44" s="61">
        <f t="shared" si="3"/>
        <v>3.9583333333818402E-2</v>
      </c>
      <c r="X44" s="171">
        <v>46235.006944444445</v>
      </c>
      <c r="Y44" s="171">
        <v>46236.863888888889</v>
      </c>
      <c r="Z44" s="168">
        <f t="shared" si="9"/>
        <v>1.8569444444437977</v>
      </c>
      <c r="AA44" s="169">
        <f t="shared" si="10"/>
        <v>1.9166666666666667</v>
      </c>
      <c r="AB44" s="170" t="str">
        <f t="shared" si="11"/>
        <v>01:26:00</v>
      </c>
      <c r="AC44" s="170" t="b">
        <f t="shared" si="12"/>
        <v>1</v>
      </c>
    </row>
    <row r="45" spans="1:29" ht="9.75" hidden="1" customHeight="1" x14ac:dyDescent="0.3">
      <c r="A45" s="99">
        <v>46235</v>
      </c>
      <c r="B45" s="59">
        <v>8138017</v>
      </c>
      <c r="C45" s="60" t="s">
        <v>175</v>
      </c>
      <c r="D45" s="60" t="s">
        <v>306</v>
      </c>
      <c r="E45" s="61">
        <v>0.95833333333333337</v>
      </c>
      <c r="F45" s="60" t="s">
        <v>173</v>
      </c>
      <c r="G45" s="71" t="s">
        <v>13</v>
      </c>
      <c r="H45" s="62">
        <v>46235.95416666667</v>
      </c>
      <c r="I45" s="113" t="str">
        <f t="shared" si="8"/>
        <v>01-08-2026T22:54:00</v>
      </c>
      <c r="J45" s="62">
        <v>46237.811111111114</v>
      </c>
      <c r="K45" s="62"/>
      <c r="L45" s="63">
        <f t="shared" si="13"/>
        <v>1.8569444444437977</v>
      </c>
      <c r="M45" s="64">
        <v>1.9166666666666667</v>
      </c>
      <c r="N45" s="65" t="str">
        <f t="shared" si="14"/>
        <v>01:26:00</v>
      </c>
      <c r="O45" s="66"/>
      <c r="P45" s="124"/>
      <c r="Q45" s="67" t="s">
        <v>96</v>
      </c>
      <c r="R45" s="68">
        <v>46236.080555555556</v>
      </c>
      <c r="S45" s="68">
        <v>46236.207638888889</v>
      </c>
      <c r="T45" s="47">
        <f t="shared" si="2"/>
        <v>0.12708333333284827</v>
      </c>
      <c r="U45" s="61"/>
      <c r="V45" s="83">
        <v>8.3333333333333329E-2</v>
      </c>
      <c r="W45" s="61">
        <f t="shared" si="3"/>
        <v>4.3749999999514941E-2</v>
      </c>
      <c r="X45" s="171">
        <v>46235.95416666667</v>
      </c>
      <c r="Y45" s="171">
        <v>46237.811111111114</v>
      </c>
      <c r="Z45" s="168">
        <f t="shared" si="9"/>
        <v>1.8569444444437977</v>
      </c>
      <c r="AA45" s="169">
        <f t="shared" si="10"/>
        <v>1.9166666666666667</v>
      </c>
      <c r="AB45" s="170" t="str">
        <f t="shared" si="11"/>
        <v>01:26:00</v>
      </c>
      <c r="AC45" s="170" t="b">
        <f t="shared" si="12"/>
        <v>1</v>
      </c>
    </row>
    <row r="46" spans="1:29" ht="9.75" hidden="1" customHeight="1" x14ac:dyDescent="0.3">
      <c r="A46" s="99">
        <v>46235</v>
      </c>
      <c r="B46" s="59">
        <v>8135328</v>
      </c>
      <c r="C46" s="60" t="s">
        <v>52</v>
      </c>
      <c r="D46" s="60" t="s">
        <v>616</v>
      </c>
      <c r="E46" s="61">
        <v>0.99930555555555556</v>
      </c>
      <c r="F46" s="60" t="s">
        <v>15</v>
      </c>
      <c r="G46" s="71" t="s">
        <v>13</v>
      </c>
      <c r="H46" s="62">
        <v>7.4305555555555555E-2</v>
      </c>
      <c r="I46" s="113" t="str">
        <f t="shared" si="8"/>
        <v>01-08-2026T01:47:00</v>
      </c>
      <c r="J46" s="62">
        <v>0.28055555555555556</v>
      </c>
      <c r="K46" s="62"/>
      <c r="L46" s="63">
        <f t="shared" si="13"/>
        <v>0.20624999999999999</v>
      </c>
      <c r="M46" s="64">
        <v>0.20833333333333334</v>
      </c>
      <c r="N46" s="65" t="str">
        <f t="shared" si="14"/>
        <v>00:03:00</v>
      </c>
      <c r="O46" s="66"/>
      <c r="P46" s="124"/>
      <c r="Q46" s="67"/>
      <c r="R46" s="68"/>
      <c r="S46" s="68"/>
      <c r="T46" s="69">
        <f t="shared" ref="T46:T56" si="15">S46-R46</f>
        <v>0</v>
      </c>
      <c r="U46" s="61"/>
      <c r="V46" s="83">
        <v>0</v>
      </c>
      <c r="W46" s="61">
        <f t="shared" ref="W46:W56" si="16">T46-V46</f>
        <v>0</v>
      </c>
      <c r="X46" s="171">
        <v>46235.074305555558</v>
      </c>
      <c r="Y46" s="171">
        <v>46235.280555555553</v>
      </c>
      <c r="Z46" s="168">
        <f t="shared" si="9"/>
        <v>0.20624999999563443</v>
      </c>
      <c r="AA46" s="169">
        <f t="shared" si="10"/>
        <v>0.20833333333333334</v>
      </c>
      <c r="AB46" s="170" t="str">
        <f t="shared" si="11"/>
        <v>00:03:00</v>
      </c>
      <c r="AC46" s="170" t="b">
        <f t="shared" si="12"/>
        <v>1</v>
      </c>
    </row>
    <row r="47" spans="1:29" ht="9.75" hidden="1" customHeight="1" x14ac:dyDescent="0.3">
      <c r="A47" s="99">
        <v>46235</v>
      </c>
      <c r="B47" s="59">
        <v>8136700</v>
      </c>
      <c r="C47" s="60" t="s">
        <v>52</v>
      </c>
      <c r="D47" s="60" t="s">
        <v>616</v>
      </c>
      <c r="E47" s="61">
        <v>0.54166666666666663</v>
      </c>
      <c r="F47" s="60" t="s">
        <v>13</v>
      </c>
      <c r="G47" s="71" t="s">
        <v>15</v>
      </c>
      <c r="H47" s="62">
        <v>0.55625000000000002</v>
      </c>
      <c r="I47" s="113" t="str">
        <f t="shared" si="8"/>
        <v>01-08-2026T13:21:00</v>
      </c>
      <c r="J47" s="62">
        <v>0.75694444444444442</v>
      </c>
      <c r="K47" s="62"/>
      <c r="L47" s="63">
        <f t="shared" si="13"/>
        <v>0.2006944444444444</v>
      </c>
      <c r="M47" s="64">
        <v>0.20833333333333334</v>
      </c>
      <c r="N47" s="65" t="str">
        <f t="shared" si="14"/>
        <v>00:11:00</v>
      </c>
      <c r="O47" s="66"/>
      <c r="P47" s="124"/>
      <c r="Q47" s="67"/>
      <c r="R47" s="68"/>
      <c r="S47" s="68"/>
      <c r="T47" s="69">
        <f>S47-R47</f>
        <v>0</v>
      </c>
      <c r="U47" s="61"/>
      <c r="V47" s="83">
        <v>0</v>
      </c>
      <c r="W47" s="61">
        <f>T47-V47</f>
        <v>0</v>
      </c>
      <c r="X47" s="171">
        <v>46235.556250000001</v>
      </c>
      <c r="Y47" s="171">
        <v>46235.756944444445</v>
      </c>
      <c r="Z47" s="168">
        <f t="shared" si="9"/>
        <v>0.20069444444379769</v>
      </c>
      <c r="AA47" s="169">
        <f t="shared" si="10"/>
        <v>0.20833333333333334</v>
      </c>
      <c r="AB47" s="170" t="str">
        <f t="shared" si="11"/>
        <v>00:11:00</v>
      </c>
      <c r="AC47" s="170" t="b">
        <f t="shared" si="12"/>
        <v>1</v>
      </c>
    </row>
    <row r="48" spans="1:29" ht="9.75" hidden="1" customHeight="1" x14ac:dyDescent="0.3">
      <c r="A48" s="99">
        <v>46235</v>
      </c>
      <c r="B48" s="59">
        <v>8138116</v>
      </c>
      <c r="C48" s="60" t="s">
        <v>52</v>
      </c>
      <c r="D48" s="60" t="s">
        <v>616</v>
      </c>
      <c r="E48" s="61">
        <v>0.99930555555555556</v>
      </c>
      <c r="F48" s="60" t="s">
        <v>15</v>
      </c>
      <c r="G48" s="71" t="s">
        <v>13</v>
      </c>
      <c r="H48" s="62">
        <v>46235.998611111114</v>
      </c>
      <c r="I48" s="113" t="str">
        <f t="shared" si="8"/>
        <v>01-08-2026T23:58:00</v>
      </c>
      <c r="J48" s="62">
        <v>46236.206944444442</v>
      </c>
      <c r="K48" s="62"/>
      <c r="L48" s="63">
        <f t="shared" si="13"/>
        <v>0.20833333332848269</v>
      </c>
      <c r="M48" s="64">
        <v>0.20833333333333334</v>
      </c>
      <c r="N48" s="65" t="str">
        <f t="shared" si="14"/>
        <v>00:00:00</v>
      </c>
      <c r="O48" s="66"/>
      <c r="P48" s="124"/>
      <c r="Q48" s="67"/>
      <c r="R48" s="68"/>
      <c r="S48" s="68"/>
      <c r="T48" s="69">
        <f t="shared" si="15"/>
        <v>0</v>
      </c>
      <c r="U48" s="61"/>
      <c r="V48" s="83">
        <v>0</v>
      </c>
      <c r="W48" s="61">
        <f t="shared" si="16"/>
        <v>0</v>
      </c>
      <c r="X48" s="171">
        <v>46235.998611111114</v>
      </c>
      <c r="Y48" s="171">
        <v>46236.206944444442</v>
      </c>
      <c r="Z48" s="168">
        <f t="shared" si="9"/>
        <v>0.20833333332848269</v>
      </c>
      <c r="AA48" s="169">
        <f t="shared" si="10"/>
        <v>0.20833333333333334</v>
      </c>
      <c r="AB48" s="170" t="str">
        <f t="shared" si="11"/>
        <v>00:00:00</v>
      </c>
      <c r="AC48" s="170" t="b">
        <f t="shared" si="12"/>
        <v>1</v>
      </c>
    </row>
    <row r="49" spans="1:29" ht="9.75" hidden="1" customHeight="1" x14ac:dyDescent="0.3">
      <c r="A49" s="99">
        <v>46235</v>
      </c>
      <c r="B49" s="59">
        <v>8138065</v>
      </c>
      <c r="C49" s="60" t="s">
        <v>54</v>
      </c>
      <c r="D49" s="60" t="s">
        <v>288</v>
      </c>
      <c r="E49" s="61">
        <v>0.99930555555555556</v>
      </c>
      <c r="F49" s="60" t="s">
        <v>24</v>
      </c>
      <c r="G49" s="71" t="s">
        <v>13</v>
      </c>
      <c r="H49" s="62">
        <v>46235.974999999999</v>
      </c>
      <c r="I49" s="113" t="str">
        <f t="shared" si="8"/>
        <v>01-08-2026T23:24:00</v>
      </c>
      <c r="J49" s="62">
        <v>46236.050694444442</v>
      </c>
      <c r="K49" s="62"/>
      <c r="L49" s="63">
        <f t="shared" si="13"/>
        <v>7.5694444443797693E-2</v>
      </c>
      <c r="M49" s="64">
        <v>8.3333333333333329E-2</v>
      </c>
      <c r="N49" s="65" t="str">
        <f t="shared" si="14"/>
        <v>00:11:00</v>
      </c>
      <c r="O49" s="66"/>
      <c r="P49" s="124"/>
      <c r="Q49" s="67"/>
      <c r="R49" s="68"/>
      <c r="S49" s="68"/>
      <c r="T49" s="69">
        <f t="shared" si="15"/>
        <v>0</v>
      </c>
      <c r="U49" s="61"/>
      <c r="V49" s="83">
        <v>0</v>
      </c>
      <c r="W49" s="61">
        <f t="shared" si="16"/>
        <v>0</v>
      </c>
      <c r="X49" s="171">
        <v>46235.974999999999</v>
      </c>
      <c r="Y49" s="171">
        <v>46236.050694444442</v>
      </c>
      <c r="Z49" s="168">
        <f t="shared" si="9"/>
        <v>7.5694444443797693E-2</v>
      </c>
      <c r="AA49" s="169">
        <f t="shared" si="10"/>
        <v>8.3333333333333329E-2</v>
      </c>
      <c r="AB49" s="170" t="str">
        <f t="shared" si="11"/>
        <v>00:11:00</v>
      </c>
      <c r="AC49" s="170" t="b">
        <f t="shared" si="12"/>
        <v>1</v>
      </c>
    </row>
    <row r="50" spans="1:29" ht="9.75" hidden="1" customHeight="1" x14ac:dyDescent="0.3">
      <c r="A50" s="99">
        <v>46235</v>
      </c>
      <c r="B50" s="59">
        <v>8135581</v>
      </c>
      <c r="C50" s="60" t="s">
        <v>84</v>
      </c>
      <c r="D50" s="60" t="s">
        <v>301</v>
      </c>
      <c r="E50" s="61" t="s">
        <v>184</v>
      </c>
      <c r="F50" s="60" t="s">
        <v>13</v>
      </c>
      <c r="G50" s="71" t="s">
        <v>28</v>
      </c>
      <c r="H50" s="62">
        <v>0.16666666666666666</v>
      </c>
      <c r="I50" s="113" t="str">
        <f t="shared" si="8"/>
        <v>01-08-2026T04:00:00</v>
      </c>
      <c r="J50" s="62">
        <v>0.3263888888888889</v>
      </c>
      <c r="K50" s="62"/>
      <c r="L50" s="63">
        <f t="shared" si="13"/>
        <v>0.15972222222222224</v>
      </c>
      <c r="M50" s="64">
        <v>0.25</v>
      </c>
      <c r="N50" s="65" t="str">
        <f t="shared" si="14"/>
        <v>02:10:00</v>
      </c>
      <c r="O50" s="66"/>
      <c r="P50" s="124" t="s">
        <v>184</v>
      </c>
      <c r="Q50" s="67"/>
      <c r="R50" s="68"/>
      <c r="S50" s="68"/>
      <c r="T50" s="69">
        <f t="shared" si="15"/>
        <v>0</v>
      </c>
      <c r="U50" s="61"/>
      <c r="V50" s="83">
        <v>0</v>
      </c>
      <c r="W50" s="61">
        <f t="shared" si="16"/>
        <v>0</v>
      </c>
      <c r="X50" s="171">
        <v>46235.166666666664</v>
      </c>
      <c r="Y50" s="171">
        <v>46235.326388888891</v>
      </c>
      <c r="Z50" s="168">
        <f t="shared" si="9"/>
        <v>0.15972222222626442</v>
      </c>
      <c r="AA50" s="169">
        <f t="shared" si="10"/>
        <v>0.25</v>
      </c>
      <c r="AB50" s="170" t="str">
        <f t="shared" si="11"/>
        <v>02:10:00</v>
      </c>
      <c r="AC50" s="170" t="b">
        <f t="shared" si="12"/>
        <v>1</v>
      </c>
    </row>
    <row r="51" spans="1:29" ht="9.75" hidden="1" customHeight="1" x14ac:dyDescent="0.3">
      <c r="A51" s="99">
        <v>46235</v>
      </c>
      <c r="B51" s="59">
        <v>8137305</v>
      </c>
      <c r="C51" s="60" t="s">
        <v>84</v>
      </c>
      <c r="D51" s="60" t="s">
        <v>301</v>
      </c>
      <c r="E51" s="61" t="s">
        <v>184</v>
      </c>
      <c r="F51" s="60" t="s">
        <v>28</v>
      </c>
      <c r="G51" s="71" t="s">
        <v>13</v>
      </c>
      <c r="H51" s="62">
        <v>0.75208333333333333</v>
      </c>
      <c r="I51" s="113" t="str">
        <f t="shared" si="8"/>
        <v>01-08-2026T18:03:00</v>
      </c>
      <c r="J51" s="62">
        <v>0.90069444444444446</v>
      </c>
      <c r="K51" s="62"/>
      <c r="L51" s="63">
        <f t="shared" si="13"/>
        <v>0.14861111111111114</v>
      </c>
      <c r="M51" s="64">
        <v>0.20833333333333334</v>
      </c>
      <c r="N51" s="65" t="str">
        <f t="shared" si="14"/>
        <v>01:26:00</v>
      </c>
      <c r="O51" s="66"/>
      <c r="P51" s="124" t="s">
        <v>184</v>
      </c>
      <c r="Q51" s="67"/>
      <c r="R51" s="68"/>
      <c r="S51" s="68"/>
      <c r="T51" s="69">
        <f t="shared" si="15"/>
        <v>0</v>
      </c>
      <c r="U51" s="61"/>
      <c r="V51" s="83">
        <v>0</v>
      </c>
      <c r="W51" s="61">
        <f t="shared" si="16"/>
        <v>0</v>
      </c>
      <c r="X51" s="171">
        <v>46235.752083333333</v>
      </c>
      <c r="Y51" s="171">
        <v>46235.900694444441</v>
      </c>
      <c r="Z51" s="168">
        <f t="shared" si="9"/>
        <v>0.14861111110803904</v>
      </c>
      <c r="AA51" s="169">
        <f t="shared" si="10"/>
        <v>0.20833333333333334</v>
      </c>
      <c r="AB51" s="170" t="str">
        <f t="shared" si="11"/>
        <v>01:26:00</v>
      </c>
      <c r="AC51" s="170" t="b">
        <f t="shared" si="12"/>
        <v>1</v>
      </c>
    </row>
    <row r="52" spans="1:29" ht="9.75" hidden="1" customHeight="1" x14ac:dyDescent="0.3">
      <c r="A52" s="98">
        <v>46235</v>
      </c>
      <c r="B52" s="48">
        <v>8135348</v>
      </c>
      <c r="C52" s="49" t="s">
        <v>203</v>
      </c>
      <c r="D52" s="49" t="s">
        <v>297</v>
      </c>
      <c r="E52" s="50" t="s">
        <v>184</v>
      </c>
      <c r="F52" s="49" t="s">
        <v>103</v>
      </c>
      <c r="G52" s="70" t="s">
        <v>13</v>
      </c>
      <c r="H52" s="51">
        <v>8.1250000000000003E-2</v>
      </c>
      <c r="I52" s="113" t="str">
        <f t="shared" si="8"/>
        <v>01-08-2026T01:57:00</v>
      </c>
      <c r="J52" s="51">
        <v>0.99027777777777781</v>
      </c>
      <c r="K52" s="51"/>
      <c r="L52" s="52">
        <f t="shared" si="13"/>
        <v>0.90902777777777777</v>
      </c>
      <c r="M52" s="53">
        <v>0.83333333333333337</v>
      </c>
      <c r="N52" s="54" t="str">
        <f t="shared" si="14"/>
        <v>-01:49:00</v>
      </c>
      <c r="O52" s="55"/>
      <c r="P52" s="125" t="s">
        <v>404</v>
      </c>
      <c r="Q52" s="56" t="s">
        <v>13</v>
      </c>
      <c r="R52" s="57">
        <v>46235.977083333331</v>
      </c>
      <c r="S52" s="57">
        <v>46235.981249999997</v>
      </c>
      <c r="T52" s="58">
        <f t="shared" si="15"/>
        <v>4.166666665696539E-3</v>
      </c>
      <c r="U52" s="50"/>
      <c r="V52" s="74" t="s">
        <v>319</v>
      </c>
      <c r="W52" s="50" t="e">
        <f t="shared" si="16"/>
        <v>#VALUE!</v>
      </c>
      <c r="X52" s="171">
        <v>46235.081250000003</v>
      </c>
      <c r="Y52" s="171">
        <v>46235.990277777775</v>
      </c>
      <c r="Z52" s="168">
        <f t="shared" si="9"/>
        <v>0.90902777777228039</v>
      </c>
      <c r="AA52" s="169">
        <f t="shared" si="10"/>
        <v>0.83333333333333337</v>
      </c>
      <c r="AB52" s="170" t="str">
        <f t="shared" si="11"/>
        <v>-01:49:00</v>
      </c>
      <c r="AC52" s="170" t="b">
        <f t="shared" si="12"/>
        <v>1</v>
      </c>
    </row>
    <row r="53" spans="1:29" ht="9.75" hidden="1" customHeight="1" x14ac:dyDescent="0.3">
      <c r="A53" s="98">
        <v>46235</v>
      </c>
      <c r="B53" s="48">
        <v>8136711</v>
      </c>
      <c r="C53" s="49" t="s">
        <v>171</v>
      </c>
      <c r="D53" s="49" t="s">
        <v>296</v>
      </c>
      <c r="E53" s="50" t="s">
        <v>184</v>
      </c>
      <c r="F53" s="49" t="s">
        <v>376</v>
      </c>
      <c r="G53" s="70" t="s">
        <v>663</v>
      </c>
      <c r="H53" s="51">
        <v>0.55902777777777779</v>
      </c>
      <c r="I53" s="113" t="str">
        <f t="shared" si="8"/>
        <v>01-08-2026T13:25:00</v>
      </c>
      <c r="J53" s="51">
        <v>0.70277777777777772</v>
      </c>
      <c r="K53" s="51"/>
      <c r="L53" s="52">
        <f t="shared" si="13"/>
        <v>0.14374999999999993</v>
      </c>
      <c r="M53" s="53">
        <v>0.125</v>
      </c>
      <c r="N53" s="54" t="str">
        <f t="shared" si="14"/>
        <v>-00:27:00</v>
      </c>
      <c r="O53" s="55"/>
      <c r="P53" s="125" t="s">
        <v>184</v>
      </c>
      <c r="Q53" s="56"/>
      <c r="R53" s="57"/>
      <c r="S53" s="57"/>
      <c r="T53" s="58">
        <f t="shared" si="15"/>
        <v>0</v>
      </c>
      <c r="U53" s="50"/>
      <c r="V53" s="74" t="s">
        <v>393</v>
      </c>
      <c r="W53" s="50" t="e">
        <f t="shared" si="16"/>
        <v>#VALUE!</v>
      </c>
      <c r="X53" s="171" t="s">
        <v>371</v>
      </c>
      <c r="Y53" s="171" t="s">
        <v>371</v>
      </c>
      <c r="Z53" s="168" t="e">
        <f t="shared" si="9"/>
        <v>#VALUE!</v>
      </c>
      <c r="AA53" s="169">
        <f t="shared" si="10"/>
        <v>0.125</v>
      </c>
      <c r="AB53" s="170" t="e">
        <f t="shared" si="11"/>
        <v>#VALUE!</v>
      </c>
      <c r="AC53" s="170" t="e">
        <f t="shared" si="12"/>
        <v>#VALUE!</v>
      </c>
    </row>
    <row r="54" spans="1:29" ht="9.75" hidden="1" customHeight="1" x14ac:dyDescent="0.3">
      <c r="A54" s="98">
        <v>46235</v>
      </c>
      <c r="B54" s="48">
        <v>8137551</v>
      </c>
      <c r="C54" s="49" t="s">
        <v>171</v>
      </c>
      <c r="D54" s="49" t="s">
        <v>296</v>
      </c>
      <c r="E54" s="50" t="s">
        <v>184</v>
      </c>
      <c r="F54" s="49" t="s">
        <v>663</v>
      </c>
      <c r="G54" s="70" t="s">
        <v>13</v>
      </c>
      <c r="H54" s="51">
        <v>46235.820138888892</v>
      </c>
      <c r="I54" s="113" t="str">
        <f t="shared" si="8"/>
        <v>01-08-2026T19:41:00</v>
      </c>
      <c r="J54" s="51">
        <v>46237.754861111112</v>
      </c>
      <c r="K54" s="51"/>
      <c r="L54" s="52">
        <f t="shared" si="13"/>
        <v>1.9347222222204437</v>
      </c>
      <c r="M54" s="53">
        <v>0.66666666666666663</v>
      </c>
      <c r="N54" s="54" t="str">
        <f t="shared" si="14"/>
        <v>-06:26:00</v>
      </c>
      <c r="O54" s="55"/>
      <c r="P54" s="125" t="s">
        <v>184</v>
      </c>
      <c r="Q54" s="56" t="s">
        <v>13</v>
      </c>
      <c r="R54" s="57" t="s">
        <v>372</v>
      </c>
      <c r="S54" s="57" t="s">
        <v>372</v>
      </c>
      <c r="T54" s="58" t="e">
        <f t="shared" si="15"/>
        <v>#VALUE!</v>
      </c>
      <c r="U54" s="50"/>
      <c r="V54" s="74" t="s">
        <v>393</v>
      </c>
      <c r="W54" s="50" t="e">
        <f t="shared" si="16"/>
        <v>#VALUE!</v>
      </c>
      <c r="X54" s="171">
        <v>46235.820138888892</v>
      </c>
      <c r="Y54" s="171">
        <v>46237.754861111112</v>
      </c>
      <c r="Z54" s="168">
        <f t="shared" si="9"/>
        <v>1.9347222222204437</v>
      </c>
      <c r="AA54" s="169">
        <f t="shared" si="10"/>
        <v>0.66666666666666663</v>
      </c>
      <c r="AB54" s="170" t="str">
        <f t="shared" si="11"/>
        <v>-06:26:00</v>
      </c>
      <c r="AC54" s="170" t="b">
        <f t="shared" si="12"/>
        <v>1</v>
      </c>
    </row>
    <row r="55" spans="1:29" ht="9.75" hidden="1" customHeight="1" x14ac:dyDescent="0.3">
      <c r="A55" s="149">
        <v>46235</v>
      </c>
      <c r="B55" s="150" t="s">
        <v>687</v>
      </c>
      <c r="C55" s="151" t="s">
        <v>25</v>
      </c>
      <c r="D55" s="151" t="s">
        <v>380</v>
      </c>
      <c r="E55" s="152">
        <v>0</v>
      </c>
      <c r="F55" s="151"/>
      <c r="G55" s="153"/>
      <c r="H55" s="154">
        <v>0</v>
      </c>
      <c r="I55" s="113" t="str">
        <f t="shared" si="8"/>
        <v>01-08-2026T00:00:00</v>
      </c>
      <c r="J55" s="154">
        <v>0</v>
      </c>
      <c r="K55" s="154"/>
      <c r="L55" s="155">
        <v>0</v>
      </c>
      <c r="M55" s="160">
        <v>0</v>
      </c>
      <c r="N55" s="156">
        <v>0</v>
      </c>
      <c r="O55" s="157"/>
      <c r="P55" s="158" t="s">
        <v>480</v>
      </c>
      <c r="Q55" s="159" t="s">
        <v>480</v>
      </c>
      <c r="R55" s="148" t="s">
        <v>480</v>
      </c>
      <c r="S55" s="148" t="s">
        <v>480</v>
      </c>
      <c r="T55" s="161" t="s">
        <v>480</v>
      </c>
      <c r="U55" s="152" t="s">
        <v>480</v>
      </c>
      <c r="V55" s="146" t="s">
        <v>480</v>
      </c>
      <c r="W55" s="152" t="s">
        <v>480</v>
      </c>
      <c r="X55" s="171" t="s">
        <v>668</v>
      </c>
      <c r="Y55" s="171" t="s">
        <v>668</v>
      </c>
      <c r="Z55" s="168" t="e">
        <f t="shared" si="9"/>
        <v>#VALUE!</v>
      </c>
      <c r="AA55" s="169">
        <f t="shared" si="10"/>
        <v>0</v>
      </c>
      <c r="AB55" s="170" t="e">
        <f t="shared" si="11"/>
        <v>#VALUE!</v>
      </c>
      <c r="AC55" s="170" t="e">
        <f t="shared" si="12"/>
        <v>#VALUE!</v>
      </c>
    </row>
    <row r="56" spans="1:29" ht="9.75" hidden="1" customHeight="1" x14ac:dyDescent="0.3">
      <c r="A56" s="98">
        <v>46236</v>
      </c>
      <c r="B56" s="48">
        <v>8138204</v>
      </c>
      <c r="C56" s="49" t="s">
        <v>25</v>
      </c>
      <c r="D56" s="49" t="s">
        <v>380</v>
      </c>
      <c r="E56" s="50">
        <v>6.25E-2</v>
      </c>
      <c r="F56" s="49" t="s">
        <v>13</v>
      </c>
      <c r="G56" s="70" t="s">
        <v>26</v>
      </c>
      <c r="H56" s="51">
        <v>6.3194444444444442E-2</v>
      </c>
      <c r="I56" s="113" t="str">
        <f t="shared" si="8"/>
        <v>02-08-2026T01:31:00</v>
      </c>
      <c r="J56" s="51">
        <v>0.64652777777777781</v>
      </c>
      <c r="K56" s="51"/>
      <c r="L56" s="52">
        <f t="shared" si="13"/>
        <v>0.58333333333333337</v>
      </c>
      <c r="M56" s="53">
        <v>0.41666666666666669</v>
      </c>
      <c r="N56" s="54" t="str">
        <f t="shared" si="14"/>
        <v>-04:00:00</v>
      </c>
      <c r="O56" s="55">
        <f>250*4</f>
        <v>1000</v>
      </c>
      <c r="P56" s="125" t="s">
        <v>406</v>
      </c>
      <c r="Q56" s="56" t="s">
        <v>312</v>
      </c>
      <c r="R56" s="57">
        <v>0.41319444444444442</v>
      </c>
      <c r="S56" s="57">
        <v>0.44861111111111113</v>
      </c>
      <c r="T56" s="58">
        <f t="shared" si="15"/>
        <v>3.5416666666666707E-2</v>
      </c>
      <c r="U56" s="50"/>
      <c r="V56" s="74">
        <v>4.1666666666666664E-2</v>
      </c>
      <c r="W56" s="50">
        <f t="shared" si="16"/>
        <v>-6.249999999999957E-3</v>
      </c>
      <c r="X56" s="171">
        <v>46236.063194444447</v>
      </c>
      <c r="Y56" s="171">
        <v>46236.646527777775</v>
      </c>
      <c r="Z56" s="168">
        <f t="shared" si="9"/>
        <v>0.58333333332848269</v>
      </c>
      <c r="AA56" s="169">
        <f t="shared" si="10"/>
        <v>0.41666666666666669</v>
      </c>
      <c r="AB56" s="170" t="str">
        <f t="shared" si="11"/>
        <v>-04:00:00</v>
      </c>
      <c r="AC56" s="170" t="b">
        <f t="shared" si="12"/>
        <v>1</v>
      </c>
    </row>
    <row r="57" spans="1:29" ht="9.75" hidden="1" customHeight="1" x14ac:dyDescent="0.3">
      <c r="A57" s="98">
        <v>46236</v>
      </c>
      <c r="B57" s="48">
        <v>8138257</v>
      </c>
      <c r="C57" s="49" t="s">
        <v>18</v>
      </c>
      <c r="D57" s="49" t="s">
        <v>389</v>
      </c>
      <c r="E57" s="50">
        <v>8.3333333333333329E-2</v>
      </c>
      <c r="F57" s="49" t="s">
        <v>13</v>
      </c>
      <c r="G57" s="70" t="s">
        <v>19</v>
      </c>
      <c r="H57" s="51">
        <v>8.5416666666666669E-2</v>
      </c>
      <c r="I57" s="113" t="str">
        <f t="shared" si="8"/>
        <v>02-08-2026T02:03:00</v>
      </c>
      <c r="J57" s="51">
        <v>0.54374999999999996</v>
      </c>
      <c r="K57" s="51"/>
      <c r="L57" s="52">
        <f t="shared" ref="L57:L88" si="17">J57-H57</f>
        <v>0.45833333333333326</v>
      </c>
      <c r="M57" s="53">
        <v>0.41666666666666669</v>
      </c>
      <c r="N57" s="54" t="str">
        <f t="shared" ref="N57:N88" si="18">IF(M57-L57&gt;0,TEXT(M57-L57,"HH:MM:SS"),TEXT(ABS(M57-L57),"-HH:MM:SS"))</f>
        <v>-01:00:00</v>
      </c>
      <c r="O57" s="55">
        <v>200</v>
      </c>
      <c r="P57" s="125" t="s">
        <v>407</v>
      </c>
      <c r="Q57" s="56" t="s">
        <v>229</v>
      </c>
      <c r="R57" s="57">
        <v>0.375</v>
      </c>
      <c r="S57" s="57">
        <v>0.39930555555555558</v>
      </c>
      <c r="T57" s="58">
        <f t="shared" ref="T57:T88" si="19">S57-R57</f>
        <v>2.430555555555558E-2</v>
      </c>
      <c r="U57" s="50"/>
      <c r="V57" s="74">
        <v>4.1666666666666664E-2</v>
      </c>
      <c r="W57" s="50">
        <f t="shared" ref="W57:W88" si="20">T57-V57</f>
        <v>-1.7361111111111084E-2</v>
      </c>
      <c r="X57" s="171">
        <v>46236.085416666669</v>
      </c>
      <c r="Y57" s="171">
        <v>46236.543749999997</v>
      </c>
      <c r="Z57" s="168">
        <f t="shared" ref="Z57:Z120" si="21">Y57-X57</f>
        <v>0.45833333332848269</v>
      </c>
      <c r="AA57" s="169">
        <f t="shared" ref="AA57:AA120" si="22">M57</f>
        <v>0.41666666666666669</v>
      </c>
      <c r="AB57" s="170" t="str">
        <f t="shared" ref="AB57:AB120" si="23">IF(AA57-Z57&gt;0,TEXT(AA57-Z57,"HH:MM:SS"),TEXT(ABS(AA57-Z57),"-HH:MM:SS"))</f>
        <v>-01:00:00</v>
      </c>
      <c r="AC57" s="170" t="b">
        <f t="shared" ref="AC57:AC120" si="24">AB57=N57</f>
        <v>1</v>
      </c>
    </row>
    <row r="58" spans="1:29" ht="9.75" hidden="1" customHeight="1" x14ac:dyDescent="0.3">
      <c r="A58" s="99">
        <v>46236</v>
      </c>
      <c r="B58" s="59">
        <v>8138241</v>
      </c>
      <c r="C58" s="60" t="s">
        <v>16</v>
      </c>
      <c r="D58" s="60" t="s">
        <v>285</v>
      </c>
      <c r="E58" s="61">
        <v>8.3333333333333329E-2</v>
      </c>
      <c r="F58" s="60" t="s">
        <v>15</v>
      </c>
      <c r="G58" s="71" t="s">
        <v>17</v>
      </c>
      <c r="H58" s="62">
        <v>8.0555555555555561E-2</v>
      </c>
      <c r="I58" s="113" t="str">
        <f t="shared" si="8"/>
        <v>02-08-2026T01:56:00</v>
      </c>
      <c r="J58" s="62">
        <v>0.49236111111111114</v>
      </c>
      <c r="K58" s="62"/>
      <c r="L58" s="63">
        <f t="shared" si="17"/>
        <v>0.41180555555555559</v>
      </c>
      <c r="M58" s="64">
        <v>0.41666666666666669</v>
      </c>
      <c r="N58" s="65" t="str">
        <f t="shared" si="18"/>
        <v>00:07:00</v>
      </c>
      <c r="O58" s="66"/>
      <c r="P58" s="124"/>
      <c r="Q58" s="67"/>
      <c r="R58" s="68"/>
      <c r="S58" s="68"/>
      <c r="T58" s="69">
        <f t="shared" si="19"/>
        <v>0</v>
      </c>
      <c r="U58" s="61" t="s">
        <v>234</v>
      </c>
      <c r="V58" s="83">
        <v>0</v>
      </c>
      <c r="W58" s="61">
        <f t="shared" si="20"/>
        <v>0</v>
      </c>
      <c r="X58" s="171">
        <v>46236.080555555556</v>
      </c>
      <c r="Y58" s="171">
        <v>46236.492361111108</v>
      </c>
      <c r="Z58" s="168">
        <f t="shared" si="21"/>
        <v>0.41180555555183673</v>
      </c>
      <c r="AA58" s="169">
        <f t="shared" si="22"/>
        <v>0.41666666666666669</v>
      </c>
      <c r="AB58" s="170" t="str">
        <f t="shared" si="23"/>
        <v>00:07:00</v>
      </c>
      <c r="AC58" s="170" t="b">
        <f t="shared" si="24"/>
        <v>1</v>
      </c>
    </row>
    <row r="59" spans="1:29" s="128" customFormat="1" ht="9.75" hidden="1" customHeight="1" x14ac:dyDescent="0.3">
      <c r="A59" s="99">
        <v>46236</v>
      </c>
      <c r="B59" s="59">
        <v>8138366</v>
      </c>
      <c r="C59" s="60" t="s">
        <v>102</v>
      </c>
      <c r="D59" s="60" t="s">
        <v>384</v>
      </c>
      <c r="E59" s="61">
        <v>0.125</v>
      </c>
      <c r="F59" s="60" t="s">
        <v>23</v>
      </c>
      <c r="G59" s="71" t="s">
        <v>13</v>
      </c>
      <c r="H59" s="62">
        <v>46236.140972222223</v>
      </c>
      <c r="I59" s="113" t="str">
        <f t="shared" si="8"/>
        <v>02-08-2026T03:23:00</v>
      </c>
      <c r="J59" s="68">
        <v>46237.381249999999</v>
      </c>
      <c r="K59" s="68"/>
      <c r="L59" s="63">
        <f t="shared" si="17"/>
        <v>1.2402777777751908</v>
      </c>
      <c r="M59" s="64">
        <v>1.0833333333333333</v>
      </c>
      <c r="N59" s="65" t="str">
        <f t="shared" si="18"/>
        <v>-03:46:00</v>
      </c>
      <c r="O59" s="66"/>
      <c r="P59" s="126" t="s">
        <v>403</v>
      </c>
      <c r="Q59" s="67" t="s">
        <v>13</v>
      </c>
      <c r="R59" s="68">
        <v>46237.32916666667</v>
      </c>
      <c r="S59" s="68">
        <v>46237.373611111114</v>
      </c>
      <c r="T59" s="69">
        <f t="shared" si="19"/>
        <v>4.4444444443797693E-2</v>
      </c>
      <c r="U59" s="61"/>
      <c r="V59" s="83">
        <v>8.3333333333333329E-2</v>
      </c>
      <c r="W59" s="61">
        <f t="shared" si="20"/>
        <v>-3.8888888889535636E-2</v>
      </c>
      <c r="X59" s="172">
        <v>46236.140972222223</v>
      </c>
      <c r="Y59" s="172">
        <v>46237.381249999999</v>
      </c>
      <c r="Z59" s="173">
        <f t="shared" si="21"/>
        <v>1.2402777777751908</v>
      </c>
      <c r="AA59" s="174">
        <f t="shared" si="22"/>
        <v>1.0833333333333333</v>
      </c>
      <c r="AB59" s="175" t="str">
        <f t="shared" si="23"/>
        <v>-03:46:00</v>
      </c>
      <c r="AC59" s="175" t="b">
        <f t="shared" si="24"/>
        <v>1</v>
      </c>
    </row>
    <row r="60" spans="1:29" ht="9.75" hidden="1" customHeight="1" x14ac:dyDescent="0.3">
      <c r="A60" s="98">
        <v>46236</v>
      </c>
      <c r="B60" s="48">
        <v>8138253</v>
      </c>
      <c r="C60" s="49" t="s">
        <v>84</v>
      </c>
      <c r="D60" s="49" t="s">
        <v>301</v>
      </c>
      <c r="E60" s="50">
        <v>0.125</v>
      </c>
      <c r="F60" s="49" t="s">
        <v>13</v>
      </c>
      <c r="G60" s="70" t="s">
        <v>284</v>
      </c>
      <c r="H60" s="51">
        <v>0.13055555555555556</v>
      </c>
      <c r="I60" s="113" t="str">
        <f t="shared" si="8"/>
        <v>02-08-2026T03:08:00</v>
      </c>
      <c r="J60" s="51">
        <v>0.49791666666666667</v>
      </c>
      <c r="K60" s="51"/>
      <c r="L60" s="52">
        <f t="shared" si="17"/>
        <v>0.36736111111111114</v>
      </c>
      <c r="M60" s="53">
        <v>0.35416666666666669</v>
      </c>
      <c r="N60" s="54" t="str">
        <f t="shared" si="18"/>
        <v>-00:19:00</v>
      </c>
      <c r="O60" s="55">
        <v>150</v>
      </c>
      <c r="P60" s="125" t="s">
        <v>408</v>
      </c>
      <c r="Q60" s="56" t="s">
        <v>174</v>
      </c>
      <c r="R60" s="57">
        <v>0.36458333333333331</v>
      </c>
      <c r="S60" s="57">
        <v>0.43958333333333333</v>
      </c>
      <c r="T60" s="47">
        <f t="shared" si="19"/>
        <v>7.5000000000000011E-2</v>
      </c>
      <c r="U60" s="50" t="s">
        <v>234</v>
      </c>
      <c r="V60" s="74">
        <v>6.25E-2</v>
      </c>
      <c r="W60" s="50">
        <f t="shared" si="20"/>
        <v>1.2500000000000011E-2</v>
      </c>
      <c r="X60" s="171">
        <v>0.13055555555555556</v>
      </c>
      <c r="Y60" s="171">
        <v>0.49791666666666667</v>
      </c>
      <c r="Z60" s="168">
        <f t="shared" si="21"/>
        <v>0.36736111111111114</v>
      </c>
      <c r="AA60" s="169">
        <f t="shared" si="22"/>
        <v>0.35416666666666669</v>
      </c>
      <c r="AB60" s="170" t="str">
        <f t="shared" si="23"/>
        <v>-00:19:00</v>
      </c>
      <c r="AC60" s="170" t="b">
        <f t="shared" si="24"/>
        <v>1</v>
      </c>
    </row>
    <row r="61" spans="1:29" ht="9.75" hidden="1" customHeight="1" x14ac:dyDescent="0.3">
      <c r="A61" s="99">
        <v>46236</v>
      </c>
      <c r="B61" s="59">
        <v>8138307</v>
      </c>
      <c r="C61" s="60" t="s">
        <v>57</v>
      </c>
      <c r="D61" s="60" t="s">
        <v>370</v>
      </c>
      <c r="E61" s="61">
        <v>0.125</v>
      </c>
      <c r="F61" s="60" t="s">
        <v>24</v>
      </c>
      <c r="G61" s="71" t="s">
        <v>13</v>
      </c>
      <c r="H61" s="62">
        <v>0.11666666666666667</v>
      </c>
      <c r="I61" s="113" t="str">
        <f t="shared" si="8"/>
        <v>02-08-2026T02:48:00</v>
      </c>
      <c r="J61" s="62">
        <v>0.18958333333333333</v>
      </c>
      <c r="K61" s="62"/>
      <c r="L61" s="63">
        <f t="shared" si="17"/>
        <v>7.2916666666666657E-2</v>
      </c>
      <c r="M61" s="64">
        <v>8.3333333333333329E-2</v>
      </c>
      <c r="N61" s="65" t="str">
        <f t="shared" si="18"/>
        <v>00:15:00</v>
      </c>
      <c r="O61" s="66"/>
      <c r="P61" s="124"/>
      <c r="Q61" s="67"/>
      <c r="R61" s="68"/>
      <c r="S61" s="68"/>
      <c r="T61" s="69">
        <f t="shared" si="19"/>
        <v>0</v>
      </c>
      <c r="U61" s="61"/>
      <c r="V61" s="83">
        <v>0</v>
      </c>
      <c r="W61" s="61">
        <f t="shared" si="20"/>
        <v>0</v>
      </c>
      <c r="X61" s="171">
        <v>46236.116666666669</v>
      </c>
      <c r="Y61" s="171">
        <v>46236.189583333333</v>
      </c>
      <c r="Z61" s="168">
        <f t="shared" si="21"/>
        <v>7.2916666664241347E-2</v>
      </c>
      <c r="AA61" s="169">
        <f t="shared" si="22"/>
        <v>8.3333333333333329E-2</v>
      </c>
      <c r="AB61" s="170" t="str">
        <f t="shared" si="23"/>
        <v>00:15:00</v>
      </c>
      <c r="AC61" s="170" t="b">
        <f t="shared" si="24"/>
        <v>1</v>
      </c>
    </row>
    <row r="62" spans="1:29" s="144" customFormat="1" ht="9.75" hidden="1" customHeight="1" x14ac:dyDescent="0.3">
      <c r="A62" s="129">
        <v>46236</v>
      </c>
      <c r="B62" s="130">
        <v>8138465</v>
      </c>
      <c r="C62" s="131" t="s">
        <v>29</v>
      </c>
      <c r="D62" s="131" t="s">
        <v>373</v>
      </c>
      <c r="E62" s="132">
        <v>0.16666666666666666</v>
      </c>
      <c r="F62" s="131" t="s">
        <v>17</v>
      </c>
      <c r="G62" s="133" t="s">
        <v>15</v>
      </c>
      <c r="H62" s="134">
        <v>0.1673611111111111</v>
      </c>
      <c r="I62" s="113" t="str">
        <f t="shared" si="8"/>
        <v>02-08-2026T04:01:00</v>
      </c>
      <c r="J62" s="134">
        <v>0.70208333333333328</v>
      </c>
      <c r="K62" s="134"/>
      <c r="L62" s="135">
        <f t="shared" si="17"/>
        <v>0.53472222222222221</v>
      </c>
      <c r="M62" s="136">
        <v>0.5</v>
      </c>
      <c r="N62" s="137" t="str">
        <f t="shared" si="18"/>
        <v>-00:50:00</v>
      </c>
      <c r="O62" s="138"/>
      <c r="P62" s="139" t="s">
        <v>409</v>
      </c>
      <c r="Q62" s="140" t="s">
        <v>98</v>
      </c>
      <c r="R62" s="141">
        <v>0.375</v>
      </c>
      <c r="S62" s="141">
        <v>0.49791666666666667</v>
      </c>
      <c r="T62" s="142">
        <f t="shared" si="19"/>
        <v>0.12291666666666667</v>
      </c>
      <c r="U62" s="132" t="s">
        <v>234</v>
      </c>
      <c r="V62" s="143">
        <v>8.3333333333333329E-2</v>
      </c>
      <c r="W62" s="132">
        <f t="shared" si="20"/>
        <v>3.9583333333333345E-2</v>
      </c>
      <c r="X62" s="171">
        <v>0.1673611111111111</v>
      </c>
      <c r="Y62" s="171">
        <v>0.70208333333333328</v>
      </c>
      <c r="Z62" s="168">
        <f t="shared" si="21"/>
        <v>0.53472222222222221</v>
      </c>
      <c r="AA62" s="169">
        <f t="shared" si="22"/>
        <v>0.5</v>
      </c>
      <c r="AB62" s="170" t="str">
        <f t="shared" si="23"/>
        <v>-00:50:00</v>
      </c>
      <c r="AC62" s="170" t="b">
        <f t="shared" si="24"/>
        <v>1</v>
      </c>
    </row>
    <row r="63" spans="1:29" ht="9.75" hidden="1" customHeight="1" x14ac:dyDescent="0.3">
      <c r="A63" s="98">
        <v>46236</v>
      </c>
      <c r="B63" s="48">
        <v>8138424</v>
      </c>
      <c r="C63" s="49" t="s">
        <v>50</v>
      </c>
      <c r="D63" s="49" t="s">
        <v>329</v>
      </c>
      <c r="E63" s="50">
        <v>0.16666666666666666</v>
      </c>
      <c r="F63" s="49" t="s">
        <v>31</v>
      </c>
      <c r="G63" s="70" t="s">
        <v>13</v>
      </c>
      <c r="H63" s="51">
        <v>46236.161805555559</v>
      </c>
      <c r="I63" s="113" t="str">
        <f t="shared" si="8"/>
        <v>02-08-2026T03:53:00</v>
      </c>
      <c r="J63" s="57">
        <v>46237.046527777777</v>
      </c>
      <c r="K63" s="57"/>
      <c r="L63" s="52">
        <f t="shared" si="17"/>
        <v>0.88472222221753327</v>
      </c>
      <c r="M63" s="53">
        <v>0.70833333333333337</v>
      </c>
      <c r="N63" s="54" t="str">
        <f t="shared" si="18"/>
        <v>-04:14:00</v>
      </c>
      <c r="O63" s="55">
        <v>1200</v>
      </c>
      <c r="P63" s="125" t="s">
        <v>410</v>
      </c>
      <c r="Q63" s="56" t="s">
        <v>13</v>
      </c>
      <c r="R63" s="57">
        <v>46236.990277777775</v>
      </c>
      <c r="S63" s="57">
        <v>46237.045138888891</v>
      </c>
      <c r="T63" s="58">
        <f t="shared" si="19"/>
        <v>5.4861111115314998E-2</v>
      </c>
      <c r="U63" s="50"/>
      <c r="V63" s="74">
        <v>8.3333333333333329E-2</v>
      </c>
      <c r="W63" s="50">
        <f t="shared" si="20"/>
        <v>-2.8472222218018331E-2</v>
      </c>
      <c r="X63" s="171">
        <v>46236.161805555559</v>
      </c>
      <c r="Y63" s="171">
        <v>46237.046527777777</v>
      </c>
      <c r="Z63" s="168">
        <f t="shared" si="21"/>
        <v>0.88472222221753327</v>
      </c>
      <c r="AA63" s="169">
        <f t="shared" si="22"/>
        <v>0.70833333333333337</v>
      </c>
      <c r="AB63" s="170" t="str">
        <f t="shared" si="23"/>
        <v>-04:14:00</v>
      </c>
      <c r="AC63" s="170" t="b">
        <f t="shared" si="24"/>
        <v>1</v>
      </c>
    </row>
    <row r="64" spans="1:29" ht="9.75" hidden="1" customHeight="1" x14ac:dyDescent="0.3">
      <c r="A64" s="99">
        <v>46236</v>
      </c>
      <c r="B64" s="59">
        <v>8138430</v>
      </c>
      <c r="C64" s="60" t="s">
        <v>83</v>
      </c>
      <c r="D64" s="60" t="s">
        <v>454</v>
      </c>
      <c r="E64" s="61">
        <v>0.16666666666666666</v>
      </c>
      <c r="F64" s="60" t="s">
        <v>13</v>
      </c>
      <c r="G64" s="71" t="s">
        <v>14</v>
      </c>
      <c r="H64" s="62">
        <v>0.16319444444444445</v>
      </c>
      <c r="I64" s="113" t="str">
        <f t="shared" si="8"/>
        <v>02-08-2026T03:55:00</v>
      </c>
      <c r="J64" s="62">
        <v>0.69513888888888886</v>
      </c>
      <c r="K64" s="62"/>
      <c r="L64" s="63">
        <f t="shared" si="17"/>
        <v>0.53194444444444444</v>
      </c>
      <c r="M64" s="64">
        <v>0.54166666666666663</v>
      </c>
      <c r="N64" s="65" t="str">
        <f t="shared" si="18"/>
        <v>00:14:00</v>
      </c>
      <c r="O64" s="66"/>
      <c r="P64" s="124"/>
      <c r="Q64" s="67"/>
      <c r="R64" s="68"/>
      <c r="S64" s="68"/>
      <c r="T64" s="69">
        <f t="shared" si="19"/>
        <v>0</v>
      </c>
      <c r="U64" s="61" t="s">
        <v>234</v>
      </c>
      <c r="V64" s="83">
        <v>0</v>
      </c>
      <c r="W64" s="61">
        <f t="shared" si="20"/>
        <v>0</v>
      </c>
      <c r="X64" s="171">
        <v>46236.163194444445</v>
      </c>
      <c r="Y64" s="171">
        <v>46236.695138888892</v>
      </c>
      <c r="Z64" s="168">
        <f t="shared" si="21"/>
        <v>0.53194444444670808</v>
      </c>
      <c r="AA64" s="169">
        <f t="shared" si="22"/>
        <v>0.54166666666666663</v>
      </c>
      <c r="AB64" s="170" t="str">
        <f t="shared" si="23"/>
        <v>00:14:00</v>
      </c>
      <c r="AC64" s="170" t="b">
        <f t="shared" si="24"/>
        <v>1</v>
      </c>
    </row>
    <row r="65" spans="1:29" ht="9.75" hidden="1" customHeight="1" x14ac:dyDescent="0.3">
      <c r="A65" s="98">
        <v>46236</v>
      </c>
      <c r="B65" s="48">
        <v>8139150</v>
      </c>
      <c r="C65" s="49" t="s">
        <v>37</v>
      </c>
      <c r="D65" s="49" t="s">
        <v>589</v>
      </c>
      <c r="E65" s="50">
        <v>0.16666666666666666</v>
      </c>
      <c r="F65" s="49" t="s">
        <v>13</v>
      </c>
      <c r="G65" s="70" t="s">
        <v>14</v>
      </c>
      <c r="H65" s="51">
        <v>0.43333333333333335</v>
      </c>
      <c r="I65" s="113" t="str">
        <f t="shared" si="8"/>
        <v>02-08-2026T10:24:00</v>
      </c>
      <c r="J65" s="51">
        <v>46237.03402777778</v>
      </c>
      <c r="K65" s="51"/>
      <c r="L65" s="52">
        <f t="shared" si="17"/>
        <v>46236.600694444445</v>
      </c>
      <c r="M65" s="53">
        <v>0.54166666666666663</v>
      </c>
      <c r="N65" s="54" t="str">
        <f t="shared" si="18"/>
        <v>-01:25:00</v>
      </c>
      <c r="O65" s="55">
        <v>400</v>
      </c>
      <c r="P65" s="125" t="s">
        <v>411</v>
      </c>
      <c r="Q65" s="56"/>
      <c r="R65" s="57"/>
      <c r="S65" s="57"/>
      <c r="T65" s="58">
        <f t="shared" si="19"/>
        <v>0</v>
      </c>
      <c r="U65" s="50" t="s">
        <v>234</v>
      </c>
      <c r="V65" s="74">
        <v>0</v>
      </c>
      <c r="W65" s="50">
        <f t="shared" si="20"/>
        <v>0</v>
      </c>
      <c r="X65" s="171">
        <v>46236.433333333334</v>
      </c>
      <c r="Y65" s="171">
        <v>46237.03402777778</v>
      </c>
      <c r="Z65" s="168">
        <f t="shared" si="21"/>
        <v>0.60069444444525288</v>
      </c>
      <c r="AA65" s="169">
        <f t="shared" si="22"/>
        <v>0.54166666666666663</v>
      </c>
      <c r="AB65" s="170" t="str">
        <f t="shared" si="23"/>
        <v>-01:25:00</v>
      </c>
      <c r="AC65" s="170" t="b">
        <f t="shared" si="24"/>
        <v>1</v>
      </c>
    </row>
    <row r="66" spans="1:29" ht="9.75" hidden="1" customHeight="1" x14ac:dyDescent="0.3">
      <c r="A66" s="99">
        <v>46236</v>
      </c>
      <c r="B66" s="59">
        <v>8138619</v>
      </c>
      <c r="C66" s="60" t="s">
        <v>32</v>
      </c>
      <c r="D66" s="60" t="s">
        <v>476</v>
      </c>
      <c r="E66" s="61">
        <v>0.20833333333333334</v>
      </c>
      <c r="F66" s="60" t="s">
        <v>13</v>
      </c>
      <c r="G66" s="71" t="s">
        <v>287</v>
      </c>
      <c r="H66" s="62">
        <v>0.21111111111111111</v>
      </c>
      <c r="I66" s="113" t="str">
        <f t="shared" si="8"/>
        <v>02-08-2026T05:04:00</v>
      </c>
      <c r="J66" s="62">
        <v>0.35416666666666669</v>
      </c>
      <c r="K66" s="62"/>
      <c r="L66" s="63">
        <f t="shared" si="17"/>
        <v>0.14305555555555557</v>
      </c>
      <c r="M66" s="64">
        <v>0.14583333333333334</v>
      </c>
      <c r="N66" s="65" t="str">
        <f t="shared" si="18"/>
        <v>00:04:00</v>
      </c>
      <c r="O66" s="66"/>
      <c r="P66" s="124"/>
      <c r="Q66" s="67"/>
      <c r="R66" s="68"/>
      <c r="S66" s="68"/>
      <c r="T66" s="69">
        <f t="shared" si="19"/>
        <v>0</v>
      </c>
      <c r="U66" s="61"/>
      <c r="V66" s="83">
        <v>0</v>
      </c>
      <c r="W66" s="61">
        <f t="shared" si="20"/>
        <v>0</v>
      </c>
      <c r="X66" s="171">
        <v>46236.211111111108</v>
      </c>
      <c r="Y66" s="171">
        <v>46236.354166666664</v>
      </c>
      <c r="Z66" s="168">
        <f t="shared" si="21"/>
        <v>0.14305555555620231</v>
      </c>
      <c r="AA66" s="169">
        <f t="shared" si="22"/>
        <v>0.14583333333333334</v>
      </c>
      <c r="AB66" s="170" t="str">
        <f t="shared" si="23"/>
        <v>00:04:00</v>
      </c>
      <c r="AC66" s="170" t="b">
        <f t="shared" si="24"/>
        <v>1</v>
      </c>
    </row>
    <row r="67" spans="1:29" ht="9.75" hidden="1" customHeight="1" x14ac:dyDescent="0.3">
      <c r="A67" s="99">
        <v>46236</v>
      </c>
      <c r="B67" s="59">
        <v>8138767</v>
      </c>
      <c r="C67" s="60" t="s">
        <v>89</v>
      </c>
      <c r="D67" s="60" t="s">
        <v>294</v>
      </c>
      <c r="E67" s="61">
        <v>0.25</v>
      </c>
      <c r="F67" s="60" t="s">
        <v>13</v>
      </c>
      <c r="G67" s="71" t="s">
        <v>35</v>
      </c>
      <c r="H67" s="62">
        <v>0.25</v>
      </c>
      <c r="I67" s="113" t="str">
        <f t="shared" si="8"/>
        <v>02-08-2026T06:00:00</v>
      </c>
      <c r="J67" s="62">
        <v>0.28472222222222221</v>
      </c>
      <c r="K67" s="62"/>
      <c r="L67" s="63">
        <f t="shared" si="17"/>
        <v>3.472222222222221E-2</v>
      </c>
      <c r="M67" s="64">
        <v>4.1666666666666664E-2</v>
      </c>
      <c r="N67" s="65" t="str">
        <f t="shared" si="18"/>
        <v>00:10:00</v>
      </c>
      <c r="O67" s="66"/>
      <c r="P67" s="124"/>
      <c r="Q67" s="67"/>
      <c r="R67" s="68"/>
      <c r="S67" s="68"/>
      <c r="T67" s="69">
        <f t="shared" si="19"/>
        <v>0</v>
      </c>
      <c r="U67" s="61"/>
      <c r="V67" s="83">
        <v>0</v>
      </c>
      <c r="W67" s="61">
        <f t="shared" si="20"/>
        <v>0</v>
      </c>
      <c r="X67" s="171">
        <v>46236.25</v>
      </c>
      <c r="Y67" s="171">
        <v>46236.284722222219</v>
      </c>
      <c r="Z67" s="168">
        <f t="shared" si="21"/>
        <v>3.4722222218988463E-2</v>
      </c>
      <c r="AA67" s="169">
        <f t="shared" si="22"/>
        <v>4.1666666666666664E-2</v>
      </c>
      <c r="AB67" s="170" t="str">
        <f t="shared" si="23"/>
        <v>00:10:00</v>
      </c>
      <c r="AC67" s="170" t="b">
        <f t="shared" si="24"/>
        <v>1</v>
      </c>
    </row>
    <row r="68" spans="1:29" ht="9.75" hidden="1" customHeight="1" x14ac:dyDescent="0.3">
      <c r="A68" s="98">
        <v>46236</v>
      </c>
      <c r="B68" s="48">
        <v>8138839</v>
      </c>
      <c r="C68" s="49" t="s">
        <v>12</v>
      </c>
      <c r="D68" s="49" t="s">
        <v>383</v>
      </c>
      <c r="E68" s="50">
        <v>0.27083333333333331</v>
      </c>
      <c r="F68" s="49" t="s">
        <v>14</v>
      </c>
      <c r="G68" s="70" t="s">
        <v>13</v>
      </c>
      <c r="H68" s="51">
        <v>46236.270833333336</v>
      </c>
      <c r="I68" s="113" t="str">
        <f t="shared" ref="I68:I131" si="25">TEXT(A68,"dd-mm-yyyy")&amp;"T"&amp;TEXT(H68,"hh:mm:ss")</f>
        <v>02-08-2026T06:30:00</v>
      </c>
      <c r="J68" s="51">
        <v>46237.072916666664</v>
      </c>
      <c r="K68" s="51"/>
      <c r="L68" s="52">
        <f t="shared" si="17"/>
        <v>0.80208333332848269</v>
      </c>
      <c r="M68" s="53">
        <v>0.625</v>
      </c>
      <c r="N68" s="54" t="str">
        <f t="shared" si="18"/>
        <v>-04:15:00</v>
      </c>
      <c r="O68" s="55">
        <v>800</v>
      </c>
      <c r="P68" s="125" t="s">
        <v>412</v>
      </c>
      <c r="Q68" s="56" t="s">
        <v>126</v>
      </c>
      <c r="R68" s="57">
        <v>0.40277777777777779</v>
      </c>
      <c r="S68" s="57">
        <v>0.49861111111111112</v>
      </c>
      <c r="T68" s="47">
        <f t="shared" si="19"/>
        <v>9.5833333333333326E-2</v>
      </c>
      <c r="U68" s="50"/>
      <c r="V68" s="74">
        <v>6.25E-2</v>
      </c>
      <c r="W68" s="50">
        <f t="shared" si="20"/>
        <v>3.3333333333333326E-2</v>
      </c>
      <c r="X68" s="171">
        <v>46236.270833333336</v>
      </c>
      <c r="Y68" s="171">
        <v>46237.072916666664</v>
      </c>
      <c r="Z68" s="168">
        <f t="shared" si="21"/>
        <v>0.80208333332848269</v>
      </c>
      <c r="AA68" s="169">
        <f t="shared" si="22"/>
        <v>0.625</v>
      </c>
      <c r="AB68" s="170" t="str">
        <f t="shared" si="23"/>
        <v>-04:15:00</v>
      </c>
      <c r="AC68" s="170" t="b">
        <f t="shared" si="24"/>
        <v>1</v>
      </c>
    </row>
    <row r="69" spans="1:29" ht="9.75" hidden="1" customHeight="1" x14ac:dyDescent="0.3">
      <c r="A69" s="99">
        <v>46236</v>
      </c>
      <c r="B69" s="59">
        <v>8138881</v>
      </c>
      <c r="C69" s="60" t="s">
        <v>58</v>
      </c>
      <c r="D69" s="60" t="s">
        <v>368</v>
      </c>
      <c r="E69" s="61">
        <v>0.27083333333333331</v>
      </c>
      <c r="F69" s="60" t="s">
        <v>13</v>
      </c>
      <c r="G69" s="71" t="s">
        <v>14</v>
      </c>
      <c r="H69" s="62">
        <v>0.28958333333333336</v>
      </c>
      <c r="I69" s="113" t="str">
        <f t="shared" si="25"/>
        <v>02-08-2026T06:57:00</v>
      </c>
      <c r="J69" s="62">
        <v>0.90486111111111112</v>
      </c>
      <c r="K69" s="62"/>
      <c r="L69" s="63">
        <f t="shared" si="17"/>
        <v>0.61527777777777781</v>
      </c>
      <c r="M69" s="64">
        <v>0.625</v>
      </c>
      <c r="N69" s="65" t="str">
        <f t="shared" si="18"/>
        <v>00:14:00</v>
      </c>
      <c r="O69" s="66"/>
      <c r="P69" s="124"/>
      <c r="Q69" s="67" t="s">
        <v>15</v>
      </c>
      <c r="R69" s="68">
        <v>0.54166666666666663</v>
      </c>
      <c r="S69" s="68">
        <v>0.58680555555555558</v>
      </c>
      <c r="T69" s="69">
        <f t="shared" si="19"/>
        <v>4.5138888888888951E-2</v>
      </c>
      <c r="U69" s="61"/>
      <c r="V69" s="83">
        <v>6.25E-2</v>
      </c>
      <c r="W69" s="61">
        <f t="shared" si="20"/>
        <v>-1.7361111111111049E-2</v>
      </c>
      <c r="X69" s="171">
        <v>46236.289583333331</v>
      </c>
      <c r="Y69" s="171">
        <v>46236.904861111114</v>
      </c>
      <c r="Z69" s="168">
        <f t="shared" si="21"/>
        <v>0.61527777778246673</v>
      </c>
      <c r="AA69" s="169">
        <f t="shared" si="22"/>
        <v>0.625</v>
      </c>
      <c r="AB69" s="170" t="str">
        <f t="shared" si="23"/>
        <v>00:14:00</v>
      </c>
      <c r="AC69" s="170" t="b">
        <f t="shared" si="24"/>
        <v>1</v>
      </c>
    </row>
    <row r="70" spans="1:29" ht="9.75" hidden="1" customHeight="1" x14ac:dyDescent="0.3">
      <c r="A70" s="99">
        <v>46236</v>
      </c>
      <c r="B70" s="59">
        <v>8138768</v>
      </c>
      <c r="C70" s="60" t="s">
        <v>38</v>
      </c>
      <c r="D70" s="60" t="s">
        <v>289</v>
      </c>
      <c r="E70" s="61">
        <v>0.25</v>
      </c>
      <c r="F70" s="60" t="s">
        <v>14</v>
      </c>
      <c r="G70" s="71" t="s">
        <v>13</v>
      </c>
      <c r="H70" s="62">
        <v>0.25</v>
      </c>
      <c r="I70" s="113" t="str">
        <f t="shared" si="25"/>
        <v>02-08-2026T06:00:00</v>
      </c>
      <c r="J70" s="62">
        <v>0.78680555555555554</v>
      </c>
      <c r="K70" s="62"/>
      <c r="L70" s="63">
        <f t="shared" si="17"/>
        <v>0.53680555555555554</v>
      </c>
      <c r="M70" s="64">
        <v>0.54166666666666663</v>
      </c>
      <c r="N70" s="65" t="str">
        <f t="shared" si="18"/>
        <v>00:07:00</v>
      </c>
      <c r="O70" s="66"/>
      <c r="P70" s="124"/>
      <c r="Q70" s="67"/>
      <c r="R70" s="68"/>
      <c r="S70" s="68"/>
      <c r="T70" s="69">
        <f t="shared" si="19"/>
        <v>0</v>
      </c>
      <c r="U70" s="61"/>
      <c r="V70" s="83">
        <v>0</v>
      </c>
      <c r="W70" s="61">
        <f t="shared" si="20"/>
        <v>0</v>
      </c>
      <c r="X70" s="171">
        <v>46236.25</v>
      </c>
      <c r="Y70" s="171">
        <v>46236.786805555559</v>
      </c>
      <c r="Z70" s="168">
        <f t="shared" si="21"/>
        <v>0.53680555555911269</v>
      </c>
      <c r="AA70" s="169">
        <f t="shared" si="22"/>
        <v>0.54166666666666663</v>
      </c>
      <c r="AB70" s="170" t="str">
        <f t="shared" si="23"/>
        <v>00:07:00</v>
      </c>
      <c r="AC70" s="170" t="b">
        <f t="shared" si="24"/>
        <v>1</v>
      </c>
    </row>
    <row r="71" spans="1:29" ht="9.75" hidden="1" customHeight="1" x14ac:dyDescent="0.3">
      <c r="A71" s="98">
        <v>46236</v>
      </c>
      <c r="B71" s="48">
        <v>8138883</v>
      </c>
      <c r="C71" s="49" t="s">
        <v>56</v>
      </c>
      <c r="D71" s="49" t="s">
        <v>326</v>
      </c>
      <c r="E71" s="50">
        <v>0.29166666666666669</v>
      </c>
      <c r="F71" s="49" t="s">
        <v>15</v>
      </c>
      <c r="G71" s="70" t="s">
        <v>13</v>
      </c>
      <c r="H71" s="51">
        <v>0.2902777777777778</v>
      </c>
      <c r="I71" s="113" t="str">
        <f t="shared" si="25"/>
        <v>02-08-2026T06:58:00</v>
      </c>
      <c r="J71" s="51">
        <v>0.61041666666666672</v>
      </c>
      <c r="K71" s="51"/>
      <c r="L71" s="52">
        <f t="shared" si="17"/>
        <v>0.32013888888888892</v>
      </c>
      <c r="M71" s="53">
        <v>0.25</v>
      </c>
      <c r="N71" s="54" t="str">
        <f t="shared" si="18"/>
        <v>-01:41:00</v>
      </c>
      <c r="O71" s="55">
        <v>500</v>
      </c>
      <c r="P71" s="125" t="s">
        <v>413</v>
      </c>
      <c r="Q71" s="56" t="s">
        <v>205</v>
      </c>
      <c r="R71" s="57">
        <v>0.37847222222222221</v>
      </c>
      <c r="S71" s="57">
        <v>0.4201388888888889</v>
      </c>
      <c r="T71" s="58">
        <f t="shared" si="19"/>
        <v>4.1666666666666685E-2</v>
      </c>
      <c r="U71" s="50"/>
      <c r="V71" s="74">
        <v>4.1666666666666664E-2</v>
      </c>
      <c r="W71" s="50">
        <f t="shared" si="20"/>
        <v>0</v>
      </c>
      <c r="X71" s="171">
        <v>46236.290277777778</v>
      </c>
      <c r="Y71" s="171">
        <v>46236.61041666667</v>
      </c>
      <c r="Z71" s="168">
        <f t="shared" si="21"/>
        <v>0.32013888889196096</v>
      </c>
      <c r="AA71" s="169">
        <f t="shared" si="22"/>
        <v>0.25</v>
      </c>
      <c r="AB71" s="170" t="str">
        <f t="shared" si="23"/>
        <v>-01:41:00</v>
      </c>
      <c r="AC71" s="170" t="b">
        <f t="shared" si="24"/>
        <v>1</v>
      </c>
    </row>
    <row r="72" spans="1:29" ht="9.75" hidden="1" customHeight="1" x14ac:dyDescent="0.3">
      <c r="A72" s="99">
        <v>46236</v>
      </c>
      <c r="B72" s="59">
        <v>8138954</v>
      </c>
      <c r="C72" s="60" t="s">
        <v>42</v>
      </c>
      <c r="D72" s="60" t="s">
        <v>181</v>
      </c>
      <c r="E72" s="61">
        <v>0.3125</v>
      </c>
      <c r="F72" s="60" t="s">
        <v>13</v>
      </c>
      <c r="G72" s="71" t="s">
        <v>55</v>
      </c>
      <c r="H72" s="62">
        <v>0.32361111111111113</v>
      </c>
      <c r="I72" s="113" t="str">
        <f t="shared" si="25"/>
        <v>02-08-2026T07:46:00</v>
      </c>
      <c r="J72" s="62">
        <v>0.37847222222222221</v>
      </c>
      <c r="K72" s="62"/>
      <c r="L72" s="63">
        <f t="shared" si="17"/>
        <v>5.4861111111111083E-2</v>
      </c>
      <c r="M72" s="64">
        <v>6.25E-2</v>
      </c>
      <c r="N72" s="65" t="str">
        <f t="shared" si="18"/>
        <v>00:11:00</v>
      </c>
      <c r="O72" s="66"/>
      <c r="P72" s="124"/>
      <c r="Q72" s="67"/>
      <c r="R72" s="68"/>
      <c r="S72" s="68"/>
      <c r="T72" s="69">
        <f t="shared" si="19"/>
        <v>0</v>
      </c>
      <c r="U72" s="61"/>
      <c r="V72" s="83">
        <v>0</v>
      </c>
      <c r="W72" s="61">
        <f t="shared" si="20"/>
        <v>0</v>
      </c>
      <c r="X72" s="171">
        <v>46236.323611111111</v>
      </c>
      <c r="Y72" s="171">
        <v>46236.378472222219</v>
      </c>
      <c r="Z72" s="168">
        <f t="shared" si="21"/>
        <v>5.486111110803904E-2</v>
      </c>
      <c r="AA72" s="169">
        <f t="shared" si="22"/>
        <v>6.25E-2</v>
      </c>
      <c r="AB72" s="170" t="str">
        <f t="shared" si="23"/>
        <v>00:11:00</v>
      </c>
      <c r="AC72" s="170" t="b">
        <f t="shared" si="24"/>
        <v>1</v>
      </c>
    </row>
    <row r="73" spans="1:29" ht="9.75" hidden="1" customHeight="1" x14ac:dyDescent="0.3">
      <c r="A73" s="98">
        <v>46236</v>
      </c>
      <c r="B73" s="48">
        <v>8139170</v>
      </c>
      <c r="C73" s="49" t="s">
        <v>86</v>
      </c>
      <c r="D73" s="49" t="s">
        <v>182</v>
      </c>
      <c r="E73" s="50">
        <v>0.375</v>
      </c>
      <c r="F73" s="49" t="s">
        <v>13</v>
      </c>
      <c r="G73" s="70" t="s">
        <v>31</v>
      </c>
      <c r="H73" s="51">
        <v>46236.443055555559</v>
      </c>
      <c r="I73" s="113" t="str">
        <f t="shared" si="25"/>
        <v>02-08-2026T10:38:00</v>
      </c>
      <c r="J73" s="51">
        <v>46237.310416666667</v>
      </c>
      <c r="K73" s="51"/>
      <c r="L73" s="52">
        <f t="shared" si="17"/>
        <v>0.86736111110803904</v>
      </c>
      <c r="M73" s="53">
        <v>0.75</v>
      </c>
      <c r="N73" s="54" t="str">
        <f t="shared" si="18"/>
        <v>-02:49:00</v>
      </c>
      <c r="O73" s="55">
        <v>600</v>
      </c>
      <c r="P73" s="125" t="s">
        <v>414</v>
      </c>
      <c r="Q73" s="56" t="s">
        <v>45</v>
      </c>
      <c r="R73" s="57">
        <v>46237.076388888891</v>
      </c>
      <c r="S73" s="57">
        <v>46237.166666666664</v>
      </c>
      <c r="T73" s="47">
        <f t="shared" si="19"/>
        <v>9.0277777773735579E-2</v>
      </c>
      <c r="U73" s="50"/>
      <c r="V73" s="74">
        <v>8.3333333333333329E-2</v>
      </c>
      <c r="W73" s="50">
        <f t="shared" si="20"/>
        <v>6.9444444404022504E-3</v>
      </c>
      <c r="X73" s="171">
        <v>46236.443055555559</v>
      </c>
      <c r="Y73" s="171">
        <v>46237.310416666667</v>
      </c>
      <c r="Z73" s="168">
        <f t="shared" si="21"/>
        <v>0.86736111110803904</v>
      </c>
      <c r="AA73" s="169">
        <f t="shared" si="22"/>
        <v>0.75</v>
      </c>
      <c r="AB73" s="170" t="str">
        <f t="shared" si="23"/>
        <v>-02:49:00</v>
      </c>
      <c r="AC73" s="170" t="b">
        <f t="shared" si="24"/>
        <v>1</v>
      </c>
    </row>
    <row r="74" spans="1:29" ht="9.75" hidden="1" customHeight="1" x14ac:dyDescent="0.3">
      <c r="A74" s="98">
        <v>46236</v>
      </c>
      <c r="B74" s="48">
        <v>8139029</v>
      </c>
      <c r="C74" s="49" t="s">
        <v>44</v>
      </c>
      <c r="D74" s="49" t="s">
        <v>473</v>
      </c>
      <c r="E74" s="50">
        <v>0.375</v>
      </c>
      <c r="F74" s="49" t="s">
        <v>13</v>
      </c>
      <c r="G74" s="70" t="s">
        <v>31</v>
      </c>
      <c r="H74" s="51">
        <v>46236.362500000003</v>
      </c>
      <c r="I74" s="113" t="str">
        <f t="shared" si="25"/>
        <v>02-08-2026T08:42:00</v>
      </c>
      <c r="J74" s="51">
        <v>46237.590277777781</v>
      </c>
      <c r="K74" s="51"/>
      <c r="L74" s="52">
        <f t="shared" si="17"/>
        <v>1.2277777777781012</v>
      </c>
      <c r="M74" s="53">
        <v>0.75</v>
      </c>
      <c r="N74" s="54" t="str">
        <f t="shared" si="18"/>
        <v>-11:28:00</v>
      </c>
      <c r="O74" s="55">
        <v>2400</v>
      </c>
      <c r="P74" s="125" t="s">
        <v>481</v>
      </c>
      <c r="Q74" s="56" t="s">
        <v>45</v>
      </c>
      <c r="R74" s="57" t="s">
        <v>480</v>
      </c>
      <c r="S74" s="57" t="s">
        <v>480</v>
      </c>
      <c r="T74" s="58" t="e">
        <f t="shared" si="19"/>
        <v>#VALUE!</v>
      </c>
      <c r="U74" s="50"/>
      <c r="V74" s="74">
        <v>8.3333333333333329E-2</v>
      </c>
      <c r="W74" s="50" t="e">
        <f t="shared" si="20"/>
        <v>#VALUE!</v>
      </c>
      <c r="X74" s="171">
        <v>46236.362500000003</v>
      </c>
      <c r="Y74" s="171">
        <v>46237.590277777781</v>
      </c>
      <c r="Z74" s="168">
        <f t="shared" si="21"/>
        <v>1.2277777777781012</v>
      </c>
      <c r="AA74" s="169">
        <f t="shared" si="22"/>
        <v>0.75</v>
      </c>
      <c r="AB74" s="170" t="str">
        <f t="shared" si="23"/>
        <v>-11:28:00</v>
      </c>
      <c r="AC74" s="170" t="b">
        <f t="shared" si="24"/>
        <v>1</v>
      </c>
    </row>
    <row r="75" spans="1:29" ht="9.75" hidden="1" customHeight="1" x14ac:dyDescent="0.3">
      <c r="A75" s="99">
        <v>46236</v>
      </c>
      <c r="B75" s="59">
        <v>8139063</v>
      </c>
      <c r="C75" s="60" t="s">
        <v>46</v>
      </c>
      <c r="D75" s="60" t="s">
        <v>374</v>
      </c>
      <c r="E75" s="61">
        <v>0.375</v>
      </c>
      <c r="F75" s="60" t="s">
        <v>13</v>
      </c>
      <c r="G75" s="71" t="s">
        <v>47</v>
      </c>
      <c r="H75" s="62">
        <v>46236.376388888886</v>
      </c>
      <c r="I75" s="113" t="str">
        <f t="shared" si="25"/>
        <v>02-08-2026T09:02:00</v>
      </c>
      <c r="J75" s="62">
        <v>46238.254166666666</v>
      </c>
      <c r="K75" s="62"/>
      <c r="L75" s="63">
        <f t="shared" si="17"/>
        <v>1.8777777777795563</v>
      </c>
      <c r="M75" s="64">
        <v>1.9166666666666667</v>
      </c>
      <c r="N75" s="65" t="str">
        <f t="shared" si="18"/>
        <v>00:56:00</v>
      </c>
      <c r="O75" s="66"/>
      <c r="P75" s="124"/>
      <c r="Q75" s="67" t="s">
        <v>96</v>
      </c>
      <c r="R75" s="68">
        <v>46237.939583333333</v>
      </c>
      <c r="S75" s="68">
        <v>46238.009027777778</v>
      </c>
      <c r="T75" s="69">
        <f t="shared" si="19"/>
        <v>6.9444444445252884E-2</v>
      </c>
      <c r="U75" s="61"/>
      <c r="V75" s="83">
        <v>8.3333333333333329E-2</v>
      </c>
      <c r="W75" s="61">
        <f t="shared" si="20"/>
        <v>-1.3888888888080445E-2</v>
      </c>
      <c r="X75" s="171">
        <v>46236.376388888886</v>
      </c>
      <c r="Y75" s="171">
        <v>46238.254166666666</v>
      </c>
      <c r="Z75" s="168">
        <f t="shared" si="21"/>
        <v>1.8777777777795563</v>
      </c>
      <c r="AA75" s="169">
        <f t="shared" si="22"/>
        <v>1.9166666666666667</v>
      </c>
      <c r="AB75" s="170" t="str">
        <f t="shared" si="23"/>
        <v>00:56:00</v>
      </c>
      <c r="AC75" s="170" t="b">
        <f t="shared" si="24"/>
        <v>1</v>
      </c>
    </row>
    <row r="76" spans="1:29" ht="9.75" hidden="1" customHeight="1" x14ac:dyDescent="0.3">
      <c r="A76" s="98">
        <v>46236</v>
      </c>
      <c r="B76" s="48">
        <v>8139850</v>
      </c>
      <c r="C76" s="49" t="s">
        <v>203</v>
      </c>
      <c r="D76" s="49" t="s">
        <v>297</v>
      </c>
      <c r="E76" s="50">
        <v>0.375</v>
      </c>
      <c r="F76" s="49" t="s">
        <v>13</v>
      </c>
      <c r="G76" s="70" t="s">
        <v>47</v>
      </c>
      <c r="H76" s="51">
        <v>46236.676388888889</v>
      </c>
      <c r="I76" s="113" t="str">
        <f t="shared" si="25"/>
        <v>02-08-2026T16:14:00</v>
      </c>
      <c r="J76" s="51">
        <v>46238.600694444445</v>
      </c>
      <c r="K76" s="51"/>
      <c r="L76" s="52">
        <f t="shared" si="17"/>
        <v>1.9243055555562023</v>
      </c>
      <c r="M76" s="53">
        <v>1.9166666666666667</v>
      </c>
      <c r="N76" s="54" t="str">
        <f t="shared" si="18"/>
        <v>-00:11:00</v>
      </c>
      <c r="O76" s="55">
        <v>200</v>
      </c>
      <c r="P76" s="125" t="s">
        <v>415</v>
      </c>
      <c r="Q76" s="56" t="s">
        <v>96</v>
      </c>
      <c r="R76" s="57">
        <v>46238.373611111114</v>
      </c>
      <c r="S76" s="57">
        <v>46238.461805555555</v>
      </c>
      <c r="T76" s="47">
        <f t="shared" si="19"/>
        <v>8.819444444088731E-2</v>
      </c>
      <c r="U76" s="50"/>
      <c r="V76" s="74">
        <v>8.3333333333333329E-2</v>
      </c>
      <c r="W76" s="50">
        <f t="shared" si="20"/>
        <v>4.8611111075539809E-3</v>
      </c>
      <c r="X76" s="171">
        <v>46236.676388888889</v>
      </c>
      <c r="Y76" s="171">
        <v>46238.600694444445</v>
      </c>
      <c r="Z76" s="168">
        <f t="shared" si="21"/>
        <v>1.9243055555562023</v>
      </c>
      <c r="AA76" s="169">
        <f t="shared" si="22"/>
        <v>1.9166666666666667</v>
      </c>
      <c r="AB76" s="170" t="str">
        <f t="shared" si="23"/>
        <v>-00:11:00</v>
      </c>
      <c r="AC76" s="170" t="b">
        <f t="shared" si="24"/>
        <v>1</v>
      </c>
    </row>
    <row r="77" spans="1:29" ht="9.75" hidden="1" customHeight="1" x14ac:dyDescent="0.3">
      <c r="A77" s="99">
        <v>46236</v>
      </c>
      <c r="B77" s="59">
        <v>8140214</v>
      </c>
      <c r="C77" s="60" t="s">
        <v>51</v>
      </c>
      <c r="D77" s="60" t="s">
        <v>295</v>
      </c>
      <c r="E77" s="61">
        <v>0.375</v>
      </c>
      <c r="F77" s="60" t="s">
        <v>49</v>
      </c>
      <c r="G77" s="71" t="s">
        <v>13</v>
      </c>
      <c r="H77" s="62">
        <v>46236.799305555556</v>
      </c>
      <c r="I77" s="113" t="str">
        <f t="shared" si="25"/>
        <v>02-08-2026T19:11:00</v>
      </c>
      <c r="J77" s="68">
        <v>46237.36041666667</v>
      </c>
      <c r="K77" s="68"/>
      <c r="L77" s="63">
        <f t="shared" si="17"/>
        <v>0.56111111111385981</v>
      </c>
      <c r="M77" s="64">
        <v>0.58333333333333337</v>
      </c>
      <c r="N77" s="65" t="str">
        <f t="shared" si="18"/>
        <v>00:32:00</v>
      </c>
      <c r="O77" s="66"/>
      <c r="P77" s="124"/>
      <c r="Q77" s="67" t="s">
        <v>13</v>
      </c>
      <c r="R77" s="68">
        <v>46237.296527777777</v>
      </c>
      <c r="S77" s="68">
        <v>46237.351388888892</v>
      </c>
      <c r="T77" s="69">
        <f t="shared" si="19"/>
        <v>5.4861111115314998E-2</v>
      </c>
      <c r="U77" s="61"/>
      <c r="V77" s="83">
        <v>8.3333333333333329E-2</v>
      </c>
      <c r="W77" s="61">
        <f t="shared" si="20"/>
        <v>-2.8472222218018331E-2</v>
      </c>
      <c r="X77" s="171">
        <v>46236.799305555556</v>
      </c>
      <c r="Y77" s="171">
        <v>46237.36041666667</v>
      </c>
      <c r="Z77" s="168">
        <f t="shared" si="21"/>
        <v>0.56111111111385981</v>
      </c>
      <c r="AA77" s="169">
        <f t="shared" si="22"/>
        <v>0.58333333333333337</v>
      </c>
      <c r="AB77" s="170" t="str">
        <f t="shared" si="23"/>
        <v>00:32:00</v>
      </c>
      <c r="AC77" s="170" t="b">
        <f t="shared" si="24"/>
        <v>1</v>
      </c>
    </row>
    <row r="78" spans="1:29" ht="9.75" hidden="1" customHeight="1" x14ac:dyDescent="0.3">
      <c r="A78" s="98">
        <v>46236</v>
      </c>
      <c r="B78" s="48">
        <v>8139135</v>
      </c>
      <c r="C78" s="49" t="s">
        <v>30</v>
      </c>
      <c r="D78" s="49" t="s">
        <v>286</v>
      </c>
      <c r="E78" s="50">
        <v>0.41666666666666669</v>
      </c>
      <c r="F78" s="49" t="s">
        <v>31</v>
      </c>
      <c r="G78" s="70" t="s">
        <v>13</v>
      </c>
      <c r="H78" s="51">
        <v>46236.422222222223</v>
      </c>
      <c r="I78" s="113" t="str">
        <f t="shared" si="25"/>
        <v>02-08-2026T10:08:00</v>
      </c>
      <c r="J78" s="51">
        <v>46237.314583333333</v>
      </c>
      <c r="K78" s="51"/>
      <c r="L78" s="52">
        <f t="shared" si="17"/>
        <v>0.89236111110949423</v>
      </c>
      <c r="M78" s="53">
        <v>0.75</v>
      </c>
      <c r="N78" s="54" t="str">
        <f t="shared" si="18"/>
        <v>-03:25:00</v>
      </c>
      <c r="O78" s="55">
        <v>400</v>
      </c>
      <c r="P78" s="125" t="s">
        <v>416</v>
      </c>
      <c r="Q78" s="56" t="s">
        <v>45</v>
      </c>
      <c r="R78" s="57">
        <v>46236.573611111111</v>
      </c>
      <c r="S78" s="57">
        <v>46236.736111111109</v>
      </c>
      <c r="T78" s="47">
        <f t="shared" si="19"/>
        <v>0.16249999999854481</v>
      </c>
      <c r="U78" s="50"/>
      <c r="V78" s="74">
        <v>8.3333333333333329E-2</v>
      </c>
      <c r="W78" s="50">
        <f t="shared" si="20"/>
        <v>7.916666666521148E-2</v>
      </c>
      <c r="X78" s="171">
        <v>46236.422222222223</v>
      </c>
      <c r="Y78" s="171">
        <v>46237.314583333333</v>
      </c>
      <c r="Z78" s="168">
        <f t="shared" si="21"/>
        <v>0.89236111110949423</v>
      </c>
      <c r="AA78" s="169">
        <f t="shared" si="22"/>
        <v>0.75</v>
      </c>
      <c r="AB78" s="170" t="str">
        <f t="shared" si="23"/>
        <v>-03:25:00</v>
      </c>
      <c r="AC78" s="170" t="b">
        <f t="shared" si="24"/>
        <v>1</v>
      </c>
    </row>
    <row r="79" spans="1:29" ht="9.75" hidden="1" customHeight="1" x14ac:dyDescent="0.3">
      <c r="A79" s="99">
        <v>46236</v>
      </c>
      <c r="B79" s="59">
        <v>8139490</v>
      </c>
      <c r="C79" s="60" t="s">
        <v>48</v>
      </c>
      <c r="D79" s="60" t="s">
        <v>183</v>
      </c>
      <c r="E79" s="61">
        <v>0.41666666666666669</v>
      </c>
      <c r="F79" s="60" t="s">
        <v>13</v>
      </c>
      <c r="G79" s="71" t="s">
        <v>49</v>
      </c>
      <c r="H79" s="62">
        <v>46236.554166666669</v>
      </c>
      <c r="I79" s="113" t="str">
        <f t="shared" si="25"/>
        <v>02-08-2026T13:18:00</v>
      </c>
      <c r="J79" s="62">
        <v>46237.046527777777</v>
      </c>
      <c r="K79" s="62"/>
      <c r="L79" s="63">
        <f t="shared" si="17"/>
        <v>0.49236111110803904</v>
      </c>
      <c r="M79" s="64">
        <v>0.5</v>
      </c>
      <c r="N79" s="65" t="str">
        <f t="shared" si="18"/>
        <v>00:11:00</v>
      </c>
      <c r="O79" s="66"/>
      <c r="P79" s="124"/>
      <c r="Q79" s="67"/>
      <c r="R79" s="68"/>
      <c r="S79" s="68"/>
      <c r="T79" s="69">
        <f t="shared" si="19"/>
        <v>0</v>
      </c>
      <c r="U79" s="61" t="s">
        <v>234</v>
      </c>
      <c r="V79" s="83">
        <v>0</v>
      </c>
      <c r="W79" s="61">
        <f t="shared" si="20"/>
        <v>0</v>
      </c>
      <c r="X79" s="171">
        <v>46236.554166666669</v>
      </c>
      <c r="Y79" s="171">
        <v>46237.046527777777</v>
      </c>
      <c r="Z79" s="168">
        <f t="shared" si="21"/>
        <v>0.49236111110803904</v>
      </c>
      <c r="AA79" s="169">
        <f t="shared" si="22"/>
        <v>0.5</v>
      </c>
      <c r="AB79" s="170" t="str">
        <f t="shared" si="23"/>
        <v>00:11:00</v>
      </c>
      <c r="AC79" s="170" t="b">
        <f t="shared" si="24"/>
        <v>1</v>
      </c>
    </row>
    <row r="80" spans="1:29" ht="9.75" customHeight="1" x14ac:dyDescent="0.3">
      <c r="A80" s="99">
        <v>46236</v>
      </c>
      <c r="B80" s="59">
        <v>8138199</v>
      </c>
      <c r="C80" s="60" t="s">
        <v>90</v>
      </c>
      <c r="D80" s="60" t="s">
        <v>290</v>
      </c>
      <c r="E80" s="61">
        <v>0.99930555555555556</v>
      </c>
      <c r="F80" s="60" t="s">
        <v>13</v>
      </c>
      <c r="G80" s="71" t="s">
        <v>15</v>
      </c>
      <c r="H80" s="62">
        <v>5.5555555555555552E-2</v>
      </c>
      <c r="I80" s="113" t="str">
        <f t="shared" si="25"/>
        <v>02-08-2026T01:20:00</v>
      </c>
      <c r="J80" s="62">
        <v>0.28819444444444442</v>
      </c>
      <c r="K80" s="113" t="str">
        <f t="shared" ref="K80:K81" si="26">TEXT(A80,"dd-mm-yyyy")&amp;"T"&amp;TEXT(J80,"hh:mm:ss")</f>
        <v>02-08-2026T06:55:00</v>
      </c>
      <c r="L80" s="63">
        <f t="shared" si="17"/>
        <v>0.23263888888888887</v>
      </c>
      <c r="M80" s="64">
        <v>0.27083333333333331</v>
      </c>
      <c r="N80" s="65" t="str">
        <f t="shared" si="18"/>
        <v>00:55:00</v>
      </c>
      <c r="O80" s="66"/>
      <c r="P80" s="124"/>
      <c r="Q80" s="67" t="s">
        <v>13</v>
      </c>
      <c r="R80" s="68">
        <v>6.3888888888888884E-2</v>
      </c>
      <c r="S80" s="68">
        <v>9.7916666666666666E-2</v>
      </c>
      <c r="T80" s="69">
        <f t="shared" si="19"/>
        <v>3.4027777777777782E-2</v>
      </c>
      <c r="U80" s="61"/>
      <c r="V80" s="83">
        <v>4.1666666666666664E-2</v>
      </c>
      <c r="W80" s="61">
        <f t="shared" si="20"/>
        <v>-7.6388888888888826E-3</v>
      </c>
      <c r="X80" s="171">
        <v>46236.055555555555</v>
      </c>
      <c r="Y80" s="171">
        <v>46236.288194444445</v>
      </c>
      <c r="Z80" s="168">
        <f t="shared" si="21"/>
        <v>0.23263888889050577</v>
      </c>
      <c r="AA80" s="169">
        <f t="shared" si="22"/>
        <v>0.27083333333333331</v>
      </c>
      <c r="AB80" s="170" t="str">
        <f t="shared" si="23"/>
        <v>00:55:00</v>
      </c>
      <c r="AC80" s="170" t="b">
        <f t="shared" si="24"/>
        <v>1</v>
      </c>
    </row>
    <row r="81" spans="1:29" ht="9.75" hidden="1" customHeight="1" x14ac:dyDescent="0.3">
      <c r="A81" s="98">
        <v>46236</v>
      </c>
      <c r="B81" s="48">
        <v>8139213</v>
      </c>
      <c r="C81" s="49" t="s">
        <v>90</v>
      </c>
      <c r="D81" s="49" t="s">
        <v>290</v>
      </c>
      <c r="E81" s="50">
        <v>0.4375</v>
      </c>
      <c r="F81" s="49" t="s">
        <v>15</v>
      </c>
      <c r="G81" s="70" t="s">
        <v>13</v>
      </c>
      <c r="H81" s="51">
        <v>0.45694444444444443</v>
      </c>
      <c r="I81" s="113" t="str">
        <f t="shared" si="25"/>
        <v>02-08-2026T10:58:00</v>
      </c>
      <c r="J81" s="51">
        <v>0.7</v>
      </c>
      <c r="K81" s="113" t="str">
        <f t="shared" si="26"/>
        <v>02-08-2026T16:48:00</v>
      </c>
      <c r="L81" s="52">
        <f t="shared" si="17"/>
        <v>0.24305555555555552</v>
      </c>
      <c r="M81" s="53">
        <v>0.20833333333333334</v>
      </c>
      <c r="N81" s="54" t="str">
        <f t="shared" si="18"/>
        <v>-00:50:00</v>
      </c>
      <c r="O81" s="55">
        <v>200</v>
      </c>
      <c r="P81" s="125" t="s">
        <v>417</v>
      </c>
      <c r="Q81" s="56"/>
      <c r="R81" s="57"/>
      <c r="S81" s="57"/>
      <c r="T81" s="58">
        <f t="shared" si="19"/>
        <v>0</v>
      </c>
      <c r="U81" s="50"/>
      <c r="V81" s="74">
        <v>0</v>
      </c>
      <c r="W81" s="50">
        <f t="shared" si="20"/>
        <v>0</v>
      </c>
      <c r="X81" s="171">
        <v>46236.456944444442</v>
      </c>
      <c r="Y81" s="171">
        <v>46236.7</v>
      </c>
      <c r="Z81" s="168">
        <f t="shared" si="21"/>
        <v>0.24305555555474712</v>
      </c>
      <c r="AA81" s="169">
        <f t="shared" si="22"/>
        <v>0.20833333333333334</v>
      </c>
      <c r="AB81" s="170" t="str">
        <f t="shared" si="23"/>
        <v>-00:50:00</v>
      </c>
      <c r="AC81" s="170" t="b">
        <f t="shared" si="24"/>
        <v>1</v>
      </c>
    </row>
    <row r="82" spans="1:29" ht="9.75" hidden="1" customHeight="1" x14ac:dyDescent="0.3">
      <c r="A82" s="99">
        <v>46236</v>
      </c>
      <c r="B82" s="59">
        <v>8139242</v>
      </c>
      <c r="C82" s="60" t="s">
        <v>41</v>
      </c>
      <c r="D82" s="60" t="s">
        <v>299</v>
      </c>
      <c r="E82" s="61">
        <v>0.45833333333333331</v>
      </c>
      <c r="F82" s="60" t="s">
        <v>13</v>
      </c>
      <c r="G82" s="71" t="s">
        <v>24</v>
      </c>
      <c r="H82" s="62">
        <v>0.46805555555555556</v>
      </c>
      <c r="I82" s="113" t="str">
        <f t="shared" si="25"/>
        <v>02-08-2026T11:14:00</v>
      </c>
      <c r="J82" s="62">
        <v>0.54513888888888884</v>
      </c>
      <c r="K82" s="62"/>
      <c r="L82" s="63">
        <f t="shared" si="17"/>
        <v>7.7083333333333282E-2</v>
      </c>
      <c r="M82" s="64">
        <v>8.3333333333333329E-2</v>
      </c>
      <c r="N82" s="65" t="str">
        <f t="shared" si="18"/>
        <v>00:09:00</v>
      </c>
      <c r="O82" s="66"/>
      <c r="P82" s="124"/>
      <c r="Q82" s="67"/>
      <c r="R82" s="68"/>
      <c r="S82" s="68"/>
      <c r="T82" s="69">
        <f t="shared" si="19"/>
        <v>0</v>
      </c>
      <c r="U82" s="61"/>
      <c r="V82" s="83">
        <v>0</v>
      </c>
      <c r="W82" s="61">
        <f t="shared" si="20"/>
        <v>0</v>
      </c>
      <c r="X82" s="171">
        <v>46236.468055555553</v>
      </c>
      <c r="Y82" s="171">
        <v>46236.545138888891</v>
      </c>
      <c r="Z82" s="168">
        <f t="shared" si="21"/>
        <v>7.7083333337213844E-2</v>
      </c>
      <c r="AA82" s="169">
        <f t="shared" si="22"/>
        <v>8.3333333333333329E-2</v>
      </c>
      <c r="AB82" s="170" t="str">
        <f t="shared" si="23"/>
        <v>00:09:00</v>
      </c>
      <c r="AC82" s="170" t="b">
        <f t="shared" si="24"/>
        <v>1</v>
      </c>
    </row>
    <row r="83" spans="1:29" s="128" customFormat="1" ht="9.75" hidden="1" customHeight="1" x14ac:dyDescent="0.3">
      <c r="A83" s="99">
        <v>46236</v>
      </c>
      <c r="B83" s="59">
        <v>8139615</v>
      </c>
      <c r="C83" s="60" t="s">
        <v>99</v>
      </c>
      <c r="D83" s="60" t="s">
        <v>375</v>
      </c>
      <c r="E83" s="61">
        <v>0.5</v>
      </c>
      <c r="F83" s="60" t="s">
        <v>13</v>
      </c>
      <c r="G83" s="71" t="s">
        <v>103</v>
      </c>
      <c r="H83" s="62">
        <v>46236.602777777778</v>
      </c>
      <c r="I83" s="113" t="str">
        <f t="shared" si="25"/>
        <v>02-08-2026T14:28:00</v>
      </c>
      <c r="J83" s="62">
        <v>46237.2</v>
      </c>
      <c r="K83" s="62"/>
      <c r="L83" s="63">
        <f t="shared" si="17"/>
        <v>0.59722222221898846</v>
      </c>
      <c r="M83" s="64">
        <v>0.625</v>
      </c>
      <c r="N83" s="65" t="str">
        <f t="shared" si="18"/>
        <v>00:40:00</v>
      </c>
      <c r="O83" s="66"/>
      <c r="P83" s="126" t="s">
        <v>418</v>
      </c>
      <c r="Q83" s="67"/>
      <c r="R83" s="68"/>
      <c r="S83" s="68"/>
      <c r="T83" s="69">
        <f t="shared" si="19"/>
        <v>0</v>
      </c>
      <c r="U83" s="61"/>
      <c r="V83" s="83">
        <v>0</v>
      </c>
      <c r="W83" s="61">
        <f t="shared" si="20"/>
        <v>0</v>
      </c>
      <c r="X83" s="171">
        <v>46236.602777777778</v>
      </c>
      <c r="Y83" s="171">
        <v>46237.2</v>
      </c>
      <c r="Z83" s="168">
        <f t="shared" si="21"/>
        <v>0.59722222221898846</v>
      </c>
      <c r="AA83" s="169">
        <f t="shared" si="22"/>
        <v>0.625</v>
      </c>
      <c r="AB83" s="170" t="str">
        <f t="shared" si="23"/>
        <v>00:40:00</v>
      </c>
      <c r="AC83" s="170" t="b">
        <f t="shared" si="24"/>
        <v>1</v>
      </c>
    </row>
    <row r="84" spans="1:29" ht="9.75" hidden="1" customHeight="1" x14ac:dyDescent="0.3">
      <c r="A84" s="99">
        <v>46236</v>
      </c>
      <c r="B84" s="59">
        <v>8139975</v>
      </c>
      <c r="C84" s="60" t="s">
        <v>52</v>
      </c>
      <c r="D84" s="60" t="s">
        <v>616</v>
      </c>
      <c r="E84" s="61">
        <v>0.54166666666666663</v>
      </c>
      <c r="F84" s="60" t="s">
        <v>13</v>
      </c>
      <c r="G84" s="71" t="s">
        <v>15</v>
      </c>
      <c r="H84" s="62">
        <v>0.72222222222222221</v>
      </c>
      <c r="I84" s="113" t="str">
        <f t="shared" si="25"/>
        <v>02-08-2026T17:20:00</v>
      </c>
      <c r="J84" s="62">
        <v>0.92152777777777772</v>
      </c>
      <c r="K84" s="62"/>
      <c r="L84" s="63">
        <f t="shared" si="17"/>
        <v>0.19930555555555551</v>
      </c>
      <c r="M84" s="64">
        <v>0.20833333333333334</v>
      </c>
      <c r="N84" s="65" t="str">
        <f t="shared" si="18"/>
        <v>00:13:00</v>
      </c>
      <c r="O84" s="66"/>
      <c r="P84" s="124"/>
      <c r="Q84" s="67"/>
      <c r="R84" s="68"/>
      <c r="S84" s="68"/>
      <c r="T84" s="68">
        <f t="shared" si="19"/>
        <v>0</v>
      </c>
      <c r="U84" s="61"/>
      <c r="V84" s="83">
        <v>0</v>
      </c>
      <c r="W84" s="61">
        <f t="shared" si="20"/>
        <v>0</v>
      </c>
      <c r="X84" s="171">
        <v>46236.722222222219</v>
      </c>
      <c r="Y84" s="171">
        <v>46236.921527777777</v>
      </c>
      <c r="Z84" s="168">
        <f t="shared" si="21"/>
        <v>0.1993055555576575</v>
      </c>
      <c r="AA84" s="169">
        <f t="shared" si="22"/>
        <v>0.20833333333333334</v>
      </c>
      <c r="AB84" s="170" t="str">
        <f t="shared" si="23"/>
        <v>00:13:00</v>
      </c>
      <c r="AC84" s="170" t="b">
        <f t="shared" si="24"/>
        <v>1</v>
      </c>
    </row>
    <row r="85" spans="1:29" ht="9.75" hidden="1" customHeight="1" x14ac:dyDescent="0.3">
      <c r="A85" s="98">
        <v>46236</v>
      </c>
      <c r="B85" s="48">
        <v>8139788</v>
      </c>
      <c r="C85" s="49" t="s">
        <v>18</v>
      </c>
      <c r="D85" s="49" t="s">
        <v>389</v>
      </c>
      <c r="E85" s="50">
        <v>0.64583333333333337</v>
      </c>
      <c r="F85" s="49" t="s">
        <v>19</v>
      </c>
      <c r="G85" s="70" t="s">
        <v>13</v>
      </c>
      <c r="H85" s="51">
        <v>46236.659722222219</v>
      </c>
      <c r="I85" s="113" t="str">
        <f t="shared" si="25"/>
        <v>02-08-2026T15:50:00</v>
      </c>
      <c r="J85" s="51">
        <v>46237.585416666669</v>
      </c>
      <c r="K85" s="51"/>
      <c r="L85" s="52">
        <f t="shared" si="17"/>
        <v>0.92569444444961846</v>
      </c>
      <c r="M85" s="53">
        <v>0.4375</v>
      </c>
      <c r="N85" s="54" t="str">
        <f t="shared" si="18"/>
        <v>-11:43:00</v>
      </c>
      <c r="O85" s="55">
        <v>600</v>
      </c>
      <c r="P85" s="125" t="s">
        <v>419</v>
      </c>
      <c r="Q85" s="56" t="s">
        <v>229</v>
      </c>
      <c r="R85" s="57">
        <v>46236.753472222219</v>
      </c>
      <c r="S85" s="57">
        <v>46237.208333333336</v>
      </c>
      <c r="T85" s="47">
        <f t="shared" si="19"/>
        <v>0.45486111111677019</v>
      </c>
      <c r="U85" s="50"/>
      <c r="V85" s="74">
        <v>8.3333333333333329E-2</v>
      </c>
      <c r="W85" s="50">
        <f t="shared" si="20"/>
        <v>0.37152777778343687</v>
      </c>
      <c r="X85" s="171">
        <v>46236.659722222219</v>
      </c>
      <c r="Y85" s="171">
        <v>46237.585416666669</v>
      </c>
      <c r="Z85" s="168">
        <f t="shared" si="21"/>
        <v>0.92569444444961846</v>
      </c>
      <c r="AA85" s="169">
        <f t="shared" si="22"/>
        <v>0.4375</v>
      </c>
      <c r="AB85" s="170" t="str">
        <f t="shared" si="23"/>
        <v>-11:43:00</v>
      </c>
      <c r="AC85" s="170" t="b">
        <f t="shared" si="24"/>
        <v>1</v>
      </c>
    </row>
    <row r="86" spans="1:29" ht="9.75" hidden="1" customHeight="1" x14ac:dyDescent="0.3">
      <c r="A86" s="99">
        <v>46236</v>
      </c>
      <c r="B86" s="59">
        <v>8139928</v>
      </c>
      <c r="C86" s="60" t="s">
        <v>54</v>
      </c>
      <c r="D86" s="60" t="s">
        <v>288</v>
      </c>
      <c r="E86" s="61">
        <v>0.70833333333333337</v>
      </c>
      <c r="F86" s="60" t="s">
        <v>13</v>
      </c>
      <c r="G86" s="71" t="s">
        <v>24</v>
      </c>
      <c r="H86" s="62">
        <v>0.70694444444444449</v>
      </c>
      <c r="I86" s="113" t="str">
        <f t="shared" si="25"/>
        <v>02-08-2026T16:58:00</v>
      </c>
      <c r="J86" s="62">
        <v>0.78125</v>
      </c>
      <c r="K86" s="62"/>
      <c r="L86" s="63">
        <f t="shared" si="17"/>
        <v>7.4305555555555514E-2</v>
      </c>
      <c r="M86" s="64">
        <v>8.3333333333333329E-2</v>
      </c>
      <c r="N86" s="65" t="str">
        <f t="shared" si="18"/>
        <v>00:13:00</v>
      </c>
      <c r="O86" s="66"/>
      <c r="P86" s="124"/>
      <c r="Q86" s="67"/>
      <c r="R86" s="68"/>
      <c r="S86" s="68"/>
      <c r="T86" s="69">
        <f t="shared" si="19"/>
        <v>0</v>
      </c>
      <c r="U86" s="61"/>
      <c r="V86" s="83">
        <v>0</v>
      </c>
      <c r="W86" s="61">
        <f t="shared" si="20"/>
        <v>0</v>
      </c>
      <c r="X86" s="171">
        <v>46236.706944444442</v>
      </c>
      <c r="Y86" s="171">
        <v>46236.78125</v>
      </c>
      <c r="Z86" s="168">
        <f t="shared" si="21"/>
        <v>7.4305555557657499E-2</v>
      </c>
      <c r="AA86" s="169">
        <f t="shared" si="22"/>
        <v>8.3333333333333329E-2</v>
      </c>
      <c r="AB86" s="170" t="str">
        <f t="shared" si="23"/>
        <v>00:13:00</v>
      </c>
      <c r="AC86" s="170" t="b">
        <f t="shared" si="24"/>
        <v>1</v>
      </c>
    </row>
    <row r="87" spans="1:29" ht="9.75" hidden="1" customHeight="1" x14ac:dyDescent="0.3">
      <c r="A87" s="99">
        <v>46236</v>
      </c>
      <c r="B87" s="59">
        <v>8139433</v>
      </c>
      <c r="C87" s="60" t="s">
        <v>84</v>
      </c>
      <c r="D87" s="60" t="s">
        <v>301</v>
      </c>
      <c r="E87" s="61">
        <v>0.70833333333333337</v>
      </c>
      <c r="F87" s="60" t="s">
        <v>85</v>
      </c>
      <c r="G87" s="71" t="s">
        <v>13</v>
      </c>
      <c r="H87" s="62">
        <v>0.53541666666666665</v>
      </c>
      <c r="I87" s="113" t="str">
        <f t="shared" si="25"/>
        <v>02-08-2026T12:51:00</v>
      </c>
      <c r="J87" s="62">
        <v>0.85069444444444442</v>
      </c>
      <c r="K87" s="62"/>
      <c r="L87" s="63">
        <f t="shared" si="17"/>
        <v>0.31527777777777777</v>
      </c>
      <c r="M87" s="64">
        <v>0.33333333333333331</v>
      </c>
      <c r="N87" s="65" t="str">
        <f t="shared" si="18"/>
        <v>00:26:00</v>
      </c>
      <c r="O87" s="66"/>
      <c r="P87" s="124" t="s">
        <v>445</v>
      </c>
      <c r="Q87" s="67" t="s">
        <v>174</v>
      </c>
      <c r="R87" s="68" t="s">
        <v>372</v>
      </c>
      <c r="S87" s="68" t="s">
        <v>372</v>
      </c>
      <c r="T87" s="69" t="e">
        <f t="shared" si="19"/>
        <v>#VALUE!</v>
      </c>
      <c r="U87" s="61"/>
      <c r="V87" s="83">
        <v>4.1666666666666664E-2</v>
      </c>
      <c r="W87" s="61" t="e">
        <f t="shared" si="20"/>
        <v>#VALUE!</v>
      </c>
      <c r="X87" s="171">
        <v>46236.535416666666</v>
      </c>
      <c r="Y87" s="171">
        <v>46236.850694444445</v>
      </c>
      <c r="Z87" s="168">
        <f t="shared" si="21"/>
        <v>0.31527777777955635</v>
      </c>
      <c r="AA87" s="169">
        <f t="shared" si="22"/>
        <v>0.33333333333333331</v>
      </c>
      <c r="AB87" s="170" t="str">
        <f t="shared" si="23"/>
        <v>00:26:00</v>
      </c>
      <c r="AC87" s="170" t="b">
        <f t="shared" si="24"/>
        <v>1</v>
      </c>
    </row>
    <row r="88" spans="1:29" ht="9.75" hidden="1" customHeight="1" x14ac:dyDescent="0.3">
      <c r="A88" s="99">
        <v>46236</v>
      </c>
      <c r="B88" s="59">
        <v>8140017</v>
      </c>
      <c r="C88" s="60" t="s">
        <v>89</v>
      </c>
      <c r="D88" s="60" t="s">
        <v>294</v>
      </c>
      <c r="E88" s="61">
        <v>0.75</v>
      </c>
      <c r="F88" s="60" t="s">
        <v>35</v>
      </c>
      <c r="G88" s="71" t="s">
        <v>13</v>
      </c>
      <c r="H88" s="62">
        <v>46236.736805555556</v>
      </c>
      <c r="I88" s="113" t="str">
        <f t="shared" si="25"/>
        <v>02-08-2026T17:41:00</v>
      </c>
      <c r="J88" s="62">
        <v>46236.775000000001</v>
      </c>
      <c r="K88" s="62"/>
      <c r="L88" s="63">
        <f t="shared" si="17"/>
        <v>3.8194444445252884E-2</v>
      </c>
      <c r="M88" s="64">
        <v>4.1666666666666664E-2</v>
      </c>
      <c r="N88" s="65" t="str">
        <f t="shared" si="18"/>
        <v>00:05:00</v>
      </c>
      <c r="O88" s="66"/>
      <c r="P88" s="124"/>
      <c r="Q88" s="67"/>
      <c r="R88" s="68"/>
      <c r="S88" s="68"/>
      <c r="T88" s="69">
        <f t="shared" si="19"/>
        <v>0</v>
      </c>
      <c r="U88" s="61"/>
      <c r="V88" s="83">
        <v>0</v>
      </c>
      <c r="W88" s="61">
        <f t="shared" si="20"/>
        <v>0</v>
      </c>
      <c r="X88" s="171">
        <v>46236.736805555556</v>
      </c>
      <c r="Y88" s="171">
        <v>46236.775000000001</v>
      </c>
      <c r="Z88" s="168">
        <f t="shared" si="21"/>
        <v>3.8194444445252884E-2</v>
      </c>
      <c r="AA88" s="169">
        <f t="shared" si="22"/>
        <v>4.1666666666666664E-2</v>
      </c>
      <c r="AB88" s="170" t="str">
        <f t="shared" si="23"/>
        <v>00:05:00</v>
      </c>
      <c r="AC88" s="170" t="b">
        <f t="shared" si="24"/>
        <v>1</v>
      </c>
    </row>
    <row r="89" spans="1:29" ht="9.75" hidden="1" customHeight="1" x14ac:dyDescent="0.3">
      <c r="A89" s="99">
        <v>46236</v>
      </c>
      <c r="B89" s="59">
        <v>8140371</v>
      </c>
      <c r="C89" s="60" t="s">
        <v>32</v>
      </c>
      <c r="D89" s="60" t="s">
        <v>476</v>
      </c>
      <c r="E89" s="61">
        <v>0.83333333333333337</v>
      </c>
      <c r="F89" s="60" t="s">
        <v>287</v>
      </c>
      <c r="G89" s="71" t="s">
        <v>13</v>
      </c>
      <c r="H89" s="62">
        <v>0.85555555555555551</v>
      </c>
      <c r="I89" s="113" t="str">
        <f t="shared" si="25"/>
        <v>02-08-2026T20:32:00</v>
      </c>
      <c r="J89" s="62">
        <v>0.99236111111111114</v>
      </c>
      <c r="K89" s="62"/>
      <c r="L89" s="63">
        <f t="shared" ref="L89:L106" si="27">J89-H89</f>
        <v>0.13680555555555562</v>
      </c>
      <c r="M89" s="64">
        <v>0.14583333333333334</v>
      </c>
      <c r="N89" s="65" t="str">
        <f t="shared" ref="N89:N106" si="28">IF(M89-L89&gt;0,TEXT(M89-L89,"HH:MM:SS"),TEXT(ABS(M89-L89),"-HH:MM:SS"))</f>
        <v>00:13:00</v>
      </c>
      <c r="O89" s="66"/>
      <c r="P89" s="124"/>
      <c r="Q89" s="67"/>
      <c r="R89" s="68"/>
      <c r="S89" s="68"/>
      <c r="T89" s="69">
        <f t="shared" ref="T89:T106" si="29">S89-R89</f>
        <v>0</v>
      </c>
      <c r="U89" s="61"/>
      <c r="V89" s="83">
        <v>0</v>
      </c>
      <c r="W89" s="61">
        <f t="shared" ref="W89:W106" si="30">T89-V89</f>
        <v>0</v>
      </c>
      <c r="X89" s="171">
        <v>46236.855555555558</v>
      </c>
      <c r="Y89" s="171">
        <v>46236.992361111108</v>
      </c>
      <c r="Z89" s="168">
        <f t="shared" si="21"/>
        <v>0.13680555555038154</v>
      </c>
      <c r="AA89" s="169">
        <f t="shared" si="22"/>
        <v>0.14583333333333334</v>
      </c>
      <c r="AB89" s="170" t="str">
        <f t="shared" si="23"/>
        <v>00:13:00</v>
      </c>
      <c r="AC89" s="170" t="b">
        <f t="shared" si="24"/>
        <v>1</v>
      </c>
    </row>
    <row r="90" spans="1:29" ht="9.75" hidden="1" customHeight="1" x14ac:dyDescent="0.3">
      <c r="A90" s="98">
        <v>46236</v>
      </c>
      <c r="B90" s="48">
        <v>8140463</v>
      </c>
      <c r="C90" s="49" t="s">
        <v>56</v>
      </c>
      <c r="D90" s="49" t="s">
        <v>326</v>
      </c>
      <c r="E90" s="50">
        <v>0.875</v>
      </c>
      <c r="F90" s="49" t="s">
        <v>13</v>
      </c>
      <c r="G90" s="70" t="s">
        <v>15</v>
      </c>
      <c r="H90" s="51">
        <v>46236.87777777778</v>
      </c>
      <c r="I90" s="113" t="str">
        <f t="shared" si="25"/>
        <v>02-08-2026T21:04:00</v>
      </c>
      <c r="J90" s="51">
        <v>46237.4375</v>
      </c>
      <c r="K90" s="51"/>
      <c r="L90" s="52">
        <f t="shared" si="27"/>
        <v>0.55972222222044365</v>
      </c>
      <c r="M90" s="53">
        <v>0.20833333333333334</v>
      </c>
      <c r="N90" s="54" t="str">
        <f t="shared" si="28"/>
        <v>-08:26:00</v>
      </c>
      <c r="O90" s="55">
        <f>250*9</f>
        <v>2250</v>
      </c>
      <c r="P90" s="125" t="s">
        <v>482</v>
      </c>
      <c r="Q90" s="56"/>
      <c r="R90" s="57"/>
      <c r="S90" s="57"/>
      <c r="T90" s="58">
        <f t="shared" si="29"/>
        <v>0</v>
      </c>
      <c r="U90" s="50"/>
      <c r="V90" s="74">
        <v>0</v>
      </c>
      <c r="W90" s="50">
        <f t="shared" si="30"/>
        <v>0</v>
      </c>
      <c r="X90" s="171">
        <v>46236.87777777778</v>
      </c>
      <c r="Y90" s="171">
        <v>46237.4375</v>
      </c>
      <c r="Z90" s="168">
        <f t="shared" si="21"/>
        <v>0.55972222222044365</v>
      </c>
      <c r="AA90" s="169">
        <f t="shared" si="22"/>
        <v>0.20833333333333334</v>
      </c>
      <c r="AB90" s="170" t="str">
        <f t="shared" si="23"/>
        <v>-08:26:00</v>
      </c>
      <c r="AC90" s="170" t="b">
        <f t="shared" si="24"/>
        <v>1</v>
      </c>
    </row>
    <row r="91" spans="1:29" ht="9.75" hidden="1" customHeight="1" x14ac:dyDescent="0.3">
      <c r="A91" s="99">
        <v>46236</v>
      </c>
      <c r="B91" s="59">
        <v>8139600</v>
      </c>
      <c r="C91" s="60" t="s">
        <v>42</v>
      </c>
      <c r="D91" s="60" t="s">
        <v>181</v>
      </c>
      <c r="E91" s="61">
        <v>0.875</v>
      </c>
      <c r="F91" s="60" t="s">
        <v>55</v>
      </c>
      <c r="G91" s="71" t="s">
        <v>13</v>
      </c>
      <c r="H91" s="62">
        <v>0.59444444444444444</v>
      </c>
      <c r="I91" s="113" t="str">
        <f t="shared" si="25"/>
        <v>02-08-2026T14:16:00</v>
      </c>
      <c r="J91" s="62">
        <v>0.64583333333333337</v>
      </c>
      <c r="K91" s="62"/>
      <c r="L91" s="63">
        <f t="shared" si="27"/>
        <v>5.1388888888888928E-2</v>
      </c>
      <c r="M91" s="64">
        <v>6.25E-2</v>
      </c>
      <c r="N91" s="65" t="str">
        <f t="shared" si="28"/>
        <v>00:16:00</v>
      </c>
      <c r="O91" s="66"/>
      <c r="P91" s="124"/>
      <c r="Q91" s="67"/>
      <c r="R91" s="68"/>
      <c r="S91" s="68"/>
      <c r="T91" s="69">
        <f t="shared" si="29"/>
        <v>0</v>
      </c>
      <c r="U91" s="61"/>
      <c r="V91" s="83">
        <v>0</v>
      </c>
      <c r="W91" s="61">
        <f t="shared" si="30"/>
        <v>0</v>
      </c>
      <c r="X91" s="171">
        <v>46236.594444444447</v>
      </c>
      <c r="Y91" s="171">
        <v>46236.645833333336</v>
      </c>
      <c r="Z91" s="168">
        <f t="shared" si="21"/>
        <v>5.1388888889050577E-2</v>
      </c>
      <c r="AA91" s="169">
        <f t="shared" si="22"/>
        <v>6.25E-2</v>
      </c>
      <c r="AB91" s="170" t="str">
        <f t="shared" si="23"/>
        <v>00:16:00</v>
      </c>
      <c r="AC91" s="170" t="b">
        <f t="shared" si="24"/>
        <v>1</v>
      </c>
    </row>
    <row r="92" spans="1:29" ht="9.75" hidden="1" customHeight="1" x14ac:dyDescent="0.3">
      <c r="A92" s="99">
        <v>46236</v>
      </c>
      <c r="B92" s="59">
        <v>8140427</v>
      </c>
      <c r="C92" s="60" t="s">
        <v>41</v>
      </c>
      <c r="D92" s="60" t="s">
        <v>299</v>
      </c>
      <c r="E92" s="61">
        <v>0.875</v>
      </c>
      <c r="F92" s="60" t="s">
        <v>24</v>
      </c>
      <c r="G92" s="71" t="s">
        <v>13</v>
      </c>
      <c r="H92" s="62">
        <v>0.87152777777777779</v>
      </c>
      <c r="I92" s="113" t="str">
        <f t="shared" si="25"/>
        <v>02-08-2026T20:55:00</v>
      </c>
      <c r="J92" s="62">
        <v>0.9506944444444444</v>
      </c>
      <c r="K92" s="62"/>
      <c r="L92" s="63">
        <f t="shared" si="27"/>
        <v>7.9166666666666607E-2</v>
      </c>
      <c r="M92" s="64">
        <v>8.3333333333333329E-2</v>
      </c>
      <c r="N92" s="65" t="str">
        <f t="shared" si="28"/>
        <v>00:06:00</v>
      </c>
      <c r="O92" s="66"/>
      <c r="P92" s="124"/>
      <c r="Q92" s="67"/>
      <c r="R92" s="68"/>
      <c r="S92" s="68"/>
      <c r="T92" s="69">
        <f t="shared" si="29"/>
        <v>0</v>
      </c>
      <c r="U92" s="61"/>
      <c r="V92" s="83">
        <v>0</v>
      </c>
      <c r="W92" s="61">
        <f t="shared" si="30"/>
        <v>0</v>
      </c>
      <c r="X92" s="171">
        <v>46236.871527777781</v>
      </c>
      <c r="Y92" s="171">
        <v>46236.950694444444</v>
      </c>
      <c r="Z92" s="168">
        <f t="shared" si="21"/>
        <v>7.9166666662786156E-2</v>
      </c>
      <c r="AA92" s="169">
        <f t="shared" si="22"/>
        <v>8.3333333333333329E-2</v>
      </c>
      <c r="AB92" s="170" t="str">
        <f t="shared" si="23"/>
        <v>00:06:00</v>
      </c>
      <c r="AC92" s="170" t="b">
        <f t="shared" si="24"/>
        <v>1</v>
      </c>
    </row>
    <row r="93" spans="1:29" ht="9.75" hidden="1" customHeight="1" x14ac:dyDescent="0.3">
      <c r="A93" s="99">
        <v>46236</v>
      </c>
      <c r="B93" s="59">
        <v>8140517</v>
      </c>
      <c r="C93" s="60" t="s">
        <v>57</v>
      </c>
      <c r="D93" s="60" t="s">
        <v>370</v>
      </c>
      <c r="E93" s="61">
        <v>0.875</v>
      </c>
      <c r="F93" s="60" t="s">
        <v>13</v>
      </c>
      <c r="G93" s="71" t="s">
        <v>24</v>
      </c>
      <c r="H93" s="62">
        <v>0.89722222222222225</v>
      </c>
      <c r="I93" s="113" t="str">
        <f t="shared" si="25"/>
        <v>02-08-2026T21:32:00</v>
      </c>
      <c r="J93" s="62">
        <v>0.97152777777777777</v>
      </c>
      <c r="K93" s="62"/>
      <c r="L93" s="63">
        <f t="shared" si="27"/>
        <v>7.4305555555555514E-2</v>
      </c>
      <c r="M93" s="64">
        <v>8.3333333333333329E-2</v>
      </c>
      <c r="N93" s="65" t="str">
        <f t="shared" si="28"/>
        <v>00:13:00</v>
      </c>
      <c r="O93" s="66"/>
      <c r="P93" s="124"/>
      <c r="Q93" s="67"/>
      <c r="R93" s="68"/>
      <c r="S93" s="68"/>
      <c r="T93" s="69">
        <f t="shared" si="29"/>
        <v>0</v>
      </c>
      <c r="U93" s="61"/>
      <c r="V93" s="83">
        <v>0</v>
      </c>
      <c r="W93" s="61">
        <f t="shared" si="30"/>
        <v>0</v>
      </c>
      <c r="X93" s="171">
        <v>46236.897222222222</v>
      </c>
      <c r="Y93" s="171">
        <v>46236.97152777778</v>
      </c>
      <c r="Z93" s="168">
        <f t="shared" si="21"/>
        <v>7.4305555557657499E-2</v>
      </c>
      <c r="AA93" s="169">
        <f t="shared" si="22"/>
        <v>8.3333333333333329E-2</v>
      </c>
      <c r="AB93" s="170" t="str">
        <f t="shared" si="23"/>
        <v>00:13:00</v>
      </c>
      <c r="AC93" s="170" t="b">
        <f t="shared" si="24"/>
        <v>1</v>
      </c>
    </row>
    <row r="94" spans="1:29" ht="9.75" hidden="1" customHeight="1" x14ac:dyDescent="0.3">
      <c r="A94" s="99">
        <v>46236</v>
      </c>
      <c r="B94" s="59">
        <v>8140691</v>
      </c>
      <c r="C94" s="60" t="s">
        <v>54</v>
      </c>
      <c r="D94" s="60" t="s">
        <v>288</v>
      </c>
      <c r="E94" s="61">
        <v>0.99930555555555556</v>
      </c>
      <c r="F94" s="60" t="s">
        <v>24</v>
      </c>
      <c r="G94" s="71" t="s">
        <v>13</v>
      </c>
      <c r="H94" s="62">
        <v>46236.993055555555</v>
      </c>
      <c r="I94" s="113" t="str">
        <f t="shared" si="25"/>
        <v>02-08-2026T23:50:00</v>
      </c>
      <c r="J94" s="62">
        <v>46237.064583333333</v>
      </c>
      <c r="K94" s="62"/>
      <c r="L94" s="63">
        <f t="shared" si="27"/>
        <v>7.1527777778101154E-2</v>
      </c>
      <c r="M94" s="64">
        <v>8.3333333333333329E-2</v>
      </c>
      <c r="N94" s="65" t="str">
        <f t="shared" si="28"/>
        <v>00:17:00</v>
      </c>
      <c r="O94" s="66"/>
      <c r="P94" s="124"/>
      <c r="Q94" s="67"/>
      <c r="R94" s="68"/>
      <c r="S94" s="68"/>
      <c r="T94" s="69">
        <f t="shared" si="29"/>
        <v>0</v>
      </c>
      <c r="U94" s="61"/>
      <c r="V94" s="83">
        <v>0</v>
      </c>
      <c r="W94" s="61">
        <f t="shared" si="30"/>
        <v>0</v>
      </c>
      <c r="X94" s="171">
        <v>46236.993055555555</v>
      </c>
      <c r="Y94" s="171">
        <v>46237.064583333333</v>
      </c>
      <c r="Z94" s="168">
        <f t="shared" si="21"/>
        <v>7.1527777778101154E-2</v>
      </c>
      <c r="AA94" s="169">
        <f t="shared" si="22"/>
        <v>8.3333333333333329E-2</v>
      </c>
      <c r="AB94" s="170" t="str">
        <f t="shared" si="23"/>
        <v>00:17:00</v>
      </c>
      <c r="AC94" s="170" t="b">
        <f t="shared" si="24"/>
        <v>1</v>
      </c>
    </row>
    <row r="95" spans="1:29" ht="9.75" hidden="1" customHeight="1" x14ac:dyDescent="0.3">
      <c r="A95" s="99">
        <v>46236</v>
      </c>
      <c r="B95" s="59">
        <v>8138122</v>
      </c>
      <c r="C95" s="60" t="s">
        <v>20</v>
      </c>
      <c r="D95" s="60" t="s">
        <v>232</v>
      </c>
      <c r="E95" s="61">
        <v>0.95833333333333337</v>
      </c>
      <c r="F95" s="60" t="s">
        <v>21</v>
      </c>
      <c r="G95" s="71" t="s">
        <v>13</v>
      </c>
      <c r="H95" s="62">
        <v>4.8611111111111112E-3</v>
      </c>
      <c r="I95" s="113" t="str">
        <f t="shared" si="25"/>
        <v>02-08-2026T00:07:00</v>
      </c>
      <c r="J95" s="62">
        <v>0.25069444444444444</v>
      </c>
      <c r="K95" s="62"/>
      <c r="L95" s="63">
        <f t="shared" si="27"/>
        <v>0.24583333333333332</v>
      </c>
      <c r="M95" s="64">
        <v>0.25</v>
      </c>
      <c r="N95" s="65" t="str">
        <f t="shared" si="28"/>
        <v>00:06:00</v>
      </c>
      <c r="O95" s="66"/>
      <c r="P95" s="124"/>
      <c r="Q95" s="67"/>
      <c r="R95" s="68"/>
      <c r="S95" s="68"/>
      <c r="T95" s="69">
        <f t="shared" si="29"/>
        <v>0</v>
      </c>
      <c r="U95" s="61"/>
      <c r="V95" s="83">
        <v>0</v>
      </c>
      <c r="W95" s="61">
        <f t="shared" si="30"/>
        <v>0</v>
      </c>
      <c r="X95" s="171">
        <v>46236.004861111112</v>
      </c>
      <c r="Y95" s="171">
        <v>46236.250694444447</v>
      </c>
      <c r="Z95" s="168">
        <f t="shared" si="21"/>
        <v>0.24583333333430346</v>
      </c>
      <c r="AA95" s="169">
        <f t="shared" si="22"/>
        <v>0.25</v>
      </c>
      <c r="AB95" s="170" t="str">
        <f t="shared" si="23"/>
        <v>00:06:00</v>
      </c>
      <c r="AC95" s="170" t="b">
        <f t="shared" si="24"/>
        <v>1</v>
      </c>
    </row>
    <row r="96" spans="1:29" ht="9.75" hidden="1" customHeight="1" x14ac:dyDescent="0.3">
      <c r="A96" s="99">
        <v>46236</v>
      </c>
      <c r="B96" s="59">
        <v>8138531</v>
      </c>
      <c r="C96" s="60" t="s">
        <v>87</v>
      </c>
      <c r="D96" s="60" t="s">
        <v>367</v>
      </c>
      <c r="E96" s="61" t="s">
        <v>184</v>
      </c>
      <c r="F96" s="60" t="s">
        <v>13</v>
      </c>
      <c r="G96" s="71" t="s">
        <v>28</v>
      </c>
      <c r="H96" s="62">
        <v>0.19097222222222221</v>
      </c>
      <c r="I96" s="113" t="str">
        <f t="shared" si="25"/>
        <v>02-08-2026T04:35:00</v>
      </c>
      <c r="J96" s="62">
        <v>0.43194444444444446</v>
      </c>
      <c r="K96" s="62"/>
      <c r="L96" s="63">
        <f t="shared" si="27"/>
        <v>0.24097222222222225</v>
      </c>
      <c r="M96" s="64">
        <v>0.25</v>
      </c>
      <c r="N96" s="65" t="str">
        <f t="shared" si="28"/>
        <v>00:13:00</v>
      </c>
      <c r="O96" s="66"/>
      <c r="P96" s="124" t="s">
        <v>184</v>
      </c>
      <c r="Q96" s="67"/>
      <c r="R96" s="68"/>
      <c r="S96" s="68"/>
      <c r="T96" s="69">
        <f t="shared" si="29"/>
        <v>0</v>
      </c>
      <c r="U96" s="61"/>
      <c r="V96" s="83">
        <v>0</v>
      </c>
      <c r="W96" s="61">
        <f t="shared" si="30"/>
        <v>0</v>
      </c>
      <c r="X96" s="171">
        <v>46236.190972222219</v>
      </c>
      <c r="Y96" s="171">
        <v>46236.431944444441</v>
      </c>
      <c r="Z96" s="168">
        <f t="shared" si="21"/>
        <v>0.24097222222189885</v>
      </c>
      <c r="AA96" s="169">
        <f t="shared" si="22"/>
        <v>0.25</v>
      </c>
      <c r="AB96" s="170" t="str">
        <f t="shared" si="23"/>
        <v>00:13:00</v>
      </c>
      <c r="AC96" s="170" t="b">
        <f t="shared" si="24"/>
        <v>1</v>
      </c>
    </row>
    <row r="97" spans="1:29" ht="9.75" hidden="1" customHeight="1" x14ac:dyDescent="0.3">
      <c r="A97" s="99">
        <v>46236</v>
      </c>
      <c r="B97" s="59">
        <v>8139401</v>
      </c>
      <c r="C97" s="60" t="s">
        <v>87</v>
      </c>
      <c r="D97" s="60" t="s">
        <v>367</v>
      </c>
      <c r="E97" s="61" t="s">
        <v>184</v>
      </c>
      <c r="F97" s="60" t="s">
        <v>28</v>
      </c>
      <c r="G97" s="71" t="s">
        <v>13</v>
      </c>
      <c r="H97" s="62">
        <v>0.52152777777777781</v>
      </c>
      <c r="I97" s="113" t="str">
        <f t="shared" si="25"/>
        <v>02-08-2026T12:31:00</v>
      </c>
      <c r="J97" s="62">
        <v>0.66666666666666663</v>
      </c>
      <c r="K97" s="62"/>
      <c r="L97" s="63">
        <f t="shared" si="27"/>
        <v>0.14513888888888882</v>
      </c>
      <c r="M97" s="64">
        <v>0.16666666666666666</v>
      </c>
      <c r="N97" s="65" t="str">
        <f t="shared" si="28"/>
        <v>00:31:00</v>
      </c>
      <c r="O97" s="66"/>
      <c r="P97" s="124" t="s">
        <v>184</v>
      </c>
      <c r="Q97" s="67"/>
      <c r="R97" s="68"/>
      <c r="S97" s="68"/>
      <c r="T97" s="69">
        <f t="shared" si="29"/>
        <v>0</v>
      </c>
      <c r="U97" s="61"/>
      <c r="V97" s="83">
        <v>0</v>
      </c>
      <c r="W97" s="61">
        <f t="shared" si="30"/>
        <v>0</v>
      </c>
      <c r="X97" s="171">
        <v>46236.521527777775</v>
      </c>
      <c r="Y97" s="171">
        <v>46236.666666666664</v>
      </c>
      <c r="Z97" s="168">
        <f t="shared" si="21"/>
        <v>0.14513888888905058</v>
      </c>
      <c r="AA97" s="169">
        <f t="shared" si="22"/>
        <v>0.16666666666666666</v>
      </c>
      <c r="AB97" s="170" t="str">
        <f t="shared" si="23"/>
        <v>00:31:00</v>
      </c>
      <c r="AC97" s="170" t="b">
        <f t="shared" si="24"/>
        <v>1</v>
      </c>
    </row>
    <row r="98" spans="1:29" ht="9.75" hidden="1" customHeight="1" x14ac:dyDescent="0.3">
      <c r="A98" s="99">
        <v>46236</v>
      </c>
      <c r="B98" s="59">
        <v>8139155</v>
      </c>
      <c r="C98" s="60" t="s">
        <v>36</v>
      </c>
      <c r="D98" s="60" t="s">
        <v>300</v>
      </c>
      <c r="E98" s="61" t="s">
        <v>184</v>
      </c>
      <c r="F98" s="60" t="s">
        <v>15</v>
      </c>
      <c r="G98" s="71" t="s">
        <v>13</v>
      </c>
      <c r="H98" s="62">
        <v>0.43472222222222223</v>
      </c>
      <c r="I98" s="113" t="str">
        <f t="shared" si="25"/>
        <v>02-08-2026T10:26:00</v>
      </c>
      <c r="J98" s="62">
        <v>0.66180555555555554</v>
      </c>
      <c r="K98" s="62"/>
      <c r="L98" s="63">
        <f t="shared" si="27"/>
        <v>0.2270833333333333</v>
      </c>
      <c r="M98" s="64">
        <v>0.25</v>
      </c>
      <c r="N98" s="65" t="str">
        <f t="shared" si="28"/>
        <v>00:33:00</v>
      </c>
      <c r="O98" s="66"/>
      <c r="P98" s="124" t="s">
        <v>184</v>
      </c>
      <c r="Q98" s="67"/>
      <c r="R98" s="68"/>
      <c r="S98" s="68"/>
      <c r="T98" s="69">
        <f t="shared" si="29"/>
        <v>0</v>
      </c>
      <c r="U98" s="61"/>
      <c r="V98" s="83">
        <v>0</v>
      </c>
      <c r="W98" s="61">
        <f t="shared" si="30"/>
        <v>0</v>
      </c>
      <c r="X98" s="171">
        <v>46236.43472222222</v>
      </c>
      <c r="Y98" s="171">
        <v>46236.661805555559</v>
      </c>
      <c r="Z98" s="168">
        <f t="shared" si="21"/>
        <v>0.22708333333866904</v>
      </c>
      <c r="AA98" s="169">
        <f t="shared" si="22"/>
        <v>0.25</v>
      </c>
      <c r="AB98" s="170" t="str">
        <f t="shared" si="23"/>
        <v>00:33:00</v>
      </c>
      <c r="AC98" s="170" t="b">
        <f t="shared" si="24"/>
        <v>1</v>
      </c>
    </row>
    <row r="99" spans="1:29" ht="9.75" hidden="1" customHeight="1" x14ac:dyDescent="0.3">
      <c r="A99" s="99">
        <v>46236</v>
      </c>
      <c r="B99" s="59">
        <v>8139080</v>
      </c>
      <c r="C99" s="60" t="s">
        <v>100</v>
      </c>
      <c r="D99" s="60" t="s">
        <v>391</v>
      </c>
      <c r="E99" s="61" t="s">
        <v>184</v>
      </c>
      <c r="F99" s="60" t="s">
        <v>376</v>
      </c>
      <c r="G99" s="71" t="s">
        <v>13</v>
      </c>
      <c r="H99" s="62">
        <v>46236.382638888892</v>
      </c>
      <c r="I99" s="113" t="str">
        <f t="shared" si="25"/>
        <v>02-08-2026T09:11:00</v>
      </c>
      <c r="J99" s="62">
        <v>46238.199305555558</v>
      </c>
      <c r="K99" s="62"/>
      <c r="L99" s="63">
        <f t="shared" si="27"/>
        <v>1.8166666666656965</v>
      </c>
      <c r="M99" s="64">
        <v>1.875</v>
      </c>
      <c r="N99" s="65" t="str">
        <f t="shared" si="28"/>
        <v>01:24:00</v>
      </c>
      <c r="O99" s="66"/>
      <c r="P99" s="124" t="s">
        <v>184</v>
      </c>
      <c r="Q99" s="67" t="s">
        <v>13</v>
      </c>
      <c r="R99" s="68" t="s">
        <v>372</v>
      </c>
      <c r="S99" s="68" t="s">
        <v>372</v>
      </c>
      <c r="T99" s="69" t="e">
        <f t="shared" si="29"/>
        <v>#VALUE!</v>
      </c>
      <c r="U99" s="61"/>
      <c r="V99" s="83" t="s">
        <v>319</v>
      </c>
      <c r="W99" s="61" t="e">
        <f t="shared" si="30"/>
        <v>#VALUE!</v>
      </c>
      <c r="X99" s="171">
        <v>46236.382638888892</v>
      </c>
      <c r="Y99" s="171">
        <v>46238.199305555558</v>
      </c>
      <c r="Z99" s="168">
        <f t="shared" si="21"/>
        <v>1.8166666666656965</v>
      </c>
      <c r="AA99" s="169">
        <f t="shared" si="22"/>
        <v>1.875</v>
      </c>
      <c r="AB99" s="170" t="str">
        <f t="shared" si="23"/>
        <v>01:24:00</v>
      </c>
      <c r="AC99" s="170" t="b">
        <f t="shared" si="24"/>
        <v>1</v>
      </c>
    </row>
    <row r="100" spans="1:29" ht="9.75" hidden="1" customHeight="1" x14ac:dyDescent="0.3">
      <c r="A100" s="99">
        <v>46237</v>
      </c>
      <c r="B100" s="59">
        <v>8141311</v>
      </c>
      <c r="C100" s="60" t="s">
        <v>53</v>
      </c>
      <c r="D100" s="60" t="s">
        <v>298</v>
      </c>
      <c r="E100" s="61">
        <v>8.3333333333333329E-2</v>
      </c>
      <c r="F100" s="60" t="s">
        <v>13</v>
      </c>
      <c r="G100" s="71" t="s">
        <v>19</v>
      </c>
      <c r="H100" s="62">
        <v>0.23125000000000001</v>
      </c>
      <c r="I100" s="113" t="str">
        <f t="shared" si="25"/>
        <v>03-08-2026T05:33:00</v>
      </c>
      <c r="J100" s="62">
        <v>0.64652777777777781</v>
      </c>
      <c r="K100" s="62"/>
      <c r="L100" s="63">
        <f t="shared" si="27"/>
        <v>0.4152777777777778</v>
      </c>
      <c r="M100" s="64">
        <v>0.41666666666666669</v>
      </c>
      <c r="N100" s="65" t="str">
        <f t="shared" si="28"/>
        <v>00:02:00</v>
      </c>
      <c r="O100" s="66"/>
      <c r="P100" s="126" t="s">
        <v>420</v>
      </c>
      <c r="Q100" s="67" t="s">
        <v>229</v>
      </c>
      <c r="R100" s="68">
        <v>46237.520833333336</v>
      </c>
      <c r="S100" s="68">
        <v>46237.534722222219</v>
      </c>
      <c r="T100" s="69">
        <f t="shared" si="29"/>
        <v>1.3888888883229811E-2</v>
      </c>
      <c r="U100" s="61"/>
      <c r="V100" s="83">
        <v>6.25E-2</v>
      </c>
      <c r="W100" s="61">
        <f t="shared" si="30"/>
        <v>-4.8611111116770189E-2</v>
      </c>
      <c r="X100" s="171">
        <v>46237.231249999997</v>
      </c>
      <c r="Y100" s="171">
        <v>46237.646527777775</v>
      </c>
      <c r="Z100" s="168">
        <f t="shared" si="21"/>
        <v>0.41527777777810115</v>
      </c>
      <c r="AA100" s="169">
        <f t="shared" si="22"/>
        <v>0.41666666666666669</v>
      </c>
      <c r="AB100" s="170" t="str">
        <f t="shared" si="23"/>
        <v>00:02:00</v>
      </c>
      <c r="AC100" s="170" t="b">
        <f t="shared" si="24"/>
        <v>1</v>
      </c>
    </row>
    <row r="101" spans="1:29" ht="9.75" hidden="1" customHeight="1" x14ac:dyDescent="0.3">
      <c r="A101" s="99">
        <v>46237</v>
      </c>
      <c r="B101" s="59">
        <v>8141435</v>
      </c>
      <c r="C101" s="60" t="s">
        <v>82</v>
      </c>
      <c r="D101" s="60" t="s">
        <v>333</v>
      </c>
      <c r="E101" s="61">
        <v>6.25E-2</v>
      </c>
      <c r="F101" s="60" t="s">
        <v>13</v>
      </c>
      <c r="G101" s="71" t="s">
        <v>26</v>
      </c>
      <c r="H101" s="62">
        <v>0.25763888888888886</v>
      </c>
      <c r="I101" s="113" t="str">
        <f t="shared" si="25"/>
        <v>03-08-2026T06:11:00</v>
      </c>
      <c r="J101" s="62">
        <v>0.65416666666666667</v>
      </c>
      <c r="K101" s="62"/>
      <c r="L101" s="63">
        <f t="shared" si="27"/>
        <v>0.39652777777777781</v>
      </c>
      <c r="M101" s="64">
        <v>0.41666666666666669</v>
      </c>
      <c r="N101" s="65" t="str">
        <f t="shared" si="28"/>
        <v>00:29:00</v>
      </c>
      <c r="O101" s="66"/>
      <c r="P101" s="124" t="s">
        <v>446</v>
      </c>
      <c r="Q101" s="67" t="s">
        <v>312</v>
      </c>
      <c r="R101" s="68">
        <v>46237.4375</v>
      </c>
      <c r="S101" s="68">
        <v>46237.497916666667</v>
      </c>
      <c r="T101" s="69">
        <f t="shared" si="29"/>
        <v>6.0416666667151731E-2</v>
      </c>
      <c r="U101" s="61"/>
      <c r="V101" s="83">
        <v>4.1666666666666664E-2</v>
      </c>
      <c r="W101" s="61">
        <f t="shared" si="30"/>
        <v>1.8750000000485066E-2</v>
      </c>
      <c r="X101" s="171">
        <v>46237.257638888892</v>
      </c>
      <c r="Y101" s="171">
        <v>46237.654166666667</v>
      </c>
      <c r="Z101" s="168">
        <f t="shared" si="21"/>
        <v>0.39652777777519077</v>
      </c>
      <c r="AA101" s="169">
        <f t="shared" si="22"/>
        <v>0.41666666666666669</v>
      </c>
      <c r="AB101" s="170" t="str">
        <f t="shared" si="23"/>
        <v>00:29:00</v>
      </c>
      <c r="AC101" s="170" t="b">
        <f t="shared" si="24"/>
        <v>1</v>
      </c>
    </row>
    <row r="102" spans="1:29" ht="9.75" hidden="1" customHeight="1" x14ac:dyDescent="0.3">
      <c r="A102" s="99">
        <v>46237</v>
      </c>
      <c r="B102" s="59">
        <v>8140838</v>
      </c>
      <c r="C102" s="60" t="s">
        <v>29</v>
      </c>
      <c r="D102" s="60" t="s">
        <v>373</v>
      </c>
      <c r="E102" s="61">
        <v>8.3333333333333329E-2</v>
      </c>
      <c r="F102" s="60" t="s">
        <v>15</v>
      </c>
      <c r="G102" s="71" t="s">
        <v>17</v>
      </c>
      <c r="H102" s="62">
        <v>8.1944444444444445E-2</v>
      </c>
      <c r="I102" s="113" t="str">
        <f t="shared" si="25"/>
        <v>03-08-2026T01:58:00</v>
      </c>
      <c r="J102" s="62">
        <v>0.49305555555555558</v>
      </c>
      <c r="K102" s="62"/>
      <c r="L102" s="63">
        <f t="shared" si="27"/>
        <v>0.41111111111111115</v>
      </c>
      <c r="M102" s="64">
        <v>0.41666666666666669</v>
      </c>
      <c r="N102" s="65" t="str">
        <f t="shared" si="28"/>
        <v>00:08:00</v>
      </c>
      <c r="O102" s="66"/>
      <c r="P102" s="124"/>
      <c r="Q102" s="67"/>
      <c r="R102" s="68"/>
      <c r="S102" s="68"/>
      <c r="T102" s="69">
        <f t="shared" si="29"/>
        <v>0</v>
      </c>
      <c r="U102" s="61" t="s">
        <v>234</v>
      </c>
      <c r="V102" s="83">
        <v>0</v>
      </c>
      <c r="W102" s="61">
        <f t="shared" si="30"/>
        <v>0</v>
      </c>
      <c r="X102" s="171">
        <v>46237.081944444442</v>
      </c>
      <c r="Y102" s="171">
        <v>46237.493055555555</v>
      </c>
      <c r="Z102" s="168">
        <f t="shared" si="21"/>
        <v>0.41111111111240461</v>
      </c>
      <c r="AA102" s="169">
        <f t="shared" si="22"/>
        <v>0.41666666666666669</v>
      </c>
      <c r="AB102" s="170" t="str">
        <f t="shared" si="23"/>
        <v>00:08:00</v>
      </c>
      <c r="AC102" s="170" t="b">
        <f t="shared" si="24"/>
        <v>1</v>
      </c>
    </row>
    <row r="103" spans="1:29" s="128" customFormat="1" ht="9.75" hidden="1" customHeight="1" x14ac:dyDescent="0.3">
      <c r="A103" s="99">
        <v>46237</v>
      </c>
      <c r="B103" s="59">
        <v>8140961</v>
      </c>
      <c r="C103" s="60" t="s">
        <v>97</v>
      </c>
      <c r="D103" s="60" t="s">
        <v>468</v>
      </c>
      <c r="E103" s="61">
        <v>0.125</v>
      </c>
      <c r="F103" s="60" t="s">
        <v>23</v>
      </c>
      <c r="G103" s="71" t="s">
        <v>13</v>
      </c>
      <c r="H103" s="62">
        <v>46237.131249999999</v>
      </c>
      <c r="I103" s="113" t="str">
        <f t="shared" si="25"/>
        <v>03-08-2026T03:09:00</v>
      </c>
      <c r="J103" s="62">
        <v>46238.364583333336</v>
      </c>
      <c r="K103" s="62"/>
      <c r="L103" s="63">
        <f t="shared" si="27"/>
        <v>1.2333333333372138</v>
      </c>
      <c r="M103" s="64">
        <v>1.0833333333333333</v>
      </c>
      <c r="N103" s="65" t="str">
        <f t="shared" si="28"/>
        <v>-03:36:00</v>
      </c>
      <c r="O103" s="66"/>
      <c r="P103" s="126" t="s">
        <v>403</v>
      </c>
      <c r="Q103" s="67" t="s">
        <v>13</v>
      </c>
      <c r="R103" s="68">
        <v>46238.273611111108</v>
      </c>
      <c r="S103" s="68">
        <v>46238.356249999997</v>
      </c>
      <c r="T103" s="69">
        <f t="shared" si="29"/>
        <v>8.2638888889050577E-2</v>
      </c>
      <c r="U103" s="61"/>
      <c r="V103" s="83">
        <v>8.3333333333333329E-2</v>
      </c>
      <c r="W103" s="61">
        <f t="shared" si="30"/>
        <v>-6.9444444428275187E-4</v>
      </c>
      <c r="X103" s="172">
        <v>46237.131249999999</v>
      </c>
      <c r="Y103" s="172">
        <v>46238.364583333336</v>
      </c>
      <c r="Z103" s="173">
        <f t="shared" si="21"/>
        <v>1.2333333333372138</v>
      </c>
      <c r="AA103" s="174">
        <f t="shared" si="22"/>
        <v>1.0833333333333333</v>
      </c>
      <c r="AB103" s="175" t="str">
        <f t="shared" si="23"/>
        <v>-03:36:00</v>
      </c>
      <c r="AC103" s="175" t="b">
        <f t="shared" si="24"/>
        <v>1</v>
      </c>
    </row>
    <row r="104" spans="1:29" ht="9.75" hidden="1" customHeight="1" x14ac:dyDescent="0.3">
      <c r="A104" s="99">
        <v>46237</v>
      </c>
      <c r="B104" s="59">
        <v>8140950</v>
      </c>
      <c r="C104" s="60" t="s">
        <v>87</v>
      </c>
      <c r="D104" s="60" t="s">
        <v>367</v>
      </c>
      <c r="E104" s="61">
        <v>0.125</v>
      </c>
      <c r="F104" s="60" t="s">
        <v>13</v>
      </c>
      <c r="G104" s="71" t="s">
        <v>284</v>
      </c>
      <c r="H104" s="62">
        <v>0.12916666666666668</v>
      </c>
      <c r="I104" s="113" t="str">
        <f t="shared" si="25"/>
        <v>03-08-2026T03:06:00</v>
      </c>
      <c r="J104" s="62">
        <v>0.48194444444444445</v>
      </c>
      <c r="K104" s="62"/>
      <c r="L104" s="63">
        <f t="shared" si="27"/>
        <v>0.35277777777777775</v>
      </c>
      <c r="M104" s="64">
        <v>0.35416666666666669</v>
      </c>
      <c r="N104" s="65" t="str">
        <f t="shared" si="28"/>
        <v>00:02:00</v>
      </c>
      <c r="O104" s="66"/>
      <c r="P104" s="124"/>
      <c r="Q104" s="67" t="s">
        <v>174</v>
      </c>
      <c r="R104" s="68">
        <v>46237.385416666664</v>
      </c>
      <c r="S104" s="68">
        <v>46237.436805555553</v>
      </c>
      <c r="T104" s="69">
        <f t="shared" si="29"/>
        <v>5.1388888889050577E-2</v>
      </c>
      <c r="U104" s="61" t="s">
        <v>234</v>
      </c>
      <c r="V104" s="83">
        <v>6.25E-2</v>
      </c>
      <c r="W104" s="61">
        <f t="shared" si="30"/>
        <v>-1.1111111110949423E-2</v>
      </c>
      <c r="X104" s="171">
        <v>46237.129166666666</v>
      </c>
      <c r="Y104" s="171">
        <v>46237.481944444444</v>
      </c>
      <c r="Z104" s="168">
        <f t="shared" si="21"/>
        <v>0.35277777777810115</v>
      </c>
      <c r="AA104" s="169">
        <f t="shared" si="22"/>
        <v>0.35416666666666669</v>
      </c>
      <c r="AB104" s="170" t="str">
        <f t="shared" si="23"/>
        <v>00:02:00</v>
      </c>
      <c r="AC104" s="170" t="b">
        <f t="shared" si="24"/>
        <v>1</v>
      </c>
    </row>
    <row r="105" spans="1:29" ht="9.75" hidden="1" customHeight="1" x14ac:dyDescent="0.3">
      <c r="A105" s="99">
        <v>46237</v>
      </c>
      <c r="B105" s="59">
        <v>8140982</v>
      </c>
      <c r="C105" s="60" t="s">
        <v>57</v>
      </c>
      <c r="D105" s="60" t="s">
        <v>370</v>
      </c>
      <c r="E105" s="61">
        <v>0.125</v>
      </c>
      <c r="F105" s="60" t="s">
        <v>24</v>
      </c>
      <c r="G105" s="71" t="s">
        <v>13</v>
      </c>
      <c r="H105" s="62">
        <v>0.14305555555555555</v>
      </c>
      <c r="I105" s="113" t="str">
        <f t="shared" si="25"/>
        <v>03-08-2026T03:26:00</v>
      </c>
      <c r="J105" s="62">
        <v>0.21875</v>
      </c>
      <c r="K105" s="62"/>
      <c r="L105" s="63">
        <f t="shared" si="27"/>
        <v>7.5694444444444453E-2</v>
      </c>
      <c r="M105" s="64">
        <v>8.3333333333333329E-2</v>
      </c>
      <c r="N105" s="65" t="str">
        <f t="shared" si="28"/>
        <v>00:11:00</v>
      </c>
      <c r="O105" s="66"/>
      <c r="P105" s="124"/>
      <c r="Q105" s="67"/>
      <c r="R105" s="68"/>
      <c r="S105" s="68"/>
      <c r="T105" s="69">
        <f t="shared" si="29"/>
        <v>0</v>
      </c>
      <c r="U105" s="61" t="s">
        <v>234</v>
      </c>
      <c r="V105" s="83">
        <v>0</v>
      </c>
      <c r="W105" s="61">
        <f t="shared" si="30"/>
        <v>0</v>
      </c>
      <c r="X105" s="171">
        <v>46237.143055555556</v>
      </c>
      <c r="Y105" s="171">
        <v>46237.21875</v>
      </c>
      <c r="Z105" s="168">
        <f t="shared" si="21"/>
        <v>7.5694444443797693E-2</v>
      </c>
      <c r="AA105" s="169">
        <f t="shared" si="22"/>
        <v>8.3333333333333329E-2</v>
      </c>
      <c r="AB105" s="170" t="str">
        <f t="shared" si="23"/>
        <v>00:11:00</v>
      </c>
      <c r="AC105" s="170" t="b">
        <f t="shared" si="24"/>
        <v>1</v>
      </c>
    </row>
    <row r="106" spans="1:29" ht="9.75" hidden="1" customHeight="1" x14ac:dyDescent="0.3">
      <c r="A106" s="99">
        <v>46237</v>
      </c>
      <c r="B106" s="59">
        <v>8141849</v>
      </c>
      <c r="C106" s="60" t="s">
        <v>41</v>
      </c>
      <c r="D106" s="60" t="s">
        <v>299</v>
      </c>
      <c r="E106" s="61">
        <v>0.16666666666666666</v>
      </c>
      <c r="F106" s="60" t="s">
        <v>13</v>
      </c>
      <c r="G106" s="71" t="s">
        <v>24</v>
      </c>
      <c r="H106" s="62">
        <v>0.45694444444444443</v>
      </c>
      <c r="I106" s="113" t="str">
        <f t="shared" si="25"/>
        <v>03-08-2026T10:58:00</v>
      </c>
      <c r="J106" s="62">
        <v>0.52430555555555558</v>
      </c>
      <c r="K106" s="62"/>
      <c r="L106" s="63">
        <f t="shared" si="27"/>
        <v>6.7361111111111149E-2</v>
      </c>
      <c r="M106" s="64">
        <v>8.3333333333333329E-2</v>
      </c>
      <c r="N106" s="65" t="str">
        <f t="shared" si="28"/>
        <v>00:23:00</v>
      </c>
      <c r="O106" s="66"/>
      <c r="P106" s="124"/>
      <c r="Q106" s="67"/>
      <c r="R106" s="68"/>
      <c r="S106" s="68"/>
      <c r="T106" s="69">
        <f t="shared" si="29"/>
        <v>0</v>
      </c>
      <c r="U106" s="61" t="s">
        <v>234</v>
      </c>
      <c r="V106" s="83">
        <v>0</v>
      </c>
      <c r="W106" s="61">
        <f t="shared" si="30"/>
        <v>0</v>
      </c>
      <c r="X106" s="171">
        <v>46237.456944444442</v>
      </c>
      <c r="Y106" s="171">
        <v>46237.524305555555</v>
      </c>
      <c r="Z106" s="168">
        <f t="shared" si="21"/>
        <v>6.7361111112404615E-2</v>
      </c>
      <c r="AA106" s="169">
        <f t="shared" si="22"/>
        <v>8.3333333333333329E-2</v>
      </c>
      <c r="AB106" s="170" t="str">
        <f t="shared" si="23"/>
        <v>00:23:00</v>
      </c>
      <c r="AC106" s="170" t="b">
        <f t="shared" si="24"/>
        <v>1</v>
      </c>
    </row>
    <row r="107" spans="1:29" ht="9.75" hidden="1" customHeight="1" x14ac:dyDescent="0.3">
      <c r="A107" s="149">
        <v>46236</v>
      </c>
      <c r="B107" s="150" t="s">
        <v>687</v>
      </c>
      <c r="C107" s="151" t="s">
        <v>27</v>
      </c>
      <c r="D107" s="151" t="s">
        <v>378</v>
      </c>
      <c r="E107" s="152">
        <v>0</v>
      </c>
      <c r="F107" s="151"/>
      <c r="G107" s="153"/>
      <c r="H107" s="154">
        <v>0</v>
      </c>
      <c r="I107" s="113" t="str">
        <f t="shared" si="25"/>
        <v>02-08-2026T00:00:00</v>
      </c>
      <c r="J107" s="154">
        <v>0</v>
      </c>
      <c r="K107" s="154"/>
      <c r="L107" s="155">
        <v>0</v>
      </c>
      <c r="M107" s="160">
        <v>0</v>
      </c>
      <c r="N107" s="156">
        <v>0</v>
      </c>
      <c r="O107" s="157"/>
      <c r="P107" s="158" t="s">
        <v>480</v>
      </c>
      <c r="Q107" s="159" t="s">
        <v>480</v>
      </c>
      <c r="R107" s="148" t="s">
        <v>480</v>
      </c>
      <c r="S107" s="148" t="s">
        <v>480</v>
      </c>
      <c r="T107" s="161" t="s">
        <v>480</v>
      </c>
      <c r="U107" s="152" t="s">
        <v>480</v>
      </c>
      <c r="V107" s="146" t="s">
        <v>480</v>
      </c>
      <c r="W107" s="152" t="s">
        <v>480</v>
      </c>
      <c r="X107" s="171" t="s">
        <v>668</v>
      </c>
      <c r="Y107" s="171" t="s">
        <v>668</v>
      </c>
      <c r="Z107" s="168" t="e">
        <f t="shared" si="21"/>
        <v>#VALUE!</v>
      </c>
      <c r="AA107" s="169">
        <f t="shared" si="22"/>
        <v>0</v>
      </c>
      <c r="AB107" s="170" t="e">
        <f t="shared" si="23"/>
        <v>#VALUE!</v>
      </c>
      <c r="AC107" s="170" t="e">
        <f t="shared" si="24"/>
        <v>#VALUE!</v>
      </c>
    </row>
    <row r="108" spans="1:29" ht="9.75" hidden="1" customHeight="1" x14ac:dyDescent="0.3">
      <c r="A108" s="99">
        <v>46237</v>
      </c>
      <c r="B108" s="59">
        <v>8141088</v>
      </c>
      <c r="C108" s="60" t="s">
        <v>27</v>
      </c>
      <c r="D108" s="60" t="s">
        <v>378</v>
      </c>
      <c r="E108" s="61">
        <v>0.16666666666666666</v>
      </c>
      <c r="F108" s="60" t="s">
        <v>13</v>
      </c>
      <c r="G108" s="71" t="s">
        <v>28</v>
      </c>
      <c r="H108" s="62">
        <v>0.17083333333333334</v>
      </c>
      <c r="I108" s="113" t="str">
        <f t="shared" si="25"/>
        <v>03-08-2026T04:06:00</v>
      </c>
      <c r="J108" s="62">
        <v>0.33333333333333331</v>
      </c>
      <c r="K108" s="62"/>
      <c r="L108" s="63">
        <f t="shared" ref="L108:L151" si="31">J108-H108</f>
        <v>0.16249999999999998</v>
      </c>
      <c r="M108" s="64">
        <v>0.16666666666666666</v>
      </c>
      <c r="N108" s="65" t="str">
        <f t="shared" ref="N108:N151" si="32">IF(M108-L108&gt;0,TEXT(M108-L108,"HH:MM:SS"),TEXT(ABS(M108-L108),"-HH:MM:SS"))</f>
        <v>00:06:00</v>
      </c>
      <c r="O108" s="66"/>
      <c r="P108" s="124"/>
      <c r="Q108" s="67"/>
      <c r="R108" s="68"/>
      <c r="S108" s="68"/>
      <c r="T108" s="69">
        <f t="shared" ref="T108:T151" si="33">S108-R108</f>
        <v>0</v>
      </c>
      <c r="U108" s="61" t="s">
        <v>234</v>
      </c>
      <c r="V108" s="83">
        <v>0</v>
      </c>
      <c r="W108" s="61">
        <f t="shared" ref="W108:W151" si="34">T108-V108</f>
        <v>0</v>
      </c>
      <c r="X108" s="171">
        <v>46237.17083333333</v>
      </c>
      <c r="Y108" s="171">
        <v>46237.333333333336</v>
      </c>
      <c r="Z108" s="168">
        <f t="shared" si="21"/>
        <v>0.16250000000582077</v>
      </c>
      <c r="AA108" s="169">
        <f t="shared" si="22"/>
        <v>0.16666666666666666</v>
      </c>
      <c r="AB108" s="170" t="str">
        <f t="shared" si="23"/>
        <v>00:06:00</v>
      </c>
      <c r="AC108" s="170" t="b">
        <f t="shared" si="24"/>
        <v>1</v>
      </c>
    </row>
    <row r="109" spans="1:29" ht="9.75" hidden="1" customHeight="1" x14ac:dyDescent="0.3">
      <c r="A109" s="99">
        <v>46237</v>
      </c>
      <c r="B109" s="59">
        <v>8141062</v>
      </c>
      <c r="C109" s="60" t="s">
        <v>16</v>
      </c>
      <c r="D109" s="60" t="s">
        <v>285</v>
      </c>
      <c r="E109" s="61">
        <v>0.16666666666666666</v>
      </c>
      <c r="F109" s="60" t="s">
        <v>17</v>
      </c>
      <c r="G109" s="71" t="s">
        <v>15</v>
      </c>
      <c r="H109" s="62">
        <v>0.16666666666666666</v>
      </c>
      <c r="I109" s="113" t="str">
        <f t="shared" si="25"/>
        <v>03-08-2026T04:00:00</v>
      </c>
      <c r="J109" s="62">
        <v>0.65555555555555556</v>
      </c>
      <c r="K109" s="62"/>
      <c r="L109" s="63">
        <f t="shared" si="31"/>
        <v>0.48888888888888893</v>
      </c>
      <c r="M109" s="64">
        <v>0.5</v>
      </c>
      <c r="N109" s="65" t="str">
        <f t="shared" si="32"/>
        <v>00:16:00</v>
      </c>
      <c r="O109" s="66"/>
      <c r="P109" s="124"/>
      <c r="Q109" s="67" t="s">
        <v>98</v>
      </c>
      <c r="R109" s="68">
        <v>0.375</v>
      </c>
      <c r="S109" s="68">
        <v>0.4548611111111111</v>
      </c>
      <c r="T109" s="69">
        <f t="shared" si="33"/>
        <v>7.9861111111111105E-2</v>
      </c>
      <c r="U109" s="61" t="s">
        <v>234</v>
      </c>
      <c r="V109" s="83">
        <v>8.3333333333333329E-2</v>
      </c>
      <c r="W109" s="61">
        <f t="shared" si="34"/>
        <v>-3.4722222222222238E-3</v>
      </c>
      <c r="X109" s="171">
        <v>46237.166666666664</v>
      </c>
      <c r="Y109" s="171">
        <v>46237.655555555553</v>
      </c>
      <c r="Z109" s="168">
        <f t="shared" si="21"/>
        <v>0.48888888888905058</v>
      </c>
      <c r="AA109" s="169">
        <f t="shared" si="22"/>
        <v>0.5</v>
      </c>
      <c r="AB109" s="170" t="str">
        <f t="shared" si="23"/>
        <v>00:16:00</v>
      </c>
      <c r="AC109" s="170" t="b">
        <f t="shared" si="24"/>
        <v>1</v>
      </c>
    </row>
    <row r="110" spans="1:29" ht="9.75" hidden="1" customHeight="1" x14ac:dyDescent="0.3">
      <c r="A110" s="98">
        <v>46237</v>
      </c>
      <c r="B110" s="48">
        <v>8141552</v>
      </c>
      <c r="C110" s="49" t="s">
        <v>12</v>
      </c>
      <c r="D110" s="49" t="s">
        <v>379</v>
      </c>
      <c r="E110" s="50">
        <v>0.16666666666666666</v>
      </c>
      <c r="F110" s="49" t="s">
        <v>13</v>
      </c>
      <c r="G110" s="70" t="s">
        <v>14</v>
      </c>
      <c r="H110" s="51">
        <v>0.2986111111111111</v>
      </c>
      <c r="I110" s="113" t="str">
        <f t="shared" si="25"/>
        <v>03-08-2026T07:10:00</v>
      </c>
      <c r="J110" s="51">
        <v>0.91597222222222219</v>
      </c>
      <c r="K110" s="51"/>
      <c r="L110" s="52">
        <f t="shared" si="31"/>
        <v>0.61736111111111103</v>
      </c>
      <c r="M110" s="53">
        <v>0.54166666666666663</v>
      </c>
      <c r="N110" s="54" t="str">
        <f t="shared" si="32"/>
        <v>-01:49:00</v>
      </c>
      <c r="O110" s="55">
        <v>400</v>
      </c>
      <c r="P110" s="125" t="s">
        <v>421</v>
      </c>
      <c r="Q110" s="56"/>
      <c r="R110" s="57"/>
      <c r="S110" s="57"/>
      <c r="T110" s="58">
        <f t="shared" si="33"/>
        <v>0</v>
      </c>
      <c r="U110" s="50"/>
      <c r="V110" s="74">
        <v>0</v>
      </c>
      <c r="W110" s="50">
        <f t="shared" si="34"/>
        <v>0</v>
      </c>
      <c r="X110" s="171">
        <v>46237.298611111109</v>
      </c>
      <c r="Y110" s="171">
        <v>46237.915972222225</v>
      </c>
      <c r="Z110" s="168">
        <f t="shared" si="21"/>
        <v>0.617361111115315</v>
      </c>
      <c r="AA110" s="169">
        <f t="shared" si="22"/>
        <v>0.54166666666666663</v>
      </c>
      <c r="AB110" s="170" t="str">
        <f t="shared" si="23"/>
        <v>-01:49:00</v>
      </c>
      <c r="AC110" s="170" t="b">
        <f t="shared" si="24"/>
        <v>1</v>
      </c>
    </row>
    <row r="111" spans="1:29" ht="9.75" hidden="1" customHeight="1" x14ac:dyDescent="0.3">
      <c r="A111" s="99">
        <v>46237</v>
      </c>
      <c r="B111" s="59">
        <v>8141242</v>
      </c>
      <c r="C111" s="60" t="s">
        <v>32</v>
      </c>
      <c r="D111" s="60" t="s">
        <v>476</v>
      </c>
      <c r="E111" s="61">
        <v>0.20833333333333334</v>
      </c>
      <c r="F111" s="60" t="s">
        <v>13</v>
      </c>
      <c r="G111" s="71" t="s">
        <v>287</v>
      </c>
      <c r="H111" s="62">
        <v>0.21458333333333332</v>
      </c>
      <c r="I111" s="113" t="str">
        <f t="shared" si="25"/>
        <v>03-08-2026T05:09:00</v>
      </c>
      <c r="J111" s="62">
        <v>0.35347222222222224</v>
      </c>
      <c r="K111" s="62"/>
      <c r="L111" s="63">
        <f t="shared" si="31"/>
        <v>0.13888888888888892</v>
      </c>
      <c r="M111" s="64">
        <v>0.14583333333333334</v>
      </c>
      <c r="N111" s="65" t="str">
        <f t="shared" si="32"/>
        <v>00:10:00</v>
      </c>
      <c r="O111" s="66"/>
      <c r="P111" s="124"/>
      <c r="Q111" s="67"/>
      <c r="R111" s="68"/>
      <c r="S111" s="68"/>
      <c r="T111" s="69">
        <f t="shared" si="33"/>
        <v>0</v>
      </c>
      <c r="U111" s="61" t="s">
        <v>234</v>
      </c>
      <c r="V111" s="83">
        <v>0</v>
      </c>
      <c r="W111" s="61">
        <f t="shared" si="34"/>
        <v>0</v>
      </c>
      <c r="X111" s="171">
        <v>46237.214583333334</v>
      </c>
      <c r="Y111" s="171">
        <v>46237.353472222225</v>
      </c>
      <c r="Z111" s="168">
        <f t="shared" si="21"/>
        <v>0.13888888889050577</v>
      </c>
      <c r="AA111" s="169">
        <f t="shared" si="22"/>
        <v>0.14583333333333334</v>
      </c>
      <c r="AB111" s="170" t="str">
        <f t="shared" si="23"/>
        <v>00:10:00</v>
      </c>
      <c r="AC111" s="170" t="b">
        <f t="shared" si="24"/>
        <v>1</v>
      </c>
    </row>
    <row r="112" spans="1:29" ht="9.75" hidden="1" customHeight="1" x14ac:dyDescent="0.3">
      <c r="A112" s="98">
        <v>46237</v>
      </c>
      <c r="B112" s="48">
        <v>8141677</v>
      </c>
      <c r="C112" s="49" t="s">
        <v>25</v>
      </c>
      <c r="D112" s="49" t="s">
        <v>380</v>
      </c>
      <c r="E112" s="50">
        <v>0.20833333333333334</v>
      </c>
      <c r="F112" s="49" t="s">
        <v>26</v>
      </c>
      <c r="G112" s="70" t="s">
        <v>13</v>
      </c>
      <c r="H112" s="51">
        <v>46237.361805555556</v>
      </c>
      <c r="I112" s="113" t="str">
        <f t="shared" si="25"/>
        <v>03-08-2026T08:41:00</v>
      </c>
      <c r="J112" s="51">
        <v>46238.102083333331</v>
      </c>
      <c r="K112" s="51"/>
      <c r="L112" s="52">
        <f t="shared" si="31"/>
        <v>0.74027777777519077</v>
      </c>
      <c r="M112" s="53">
        <v>0.45833333333333331</v>
      </c>
      <c r="N112" s="54" t="str">
        <f t="shared" si="32"/>
        <v>-06:46:00</v>
      </c>
      <c r="O112" s="55">
        <v>1250</v>
      </c>
      <c r="P112" s="125" t="s">
        <v>422</v>
      </c>
      <c r="Q112" s="56" t="s">
        <v>13</v>
      </c>
      <c r="R112" s="57">
        <v>46237.907638888886</v>
      </c>
      <c r="S112" s="57">
        <v>46238.095138888886</v>
      </c>
      <c r="T112" s="47">
        <f t="shared" si="33"/>
        <v>0.1875</v>
      </c>
      <c r="U112" s="50"/>
      <c r="V112" s="74">
        <v>8.3333333333333329E-2</v>
      </c>
      <c r="W112" s="50">
        <f t="shared" si="34"/>
        <v>0.10416666666666667</v>
      </c>
      <c r="X112" s="171">
        <v>46237.361805555556</v>
      </c>
      <c r="Y112" s="171">
        <v>46238.102083333331</v>
      </c>
      <c r="Z112" s="168">
        <f t="shared" si="21"/>
        <v>0.74027777777519077</v>
      </c>
      <c r="AA112" s="169">
        <f t="shared" si="22"/>
        <v>0.45833333333333331</v>
      </c>
      <c r="AB112" s="170" t="str">
        <f t="shared" si="23"/>
        <v>-06:46:00</v>
      </c>
      <c r="AC112" s="170" t="b">
        <f t="shared" si="24"/>
        <v>1</v>
      </c>
    </row>
    <row r="113" spans="1:29" ht="9.75" hidden="1" customHeight="1" x14ac:dyDescent="0.3">
      <c r="A113" s="99">
        <v>46237</v>
      </c>
      <c r="B113" s="59">
        <v>8141403</v>
      </c>
      <c r="C113" s="60" t="s">
        <v>58</v>
      </c>
      <c r="D113" s="60" t="s">
        <v>368</v>
      </c>
      <c r="E113" s="61">
        <v>0.25</v>
      </c>
      <c r="F113" s="60" t="s">
        <v>14</v>
      </c>
      <c r="G113" s="71" t="s">
        <v>13</v>
      </c>
      <c r="H113" s="62">
        <v>0.24930555555555556</v>
      </c>
      <c r="I113" s="113" t="str">
        <f t="shared" si="25"/>
        <v>03-08-2026T05:59:00</v>
      </c>
      <c r="J113" s="62">
        <v>0.7895833333333333</v>
      </c>
      <c r="K113" s="62"/>
      <c r="L113" s="63">
        <f t="shared" si="31"/>
        <v>0.54027777777777775</v>
      </c>
      <c r="M113" s="64">
        <v>0.54166666666666663</v>
      </c>
      <c r="N113" s="65" t="str">
        <f t="shared" si="32"/>
        <v>00:02:00</v>
      </c>
      <c r="O113" s="66"/>
      <c r="P113" s="124"/>
      <c r="Q113" s="67"/>
      <c r="R113" s="68"/>
      <c r="S113" s="68"/>
      <c r="T113" s="69">
        <f t="shared" si="33"/>
        <v>0</v>
      </c>
      <c r="U113" s="61"/>
      <c r="V113" s="83">
        <v>0</v>
      </c>
      <c r="W113" s="61">
        <f t="shared" si="34"/>
        <v>0</v>
      </c>
      <c r="X113" s="171">
        <v>46237.249305555553</v>
      </c>
      <c r="Y113" s="171">
        <v>46237.789583333331</v>
      </c>
      <c r="Z113" s="168">
        <f t="shared" si="21"/>
        <v>0.54027777777810115</v>
      </c>
      <c r="AA113" s="169">
        <f t="shared" si="22"/>
        <v>0.54166666666666663</v>
      </c>
      <c r="AB113" s="170" t="str">
        <f t="shared" si="23"/>
        <v>00:02:00</v>
      </c>
      <c r="AC113" s="170" t="b">
        <f t="shared" si="24"/>
        <v>1</v>
      </c>
    </row>
    <row r="114" spans="1:29" ht="9.75" hidden="1" customHeight="1" x14ac:dyDescent="0.3">
      <c r="A114" s="99">
        <v>46237</v>
      </c>
      <c r="B114" s="59">
        <v>8141421</v>
      </c>
      <c r="C114" s="60" t="s">
        <v>89</v>
      </c>
      <c r="D114" s="60" t="s">
        <v>294</v>
      </c>
      <c r="E114" s="61">
        <v>0.25</v>
      </c>
      <c r="F114" s="60" t="s">
        <v>13</v>
      </c>
      <c r="G114" s="71" t="s">
        <v>35</v>
      </c>
      <c r="H114" s="62">
        <v>0.25138888888888888</v>
      </c>
      <c r="I114" s="113" t="str">
        <f t="shared" si="25"/>
        <v>03-08-2026T06:02:00</v>
      </c>
      <c r="J114" s="62">
        <v>0.28472222222222221</v>
      </c>
      <c r="K114" s="62"/>
      <c r="L114" s="63">
        <f t="shared" si="31"/>
        <v>3.3333333333333326E-2</v>
      </c>
      <c r="M114" s="64">
        <v>4.1666666666666664E-2</v>
      </c>
      <c r="N114" s="65" t="str">
        <f t="shared" si="32"/>
        <v>00:12:00</v>
      </c>
      <c r="O114" s="66"/>
      <c r="P114" s="124"/>
      <c r="Q114" s="67"/>
      <c r="R114" s="68"/>
      <c r="S114" s="68"/>
      <c r="T114" s="69">
        <f t="shared" si="33"/>
        <v>0</v>
      </c>
      <c r="U114" s="61" t="s">
        <v>234</v>
      </c>
      <c r="V114" s="83">
        <v>0</v>
      </c>
      <c r="W114" s="61">
        <f t="shared" si="34"/>
        <v>0</v>
      </c>
      <c r="X114" s="171">
        <v>46237.251388888886</v>
      </c>
      <c r="Y114" s="171">
        <v>46237.284722222219</v>
      </c>
      <c r="Z114" s="168">
        <f t="shared" si="21"/>
        <v>3.3333333332848269E-2</v>
      </c>
      <c r="AA114" s="169">
        <f t="shared" si="22"/>
        <v>4.1666666666666664E-2</v>
      </c>
      <c r="AB114" s="170" t="str">
        <f t="shared" si="23"/>
        <v>00:12:00</v>
      </c>
      <c r="AC114" s="170" t="b">
        <f t="shared" si="24"/>
        <v>1</v>
      </c>
    </row>
    <row r="115" spans="1:29" ht="9.75" hidden="1" customHeight="1" x14ac:dyDescent="0.3">
      <c r="A115" s="98">
        <v>46237</v>
      </c>
      <c r="B115" s="48">
        <v>8141467</v>
      </c>
      <c r="C115" s="49" t="s">
        <v>83</v>
      </c>
      <c r="D115" s="49" t="s">
        <v>454</v>
      </c>
      <c r="E115" s="50">
        <v>0.27083333333333331</v>
      </c>
      <c r="F115" s="49" t="s">
        <v>14</v>
      </c>
      <c r="G115" s="70" t="s">
        <v>13</v>
      </c>
      <c r="H115" s="51">
        <v>0.26874999999999999</v>
      </c>
      <c r="I115" s="113" t="str">
        <f t="shared" si="25"/>
        <v>03-08-2026T06:27:00</v>
      </c>
      <c r="J115" s="51">
        <v>0.96180555555555558</v>
      </c>
      <c r="K115" s="51"/>
      <c r="L115" s="52">
        <f t="shared" si="31"/>
        <v>0.69305555555555554</v>
      </c>
      <c r="M115" s="53">
        <v>0.625</v>
      </c>
      <c r="N115" s="54" t="str">
        <f t="shared" si="32"/>
        <v>-01:38:00</v>
      </c>
      <c r="O115" s="55">
        <v>400</v>
      </c>
      <c r="P115" s="125" t="s">
        <v>423</v>
      </c>
      <c r="Q115" s="56" t="s">
        <v>126</v>
      </c>
      <c r="R115" s="57">
        <v>46237.375</v>
      </c>
      <c r="S115" s="57">
        <v>46237.459027777775</v>
      </c>
      <c r="T115" s="47">
        <f t="shared" si="33"/>
        <v>8.4027777775190771E-2</v>
      </c>
      <c r="U115" s="50"/>
      <c r="V115" s="74">
        <v>6.25E-2</v>
      </c>
      <c r="W115" s="50">
        <f t="shared" si="34"/>
        <v>2.1527777775190771E-2</v>
      </c>
      <c r="X115" s="171">
        <v>46237.268750000003</v>
      </c>
      <c r="Y115" s="171">
        <v>46237.961805555555</v>
      </c>
      <c r="Z115" s="168">
        <f t="shared" si="21"/>
        <v>0.69305555555183673</v>
      </c>
      <c r="AA115" s="169">
        <f t="shared" si="22"/>
        <v>0.625</v>
      </c>
      <c r="AB115" s="170" t="str">
        <f t="shared" si="23"/>
        <v>-01:38:00</v>
      </c>
      <c r="AC115" s="170" t="b">
        <f t="shared" si="24"/>
        <v>1</v>
      </c>
    </row>
    <row r="116" spans="1:29" ht="9.75" hidden="1" customHeight="1" x14ac:dyDescent="0.3">
      <c r="A116" s="99">
        <v>46237</v>
      </c>
      <c r="B116" s="59">
        <v>8141479</v>
      </c>
      <c r="C116" s="60" t="s">
        <v>37</v>
      </c>
      <c r="D116" s="60" t="s">
        <v>589</v>
      </c>
      <c r="E116" s="61">
        <v>0.27083333333333331</v>
      </c>
      <c r="F116" s="60" t="s">
        <v>14</v>
      </c>
      <c r="G116" s="71" t="s">
        <v>13</v>
      </c>
      <c r="H116" s="62">
        <v>0.27083333333333331</v>
      </c>
      <c r="I116" s="113" t="str">
        <f t="shared" si="25"/>
        <v>03-08-2026T06:30:00</v>
      </c>
      <c r="J116" s="62">
        <v>0.87777777777777777</v>
      </c>
      <c r="K116" s="62"/>
      <c r="L116" s="63">
        <f t="shared" si="31"/>
        <v>0.60694444444444451</v>
      </c>
      <c r="M116" s="64">
        <v>0.625</v>
      </c>
      <c r="N116" s="65" t="str">
        <f t="shared" si="32"/>
        <v>00:26:00</v>
      </c>
      <c r="O116" s="66"/>
      <c r="P116" s="124" t="s">
        <v>447</v>
      </c>
      <c r="Q116" s="67" t="s">
        <v>126</v>
      </c>
      <c r="R116" s="68" t="s">
        <v>372</v>
      </c>
      <c r="S116" s="68" t="s">
        <v>372</v>
      </c>
      <c r="T116" s="69" t="e">
        <f t="shared" si="33"/>
        <v>#VALUE!</v>
      </c>
      <c r="U116" s="61"/>
      <c r="V116" s="83">
        <v>6.25E-2</v>
      </c>
      <c r="W116" s="61" t="e">
        <f t="shared" si="34"/>
        <v>#VALUE!</v>
      </c>
      <c r="X116" s="171">
        <v>46237.270833333336</v>
      </c>
      <c r="Y116" s="171">
        <v>46237.87777777778</v>
      </c>
      <c r="Z116" s="168">
        <f t="shared" si="21"/>
        <v>0.60694444444379769</v>
      </c>
      <c r="AA116" s="169">
        <f t="shared" si="22"/>
        <v>0.625</v>
      </c>
      <c r="AB116" s="170" t="str">
        <f t="shared" si="23"/>
        <v>00:26:00</v>
      </c>
      <c r="AC116" s="170" t="b">
        <f t="shared" si="24"/>
        <v>1</v>
      </c>
    </row>
    <row r="117" spans="1:29" ht="9.75" hidden="1" customHeight="1" x14ac:dyDescent="0.3">
      <c r="A117" s="98">
        <v>46237</v>
      </c>
      <c r="B117" s="48">
        <v>8142758</v>
      </c>
      <c r="C117" s="49" t="s">
        <v>36</v>
      </c>
      <c r="D117" s="49" t="s">
        <v>300</v>
      </c>
      <c r="E117" s="50">
        <v>0.27083333333333331</v>
      </c>
      <c r="F117" s="49" t="s">
        <v>13</v>
      </c>
      <c r="G117" s="70" t="s">
        <v>14</v>
      </c>
      <c r="H117" s="51">
        <v>0.76736111111111116</v>
      </c>
      <c r="I117" s="113" t="str">
        <f t="shared" si="25"/>
        <v>03-08-2026T18:25:00</v>
      </c>
      <c r="J117" s="51">
        <v>46238.413888888892</v>
      </c>
      <c r="K117" s="51"/>
      <c r="L117" s="52">
        <f t="shared" si="31"/>
        <v>46237.646527777782</v>
      </c>
      <c r="M117" s="53">
        <v>0.625</v>
      </c>
      <c r="N117" s="54" t="str">
        <f t="shared" si="32"/>
        <v>-00:31:00</v>
      </c>
      <c r="O117" s="55">
        <v>250</v>
      </c>
      <c r="P117" s="125" t="s">
        <v>424</v>
      </c>
      <c r="Q117" s="56" t="s">
        <v>15</v>
      </c>
      <c r="R117" s="57">
        <v>46238.004861111112</v>
      </c>
      <c r="S117" s="57">
        <v>46238.06527777778</v>
      </c>
      <c r="T117" s="58">
        <f t="shared" si="33"/>
        <v>6.0416666667151731E-2</v>
      </c>
      <c r="U117" s="50"/>
      <c r="V117" s="74">
        <v>6.25E-2</v>
      </c>
      <c r="W117" s="50">
        <f t="shared" si="34"/>
        <v>-2.0833333328482695E-3</v>
      </c>
      <c r="X117" s="171">
        <v>46237.767361111109</v>
      </c>
      <c r="Y117" s="171">
        <v>46238.413888888892</v>
      </c>
      <c r="Z117" s="168">
        <f t="shared" si="21"/>
        <v>0.64652777778246673</v>
      </c>
      <c r="AA117" s="169">
        <f t="shared" si="22"/>
        <v>0.625</v>
      </c>
      <c r="AB117" s="170" t="str">
        <f t="shared" si="23"/>
        <v>-00:31:00</v>
      </c>
      <c r="AC117" s="170" t="b">
        <f t="shared" si="24"/>
        <v>1</v>
      </c>
    </row>
    <row r="118" spans="1:29" ht="9.75" hidden="1" customHeight="1" x14ac:dyDescent="0.3">
      <c r="A118" s="98">
        <v>46237</v>
      </c>
      <c r="B118" s="48">
        <v>8141524</v>
      </c>
      <c r="C118" s="49" t="s">
        <v>38</v>
      </c>
      <c r="D118" s="49" t="s">
        <v>289</v>
      </c>
      <c r="E118" s="50">
        <v>0.27083333333333331</v>
      </c>
      <c r="F118" s="49" t="s">
        <v>13</v>
      </c>
      <c r="G118" s="70" t="s">
        <v>14</v>
      </c>
      <c r="H118" s="51">
        <v>0.2902777777777778</v>
      </c>
      <c r="I118" s="113" t="str">
        <f t="shared" si="25"/>
        <v>03-08-2026T06:58:00</v>
      </c>
      <c r="J118" s="51">
        <v>0.91874999999999996</v>
      </c>
      <c r="K118" s="51"/>
      <c r="L118" s="52">
        <f t="shared" si="31"/>
        <v>0.6284722222222221</v>
      </c>
      <c r="M118" s="53">
        <v>0.625</v>
      </c>
      <c r="N118" s="54" t="str">
        <f t="shared" si="32"/>
        <v>-00:05:00</v>
      </c>
      <c r="O118" s="55">
        <v>250</v>
      </c>
      <c r="P118" s="125" t="s">
        <v>425</v>
      </c>
      <c r="Q118" s="56" t="s">
        <v>15</v>
      </c>
      <c r="R118" s="57">
        <v>46237.527777777781</v>
      </c>
      <c r="S118" s="57">
        <v>46237.552083333336</v>
      </c>
      <c r="T118" s="58">
        <f t="shared" si="33"/>
        <v>2.4305555554747116E-2</v>
      </c>
      <c r="U118" s="50" t="s">
        <v>234</v>
      </c>
      <c r="V118" s="74">
        <v>6.25E-2</v>
      </c>
      <c r="W118" s="50">
        <f t="shared" si="34"/>
        <v>-3.8194444445252884E-2</v>
      </c>
      <c r="X118" s="171">
        <v>46237.290277777778</v>
      </c>
      <c r="Y118" s="171">
        <v>46237.918749999997</v>
      </c>
      <c r="Z118" s="168">
        <f t="shared" si="21"/>
        <v>0.62847222221898846</v>
      </c>
      <c r="AA118" s="169">
        <f t="shared" si="22"/>
        <v>0.625</v>
      </c>
      <c r="AB118" s="170" t="str">
        <f t="shared" si="23"/>
        <v>-00:05:00</v>
      </c>
      <c r="AC118" s="170" t="b">
        <f t="shared" si="24"/>
        <v>1</v>
      </c>
    </row>
    <row r="119" spans="1:29" ht="9.75" hidden="1" customHeight="1" x14ac:dyDescent="0.3">
      <c r="A119" s="98">
        <v>46237</v>
      </c>
      <c r="B119" s="48">
        <v>8141449</v>
      </c>
      <c r="C119" s="49" t="s">
        <v>34</v>
      </c>
      <c r="D119" s="49" t="s">
        <v>381</v>
      </c>
      <c r="E119" s="50">
        <v>0.27083333333333331</v>
      </c>
      <c r="F119" s="49" t="s">
        <v>103</v>
      </c>
      <c r="G119" s="70" t="s">
        <v>13</v>
      </c>
      <c r="H119" s="51">
        <v>46237.26458333333</v>
      </c>
      <c r="I119" s="113" t="str">
        <f t="shared" si="25"/>
        <v>03-08-2026T06:21:00</v>
      </c>
      <c r="J119" s="51">
        <v>46238.086805555555</v>
      </c>
      <c r="K119" s="51"/>
      <c r="L119" s="52">
        <f t="shared" si="31"/>
        <v>0.82222222222480923</v>
      </c>
      <c r="M119" s="53">
        <v>0.70833333333333337</v>
      </c>
      <c r="N119" s="54" t="str">
        <f t="shared" si="32"/>
        <v>-02:44:00</v>
      </c>
      <c r="O119" s="55">
        <v>750</v>
      </c>
      <c r="P119" s="125" t="s">
        <v>426</v>
      </c>
      <c r="Q119" s="56" t="s">
        <v>13</v>
      </c>
      <c r="R119" s="57">
        <v>46238.007638888892</v>
      </c>
      <c r="S119" s="57">
        <v>46238.07708333333</v>
      </c>
      <c r="T119" s="58">
        <f t="shared" si="33"/>
        <v>6.9444444437976927E-2</v>
      </c>
      <c r="U119" s="50"/>
      <c r="V119" s="74">
        <v>8.3333333333333329E-2</v>
      </c>
      <c r="W119" s="50">
        <f t="shared" si="34"/>
        <v>-1.3888888895356402E-2</v>
      </c>
      <c r="X119" s="171">
        <v>46237.26458333333</v>
      </c>
      <c r="Y119" s="171">
        <v>46238.086805555555</v>
      </c>
      <c r="Z119" s="168">
        <f t="shared" si="21"/>
        <v>0.82222222222480923</v>
      </c>
      <c r="AA119" s="169">
        <f t="shared" si="22"/>
        <v>0.70833333333333337</v>
      </c>
      <c r="AB119" s="170" t="str">
        <f t="shared" si="23"/>
        <v>-02:44:00</v>
      </c>
      <c r="AC119" s="170" t="b">
        <f t="shared" si="24"/>
        <v>1</v>
      </c>
    </row>
    <row r="120" spans="1:29" ht="9.75" hidden="1" customHeight="1" x14ac:dyDescent="0.3">
      <c r="A120" s="99">
        <v>46237</v>
      </c>
      <c r="B120" s="59">
        <v>8141604</v>
      </c>
      <c r="C120" s="60" t="s">
        <v>42</v>
      </c>
      <c r="D120" s="60" t="s">
        <v>181</v>
      </c>
      <c r="E120" s="61">
        <v>0.3125</v>
      </c>
      <c r="F120" s="60" t="s">
        <v>13</v>
      </c>
      <c r="G120" s="71" t="s">
        <v>55</v>
      </c>
      <c r="H120" s="62">
        <v>0.3263888888888889</v>
      </c>
      <c r="I120" s="113" t="str">
        <f t="shared" si="25"/>
        <v>03-08-2026T07:50:00</v>
      </c>
      <c r="J120" s="62">
        <v>0.38541666666666669</v>
      </c>
      <c r="K120" s="62"/>
      <c r="L120" s="63">
        <f t="shared" si="31"/>
        <v>5.902777777777779E-2</v>
      </c>
      <c r="M120" s="64">
        <v>6.25E-2</v>
      </c>
      <c r="N120" s="65" t="str">
        <f t="shared" si="32"/>
        <v>00:05:00</v>
      </c>
      <c r="O120" s="66"/>
      <c r="P120" s="124"/>
      <c r="Q120" s="67"/>
      <c r="R120" s="68"/>
      <c r="S120" s="68"/>
      <c r="T120" s="69">
        <f t="shared" si="33"/>
        <v>0</v>
      </c>
      <c r="U120" s="61" t="s">
        <v>234</v>
      </c>
      <c r="V120" s="83">
        <v>0</v>
      </c>
      <c r="W120" s="61">
        <f t="shared" si="34"/>
        <v>0</v>
      </c>
      <c r="X120" s="171">
        <v>46237.326388888891</v>
      </c>
      <c r="Y120" s="171">
        <v>46237.385416666664</v>
      </c>
      <c r="Z120" s="168">
        <f t="shared" si="21"/>
        <v>5.9027777773735579E-2</v>
      </c>
      <c r="AA120" s="169">
        <f t="shared" si="22"/>
        <v>6.25E-2</v>
      </c>
      <c r="AB120" s="170" t="str">
        <f t="shared" si="23"/>
        <v>00:05:00</v>
      </c>
      <c r="AC120" s="170" t="b">
        <f t="shared" si="24"/>
        <v>1</v>
      </c>
    </row>
    <row r="121" spans="1:29" s="128" customFormat="1" ht="9.75" hidden="1" customHeight="1" x14ac:dyDescent="0.3">
      <c r="A121" s="99">
        <v>46237</v>
      </c>
      <c r="B121" s="59">
        <v>8141689</v>
      </c>
      <c r="C121" s="60" t="s">
        <v>50</v>
      </c>
      <c r="D121" s="60" t="s">
        <v>329</v>
      </c>
      <c r="E121" s="61">
        <v>0.375</v>
      </c>
      <c r="F121" s="60" t="s">
        <v>13</v>
      </c>
      <c r="G121" s="71" t="s">
        <v>31</v>
      </c>
      <c r="H121" s="62">
        <v>46237.367361111108</v>
      </c>
      <c r="I121" s="113" t="str">
        <f t="shared" si="25"/>
        <v>03-08-2026T08:49:00</v>
      </c>
      <c r="J121" s="62">
        <v>46238.1</v>
      </c>
      <c r="K121" s="62"/>
      <c r="L121" s="63">
        <f t="shared" si="31"/>
        <v>0.73263888889050577</v>
      </c>
      <c r="M121" s="64">
        <v>0.75</v>
      </c>
      <c r="N121" s="65" t="str">
        <f t="shared" si="32"/>
        <v>00:25:00</v>
      </c>
      <c r="O121" s="66"/>
      <c r="P121" s="126" t="s">
        <v>448</v>
      </c>
      <c r="Q121" s="67" t="s">
        <v>45</v>
      </c>
      <c r="R121" s="68">
        <v>46237.929166666669</v>
      </c>
      <c r="S121" s="68">
        <v>46237.986111111109</v>
      </c>
      <c r="T121" s="69">
        <f t="shared" si="33"/>
        <v>5.694444444088731E-2</v>
      </c>
      <c r="U121" s="61"/>
      <c r="V121" s="83">
        <v>8.3333333333333329E-2</v>
      </c>
      <c r="W121" s="61">
        <f t="shared" si="34"/>
        <v>-2.6388888892446019E-2</v>
      </c>
      <c r="X121" s="172">
        <v>46237.367361111108</v>
      </c>
      <c r="Y121" s="172">
        <v>46238.1</v>
      </c>
      <c r="Z121" s="173">
        <f t="shared" ref="Z121:Z186" si="35">Y121-X121</f>
        <v>0.73263888889050577</v>
      </c>
      <c r="AA121" s="174">
        <f t="shared" ref="AA121:AA186" si="36">M121</f>
        <v>0.75</v>
      </c>
      <c r="AB121" s="175" t="str">
        <f t="shared" ref="AB121:AB186" si="37">IF(AA121-Z121&gt;0,TEXT(AA121-Z121,"HH:MM:SS"),TEXT(ABS(AA121-Z121),"-HH:MM:SS"))</f>
        <v>00:25:00</v>
      </c>
      <c r="AC121" s="175" t="b">
        <f t="shared" ref="AC121:AC186" si="38">AB121=N121</f>
        <v>1</v>
      </c>
    </row>
    <row r="122" spans="1:29" ht="9.75" hidden="1" customHeight="1" x14ac:dyDescent="0.3">
      <c r="A122" s="98">
        <v>46237</v>
      </c>
      <c r="B122" s="48">
        <v>8141713</v>
      </c>
      <c r="C122" s="49" t="s">
        <v>104</v>
      </c>
      <c r="D122" s="49" t="s">
        <v>382</v>
      </c>
      <c r="E122" s="50">
        <v>0.375</v>
      </c>
      <c r="F122" s="49" t="s">
        <v>13</v>
      </c>
      <c r="G122" s="70" t="s">
        <v>47</v>
      </c>
      <c r="H122" s="51">
        <v>0.37291666666666667</v>
      </c>
      <c r="I122" s="113" t="str">
        <f t="shared" si="25"/>
        <v>03-08-2026T08:57:00</v>
      </c>
      <c r="J122" s="51">
        <v>46239.365277777775</v>
      </c>
      <c r="K122" s="51"/>
      <c r="L122" s="52">
        <f t="shared" si="31"/>
        <v>46238.992361111108</v>
      </c>
      <c r="M122" s="53">
        <v>1.9166666666666667</v>
      </c>
      <c r="N122" s="54" t="str">
        <f t="shared" si="32"/>
        <v>-01:49:00</v>
      </c>
      <c r="O122" s="55">
        <v>400</v>
      </c>
      <c r="P122" s="125" t="s">
        <v>427</v>
      </c>
      <c r="Q122" s="56" t="s">
        <v>96</v>
      </c>
      <c r="R122" s="57">
        <v>46239.136805555558</v>
      </c>
      <c r="S122" s="57">
        <v>46239.243055555555</v>
      </c>
      <c r="T122" s="47">
        <f t="shared" si="33"/>
        <v>0.10624999999708962</v>
      </c>
      <c r="U122" s="50"/>
      <c r="V122" s="74">
        <v>8.3333333333333329E-2</v>
      </c>
      <c r="W122" s="50">
        <f t="shared" si="34"/>
        <v>2.2916666663756288E-2</v>
      </c>
      <c r="X122" s="171">
        <v>46237.372916666667</v>
      </c>
      <c r="Y122" s="171">
        <v>46239.365277777775</v>
      </c>
      <c r="Z122" s="168">
        <f t="shared" si="35"/>
        <v>1.992361111108039</v>
      </c>
      <c r="AA122" s="169">
        <f t="shared" si="36"/>
        <v>1.9166666666666667</v>
      </c>
      <c r="AB122" s="170" t="str">
        <f t="shared" si="37"/>
        <v>-01:49:00</v>
      </c>
      <c r="AC122" s="170" t="b">
        <f t="shared" si="38"/>
        <v>1</v>
      </c>
    </row>
    <row r="123" spans="1:29" s="144" customFormat="1" ht="9.75" hidden="1" customHeight="1" x14ac:dyDescent="0.3">
      <c r="A123" s="129">
        <v>46237</v>
      </c>
      <c r="B123" s="130">
        <v>8141914</v>
      </c>
      <c r="C123" s="131" t="s">
        <v>48</v>
      </c>
      <c r="D123" s="131" t="s">
        <v>183</v>
      </c>
      <c r="E123" s="132">
        <v>0.375</v>
      </c>
      <c r="F123" s="131" t="s">
        <v>49</v>
      </c>
      <c r="G123" s="133" t="s">
        <v>13</v>
      </c>
      <c r="H123" s="134">
        <v>46237.478472222225</v>
      </c>
      <c r="I123" s="113" t="str">
        <f t="shared" si="25"/>
        <v>03-08-2026T11:29:00</v>
      </c>
      <c r="J123" s="134">
        <v>46238.072916666664</v>
      </c>
      <c r="K123" s="134"/>
      <c r="L123" s="135">
        <f t="shared" si="31"/>
        <v>0.59444444443943212</v>
      </c>
      <c r="M123" s="136">
        <v>0.58333333333333337</v>
      </c>
      <c r="N123" s="137" t="str">
        <f t="shared" si="32"/>
        <v>-00:16:00</v>
      </c>
      <c r="O123" s="138"/>
      <c r="P123" s="139" t="s">
        <v>428</v>
      </c>
      <c r="Q123" s="140" t="s">
        <v>13</v>
      </c>
      <c r="R123" s="141">
        <v>46237.961805555555</v>
      </c>
      <c r="S123" s="141">
        <v>46238.069444444445</v>
      </c>
      <c r="T123" s="142">
        <f t="shared" si="33"/>
        <v>0.10763888889050577</v>
      </c>
      <c r="U123" s="132"/>
      <c r="V123" s="143">
        <v>8.3333333333333329E-2</v>
      </c>
      <c r="W123" s="132">
        <f t="shared" si="34"/>
        <v>2.430555555717244E-2</v>
      </c>
      <c r="X123" s="171">
        <v>46237.478472222225</v>
      </c>
      <c r="Y123" s="171">
        <v>46238.072916666664</v>
      </c>
      <c r="Z123" s="168">
        <f t="shared" si="35"/>
        <v>0.59444444443943212</v>
      </c>
      <c r="AA123" s="169">
        <f t="shared" si="36"/>
        <v>0.58333333333333337</v>
      </c>
      <c r="AB123" s="170" t="str">
        <f t="shared" si="37"/>
        <v>-00:16:00</v>
      </c>
      <c r="AC123" s="170" t="b">
        <f t="shared" si="38"/>
        <v>1</v>
      </c>
    </row>
    <row r="124" spans="1:29" ht="9.75" hidden="1" customHeight="1" x14ac:dyDescent="0.3">
      <c r="A124" s="98">
        <v>46237</v>
      </c>
      <c r="B124" s="48">
        <v>8141784</v>
      </c>
      <c r="C124" s="49" t="s">
        <v>86</v>
      </c>
      <c r="D124" s="49" t="s">
        <v>182</v>
      </c>
      <c r="E124" s="50">
        <v>0.41666666666666669</v>
      </c>
      <c r="F124" s="49" t="s">
        <v>31</v>
      </c>
      <c r="G124" s="70" t="s">
        <v>13</v>
      </c>
      <c r="H124" s="51">
        <v>46237.424305555556</v>
      </c>
      <c r="I124" s="113" t="str">
        <f t="shared" si="25"/>
        <v>03-08-2026T10:11:00</v>
      </c>
      <c r="J124" s="51">
        <v>46238.2</v>
      </c>
      <c r="K124" s="51"/>
      <c r="L124" s="52">
        <f t="shared" si="31"/>
        <v>0.77569444444088731</v>
      </c>
      <c r="M124" s="53">
        <v>0.75</v>
      </c>
      <c r="N124" s="54" t="str">
        <f t="shared" si="32"/>
        <v>-00:37:00</v>
      </c>
      <c r="O124" s="55">
        <v>200</v>
      </c>
      <c r="P124" s="125" t="s">
        <v>429</v>
      </c>
      <c r="Q124" s="56" t="s">
        <v>45</v>
      </c>
      <c r="R124" s="57">
        <v>46237.588888888888</v>
      </c>
      <c r="S124" s="57">
        <v>46237.635416666664</v>
      </c>
      <c r="T124" s="58">
        <f t="shared" si="33"/>
        <v>4.6527777776645962E-2</v>
      </c>
      <c r="U124" s="50"/>
      <c r="V124" s="74">
        <v>8.3333333333333329E-2</v>
      </c>
      <c r="W124" s="50">
        <f t="shared" si="34"/>
        <v>-3.6805555556687367E-2</v>
      </c>
      <c r="X124" s="171">
        <v>46237.424305555556</v>
      </c>
      <c r="Y124" s="171">
        <v>46238.2</v>
      </c>
      <c r="Z124" s="168">
        <f t="shared" si="35"/>
        <v>0.77569444444088731</v>
      </c>
      <c r="AA124" s="169">
        <f t="shared" si="36"/>
        <v>0.75</v>
      </c>
      <c r="AB124" s="170" t="str">
        <f t="shared" si="37"/>
        <v>-00:37:00</v>
      </c>
      <c r="AC124" s="170" t="b">
        <f t="shared" si="38"/>
        <v>1</v>
      </c>
    </row>
    <row r="125" spans="1:29" ht="9.75" hidden="1" customHeight="1" x14ac:dyDescent="0.3">
      <c r="A125" s="98">
        <v>46237</v>
      </c>
      <c r="B125" s="48">
        <v>8142866</v>
      </c>
      <c r="C125" s="49" t="s">
        <v>51</v>
      </c>
      <c r="D125" s="49" t="s">
        <v>295</v>
      </c>
      <c r="E125" s="50">
        <v>0.41666666666666669</v>
      </c>
      <c r="F125" s="49" t="s">
        <v>13</v>
      </c>
      <c r="G125" s="70" t="s">
        <v>49</v>
      </c>
      <c r="H125" s="51">
        <v>46237.802083333336</v>
      </c>
      <c r="I125" s="113" t="str">
        <f t="shared" si="25"/>
        <v>03-08-2026T19:15:00</v>
      </c>
      <c r="J125" s="51">
        <v>46238.315972222219</v>
      </c>
      <c r="K125" s="51"/>
      <c r="L125" s="52">
        <f t="shared" si="31"/>
        <v>0.51388888888322981</v>
      </c>
      <c r="M125" s="53">
        <v>0.5</v>
      </c>
      <c r="N125" s="54" t="str">
        <f t="shared" si="32"/>
        <v>-00:20:00</v>
      </c>
      <c r="O125" s="55">
        <v>250</v>
      </c>
      <c r="P125" s="125" t="s">
        <v>430</v>
      </c>
      <c r="Q125" s="56"/>
      <c r="R125" s="57"/>
      <c r="S125" s="57"/>
      <c r="T125" s="58">
        <f t="shared" si="33"/>
        <v>0</v>
      </c>
      <c r="U125" s="50" t="s">
        <v>234</v>
      </c>
      <c r="V125" s="74">
        <v>0</v>
      </c>
      <c r="W125" s="50">
        <f t="shared" si="34"/>
        <v>0</v>
      </c>
      <c r="X125" s="171">
        <v>46237.802083333336</v>
      </c>
      <c r="Y125" s="171">
        <v>46238.315972222219</v>
      </c>
      <c r="Z125" s="168">
        <f t="shared" si="35"/>
        <v>0.51388888888322981</v>
      </c>
      <c r="AA125" s="169">
        <f t="shared" si="36"/>
        <v>0.5</v>
      </c>
      <c r="AB125" s="170" t="str">
        <f t="shared" si="37"/>
        <v>-00:20:00</v>
      </c>
      <c r="AC125" s="170" t="b">
        <f t="shared" si="38"/>
        <v>1</v>
      </c>
    </row>
    <row r="126" spans="1:29" ht="9.75" customHeight="1" x14ac:dyDescent="0.3">
      <c r="A126" s="99">
        <v>46237</v>
      </c>
      <c r="B126" s="59">
        <v>8140716</v>
      </c>
      <c r="C126" s="60" t="s">
        <v>90</v>
      </c>
      <c r="D126" s="60" t="s">
        <v>290</v>
      </c>
      <c r="E126" s="61">
        <v>0.99930555555555556</v>
      </c>
      <c r="F126" s="60" t="s">
        <v>13</v>
      </c>
      <c r="G126" s="71" t="s">
        <v>15</v>
      </c>
      <c r="H126" s="62">
        <v>3.472222222222222E-3</v>
      </c>
      <c r="I126" s="113" t="str">
        <f t="shared" si="25"/>
        <v>03-08-2026T00:05:00</v>
      </c>
      <c r="J126" s="62">
        <v>0.24930555555555556</v>
      </c>
      <c r="K126" s="113" t="str">
        <f t="shared" ref="K126:K127" si="39">TEXT(A126,"dd-mm-yyyy")&amp;"T"&amp;TEXT(J126,"hh:mm:ss")</f>
        <v>03-08-2026T05:59:00</v>
      </c>
      <c r="L126" s="63">
        <f t="shared" si="31"/>
        <v>0.24583333333333335</v>
      </c>
      <c r="M126" s="64">
        <v>0.27083333333333331</v>
      </c>
      <c r="N126" s="65" t="str">
        <f t="shared" si="32"/>
        <v>00:36:00</v>
      </c>
      <c r="O126" s="66"/>
      <c r="P126" s="124"/>
      <c r="Q126" s="67" t="s">
        <v>13</v>
      </c>
      <c r="R126" s="68">
        <v>3.2638888888888891E-2</v>
      </c>
      <c r="S126" s="68">
        <v>4.0972222222222222E-2</v>
      </c>
      <c r="T126" s="69">
        <f t="shared" si="33"/>
        <v>8.3333333333333315E-3</v>
      </c>
      <c r="U126" s="61" t="s">
        <v>234</v>
      </c>
      <c r="V126" s="83">
        <v>4.1666666666666664E-2</v>
      </c>
      <c r="W126" s="61">
        <f t="shared" si="34"/>
        <v>-3.3333333333333333E-2</v>
      </c>
      <c r="X126" s="171">
        <v>46237.003472222219</v>
      </c>
      <c r="Y126" s="171">
        <v>46237.249305555553</v>
      </c>
      <c r="Z126" s="168">
        <f t="shared" si="35"/>
        <v>0.24583333333430346</v>
      </c>
      <c r="AA126" s="169">
        <f t="shared" si="36"/>
        <v>0.27083333333333331</v>
      </c>
      <c r="AB126" s="170" t="str">
        <f t="shared" si="37"/>
        <v>00:36:00</v>
      </c>
      <c r="AC126" s="170" t="b">
        <f t="shared" si="38"/>
        <v>1</v>
      </c>
    </row>
    <row r="127" spans="1:29" ht="9.75" hidden="1" customHeight="1" x14ac:dyDescent="0.3">
      <c r="A127" s="98">
        <v>46237</v>
      </c>
      <c r="B127" s="48">
        <v>8141803</v>
      </c>
      <c r="C127" s="49" t="s">
        <v>90</v>
      </c>
      <c r="D127" s="49" t="s">
        <v>290</v>
      </c>
      <c r="E127" s="50">
        <v>0.4375</v>
      </c>
      <c r="F127" s="49" t="s">
        <v>15</v>
      </c>
      <c r="G127" s="70" t="s">
        <v>13</v>
      </c>
      <c r="H127" s="51">
        <v>0.43611111111111112</v>
      </c>
      <c r="I127" s="113" t="str">
        <f t="shared" si="25"/>
        <v>03-08-2026T10:28:00</v>
      </c>
      <c r="J127" s="51">
        <v>0.66319444444444442</v>
      </c>
      <c r="K127" s="113" t="str">
        <f t="shared" si="39"/>
        <v>03-08-2026T15:55:00</v>
      </c>
      <c r="L127" s="52">
        <f t="shared" si="31"/>
        <v>0.2270833333333333</v>
      </c>
      <c r="M127" s="53">
        <v>0.20833333333333334</v>
      </c>
      <c r="N127" s="54" t="str">
        <f t="shared" si="32"/>
        <v>-00:27:00</v>
      </c>
      <c r="O127" s="55">
        <v>200</v>
      </c>
      <c r="P127" s="125" t="s">
        <v>431</v>
      </c>
      <c r="Q127" s="56"/>
      <c r="R127" s="57"/>
      <c r="S127" s="57"/>
      <c r="T127" s="58">
        <f t="shared" si="33"/>
        <v>0</v>
      </c>
      <c r="U127" s="50"/>
      <c r="V127" s="74">
        <v>0</v>
      </c>
      <c r="W127" s="50">
        <f t="shared" si="34"/>
        <v>0</v>
      </c>
      <c r="X127" s="171">
        <v>46237.436111111114</v>
      </c>
      <c r="Y127" s="171">
        <v>46237.663194444445</v>
      </c>
      <c r="Z127" s="168">
        <f t="shared" si="35"/>
        <v>0.22708333333139308</v>
      </c>
      <c r="AA127" s="169">
        <f t="shared" si="36"/>
        <v>0.20833333333333334</v>
      </c>
      <c r="AB127" s="170" t="str">
        <f t="shared" si="37"/>
        <v>-00:27:00</v>
      </c>
      <c r="AC127" s="170" t="b">
        <f t="shared" si="38"/>
        <v>1</v>
      </c>
    </row>
    <row r="128" spans="1:29" ht="9.75" hidden="1" customHeight="1" x14ac:dyDescent="0.3">
      <c r="A128" s="99">
        <v>46237</v>
      </c>
      <c r="B128" s="59">
        <v>8142553</v>
      </c>
      <c r="C128" s="60" t="s">
        <v>54</v>
      </c>
      <c r="D128" s="60" t="s">
        <v>288</v>
      </c>
      <c r="E128" s="61">
        <v>0.45833333333333331</v>
      </c>
      <c r="F128" s="60" t="s">
        <v>13</v>
      </c>
      <c r="G128" s="71" t="s">
        <v>24</v>
      </c>
      <c r="H128" s="62">
        <v>0.70625000000000004</v>
      </c>
      <c r="I128" s="113" t="str">
        <f t="shared" si="25"/>
        <v>03-08-2026T16:57:00</v>
      </c>
      <c r="J128" s="62">
        <v>0.78125</v>
      </c>
      <c r="K128" s="62"/>
      <c r="L128" s="63">
        <f t="shared" si="31"/>
        <v>7.4999999999999956E-2</v>
      </c>
      <c r="M128" s="64">
        <v>8.3333333333333329E-2</v>
      </c>
      <c r="N128" s="65" t="str">
        <f t="shared" si="32"/>
        <v>00:12:00</v>
      </c>
      <c r="O128" s="66"/>
      <c r="P128" s="124"/>
      <c r="Q128" s="67"/>
      <c r="R128" s="68"/>
      <c r="S128" s="68"/>
      <c r="T128" s="69">
        <f t="shared" si="33"/>
        <v>0</v>
      </c>
      <c r="U128" s="61"/>
      <c r="V128" s="83">
        <v>0</v>
      </c>
      <c r="W128" s="61">
        <f t="shared" si="34"/>
        <v>0</v>
      </c>
      <c r="X128" s="171">
        <v>46237.706250000003</v>
      </c>
      <c r="Y128" s="171">
        <v>46237.78125</v>
      </c>
      <c r="Z128" s="168">
        <f t="shared" si="35"/>
        <v>7.4999999997089617E-2</v>
      </c>
      <c r="AA128" s="169">
        <f t="shared" si="36"/>
        <v>8.3333333333333329E-2</v>
      </c>
      <c r="AB128" s="170" t="str">
        <f t="shared" si="37"/>
        <v>00:12:00</v>
      </c>
      <c r="AC128" s="170" t="b">
        <f t="shared" si="38"/>
        <v>1</v>
      </c>
    </row>
    <row r="129" spans="1:30" ht="9.75" hidden="1" customHeight="1" x14ac:dyDescent="0.3">
      <c r="A129" s="99">
        <v>46237</v>
      </c>
      <c r="B129" s="59">
        <v>8141940</v>
      </c>
      <c r="C129" s="60" t="s">
        <v>20</v>
      </c>
      <c r="D129" s="60" t="s">
        <v>383</v>
      </c>
      <c r="E129" s="61">
        <v>0.5</v>
      </c>
      <c r="F129" s="60" t="s">
        <v>13</v>
      </c>
      <c r="G129" s="71" t="s">
        <v>21</v>
      </c>
      <c r="H129" s="62">
        <v>0.49305555555555558</v>
      </c>
      <c r="I129" s="113" t="str">
        <f t="shared" si="25"/>
        <v>03-08-2026T11:50:00</v>
      </c>
      <c r="J129" s="62">
        <v>0.74236111111111114</v>
      </c>
      <c r="K129" s="62"/>
      <c r="L129" s="63">
        <f t="shared" si="31"/>
        <v>0.24930555555555556</v>
      </c>
      <c r="M129" s="64">
        <v>0.25</v>
      </c>
      <c r="N129" s="65" t="str">
        <f t="shared" si="32"/>
        <v>00:01:00</v>
      </c>
      <c r="O129" s="66"/>
      <c r="P129" s="126" t="s">
        <v>432</v>
      </c>
      <c r="Q129" s="67"/>
      <c r="R129" s="68"/>
      <c r="S129" s="68"/>
      <c r="T129" s="69">
        <f t="shared" si="33"/>
        <v>0</v>
      </c>
      <c r="U129" s="61"/>
      <c r="V129" s="83">
        <v>0</v>
      </c>
      <c r="W129" s="61">
        <f t="shared" si="34"/>
        <v>0</v>
      </c>
      <c r="X129" s="171">
        <v>46237.493055555555</v>
      </c>
      <c r="Y129" s="171">
        <v>46237.742361111108</v>
      </c>
      <c r="Z129" s="168">
        <f t="shared" si="35"/>
        <v>0.24930555555329192</v>
      </c>
      <c r="AA129" s="169">
        <f t="shared" si="36"/>
        <v>0.25</v>
      </c>
      <c r="AB129" s="170" t="str">
        <f t="shared" si="37"/>
        <v>00:01:00</v>
      </c>
      <c r="AC129" s="170" t="b">
        <f t="shared" si="38"/>
        <v>1</v>
      </c>
    </row>
    <row r="130" spans="1:30" ht="9.75" hidden="1" customHeight="1" x14ac:dyDescent="0.3">
      <c r="A130" s="98">
        <v>46237</v>
      </c>
      <c r="B130" s="48">
        <v>8142066</v>
      </c>
      <c r="C130" s="49" t="s">
        <v>99</v>
      </c>
      <c r="D130" s="49" t="s">
        <v>375</v>
      </c>
      <c r="E130" s="50">
        <v>0.54166666666666663</v>
      </c>
      <c r="F130" s="49" t="s">
        <v>103</v>
      </c>
      <c r="G130" s="70" t="s">
        <v>13</v>
      </c>
      <c r="H130" s="51">
        <v>46237.537499999999</v>
      </c>
      <c r="I130" s="113" t="str">
        <f t="shared" si="25"/>
        <v>03-08-2026T12:54:00</v>
      </c>
      <c r="J130" s="51">
        <v>46238.507638888892</v>
      </c>
      <c r="K130" s="51"/>
      <c r="L130" s="52">
        <f t="shared" si="31"/>
        <v>0.97013888889341615</v>
      </c>
      <c r="M130" s="53">
        <v>0.70833333333333337</v>
      </c>
      <c r="N130" s="54" t="str">
        <f t="shared" si="32"/>
        <v>-06:17:00</v>
      </c>
      <c r="O130" s="55">
        <f>250*7</f>
        <v>1750</v>
      </c>
      <c r="P130" s="125" t="s">
        <v>433</v>
      </c>
      <c r="Q130" s="56" t="s">
        <v>13</v>
      </c>
      <c r="R130" s="57">
        <v>46238.433333333334</v>
      </c>
      <c r="S130" s="57">
        <v>46238.503472222219</v>
      </c>
      <c r="T130" s="58">
        <f t="shared" si="33"/>
        <v>7.0138888884685002E-2</v>
      </c>
      <c r="U130" s="50"/>
      <c r="V130" s="74">
        <v>8.3333333333333329E-2</v>
      </c>
      <c r="W130" s="50">
        <f t="shared" si="34"/>
        <v>-1.3194444448648326E-2</v>
      </c>
      <c r="X130" s="171">
        <v>46237.537499999999</v>
      </c>
      <c r="Y130" s="171">
        <v>46238.507638888892</v>
      </c>
      <c r="Z130" s="168">
        <f t="shared" si="35"/>
        <v>0.97013888889341615</v>
      </c>
      <c r="AA130" s="169">
        <f t="shared" si="36"/>
        <v>0.70833333333333337</v>
      </c>
      <c r="AB130" s="170" t="str">
        <f t="shared" si="37"/>
        <v>-06:17:00</v>
      </c>
      <c r="AC130" s="170" t="b">
        <f t="shared" si="38"/>
        <v>1</v>
      </c>
    </row>
    <row r="131" spans="1:30" ht="9.75" hidden="1" customHeight="1" x14ac:dyDescent="0.3">
      <c r="A131" s="99">
        <v>46237</v>
      </c>
      <c r="B131" s="59">
        <v>8140970</v>
      </c>
      <c r="C131" s="60" t="s">
        <v>52</v>
      </c>
      <c r="D131" s="60" t="s">
        <v>616</v>
      </c>
      <c r="E131" s="61">
        <v>0.99930555555555556</v>
      </c>
      <c r="F131" s="60" t="s">
        <v>15</v>
      </c>
      <c r="G131" s="71" t="s">
        <v>13</v>
      </c>
      <c r="H131" s="62">
        <v>0.13472222222222222</v>
      </c>
      <c r="I131" s="113" t="str">
        <f t="shared" si="25"/>
        <v>03-08-2026T03:14:00</v>
      </c>
      <c r="J131" s="62">
        <v>0.33402777777777776</v>
      </c>
      <c r="K131" s="62"/>
      <c r="L131" s="63">
        <f t="shared" si="31"/>
        <v>0.19930555555555554</v>
      </c>
      <c r="M131" s="64">
        <v>0.20833333333333334</v>
      </c>
      <c r="N131" s="65" t="str">
        <f t="shared" si="32"/>
        <v>00:13:00</v>
      </c>
      <c r="O131" s="66"/>
      <c r="P131" s="124"/>
      <c r="Q131" s="67"/>
      <c r="R131" s="68"/>
      <c r="S131" s="68"/>
      <c r="T131" s="69">
        <f t="shared" si="33"/>
        <v>0</v>
      </c>
      <c r="U131" s="61"/>
      <c r="V131" s="83">
        <v>0</v>
      </c>
      <c r="W131" s="61">
        <f t="shared" si="34"/>
        <v>0</v>
      </c>
      <c r="X131" s="171">
        <v>46237.134722222225</v>
      </c>
      <c r="Y131" s="171">
        <v>46237.334027777775</v>
      </c>
      <c r="Z131" s="168">
        <f t="shared" si="35"/>
        <v>0.19930555555038154</v>
      </c>
      <c r="AA131" s="169">
        <f t="shared" si="36"/>
        <v>0.20833333333333334</v>
      </c>
      <c r="AB131" s="170" t="str">
        <f t="shared" si="37"/>
        <v>00:13:00</v>
      </c>
      <c r="AC131" s="170" t="b">
        <f t="shared" si="38"/>
        <v>1</v>
      </c>
    </row>
    <row r="132" spans="1:30" ht="9.75" hidden="1" customHeight="1" x14ac:dyDescent="0.3">
      <c r="A132" s="99">
        <v>46237</v>
      </c>
      <c r="B132" s="59">
        <v>8142104</v>
      </c>
      <c r="C132" s="60" t="s">
        <v>52</v>
      </c>
      <c r="D132" s="60" t="s">
        <v>616</v>
      </c>
      <c r="E132" s="61">
        <v>0.54166666666666663</v>
      </c>
      <c r="F132" s="60" t="s">
        <v>13</v>
      </c>
      <c r="G132" s="71" t="s">
        <v>15</v>
      </c>
      <c r="H132" s="62">
        <v>0.54861111111111116</v>
      </c>
      <c r="I132" s="113" t="str">
        <f t="shared" ref="I132:I195" si="40">TEXT(A132,"dd-mm-yyyy")&amp;"T"&amp;TEXT(H132,"hh:mm:ss")</f>
        <v>03-08-2026T13:10:00</v>
      </c>
      <c r="J132" s="62">
        <v>0.75555555555555554</v>
      </c>
      <c r="K132" s="62"/>
      <c r="L132" s="63">
        <f t="shared" si="31"/>
        <v>0.20694444444444438</v>
      </c>
      <c r="M132" s="64">
        <v>0.20833333333333334</v>
      </c>
      <c r="N132" s="65" t="str">
        <f t="shared" si="32"/>
        <v>00:02:00</v>
      </c>
      <c r="O132" s="66"/>
      <c r="P132" s="124"/>
      <c r="Q132" s="67"/>
      <c r="R132" s="68"/>
      <c r="S132" s="68"/>
      <c r="T132" s="69">
        <f t="shared" si="33"/>
        <v>0</v>
      </c>
      <c r="U132" s="61"/>
      <c r="V132" s="83">
        <v>0</v>
      </c>
      <c r="W132" s="61">
        <f t="shared" si="34"/>
        <v>0</v>
      </c>
      <c r="X132" s="171">
        <v>46237.548611111109</v>
      </c>
      <c r="Y132" s="171">
        <v>46237.755555555559</v>
      </c>
      <c r="Z132" s="168">
        <f t="shared" si="35"/>
        <v>0.20694444444961846</v>
      </c>
      <c r="AA132" s="169">
        <f t="shared" si="36"/>
        <v>0.20833333333333334</v>
      </c>
      <c r="AB132" s="170" t="str">
        <f t="shared" si="37"/>
        <v>00:02:00</v>
      </c>
      <c r="AC132" s="170" t="b">
        <f t="shared" si="38"/>
        <v>1</v>
      </c>
    </row>
    <row r="133" spans="1:30" ht="9.75" hidden="1" customHeight="1" x14ac:dyDescent="0.3">
      <c r="A133" s="98">
        <v>46237</v>
      </c>
      <c r="B133" s="48">
        <v>8142673</v>
      </c>
      <c r="C133" s="49" t="s">
        <v>53</v>
      </c>
      <c r="D133" s="49" t="s">
        <v>298</v>
      </c>
      <c r="E133" s="50">
        <v>0.64583333333333337</v>
      </c>
      <c r="F133" s="49" t="s">
        <v>19</v>
      </c>
      <c r="G133" s="70" t="s">
        <v>13</v>
      </c>
      <c r="H133" s="51">
        <v>46237.74722222222</v>
      </c>
      <c r="I133" s="113" t="str">
        <f t="shared" si="40"/>
        <v>03-08-2026T17:56:00</v>
      </c>
      <c r="J133" s="51">
        <v>46238.500694444447</v>
      </c>
      <c r="K133" s="51"/>
      <c r="L133" s="52">
        <f t="shared" si="31"/>
        <v>0.75347222222626442</v>
      </c>
      <c r="M133" s="53">
        <v>0.4375</v>
      </c>
      <c r="N133" s="54" t="str">
        <f t="shared" si="32"/>
        <v>-07:35:00</v>
      </c>
      <c r="O133" s="55">
        <v>600</v>
      </c>
      <c r="P133" s="125" t="s">
        <v>434</v>
      </c>
      <c r="Q133" s="56" t="s">
        <v>229</v>
      </c>
      <c r="R133" s="57">
        <v>46237.895833333336</v>
      </c>
      <c r="S133" s="57">
        <v>46238.208333333336</v>
      </c>
      <c r="T133" s="47">
        <f t="shared" si="33"/>
        <v>0.3125</v>
      </c>
      <c r="U133" s="50"/>
      <c r="V133" s="74">
        <v>8.3333333333333329E-2</v>
      </c>
      <c r="W133" s="50">
        <f t="shared" si="34"/>
        <v>0.22916666666666669</v>
      </c>
      <c r="X133" s="171">
        <v>46237.74722222222</v>
      </c>
      <c r="Y133" s="171">
        <v>46238.500694444447</v>
      </c>
      <c r="Z133" s="168">
        <f t="shared" si="35"/>
        <v>0.75347222222626442</v>
      </c>
      <c r="AA133" s="169">
        <f t="shared" si="36"/>
        <v>0.4375</v>
      </c>
      <c r="AB133" s="170" t="str">
        <f t="shared" si="37"/>
        <v>-07:35:00</v>
      </c>
      <c r="AC133" s="170" t="b">
        <f t="shared" si="38"/>
        <v>1</v>
      </c>
    </row>
    <row r="134" spans="1:30" ht="9.75" hidden="1" customHeight="1" x14ac:dyDescent="0.3">
      <c r="A134" s="99">
        <v>46237</v>
      </c>
      <c r="B134" s="59">
        <v>8143460</v>
      </c>
      <c r="C134" s="60" t="s">
        <v>57</v>
      </c>
      <c r="D134" s="60" t="s">
        <v>370</v>
      </c>
      <c r="E134" s="61">
        <v>0.70833333333333337</v>
      </c>
      <c r="F134" s="60" t="s">
        <v>13</v>
      </c>
      <c r="G134" s="71" t="s">
        <v>24</v>
      </c>
      <c r="H134" s="62">
        <v>46237.995138888888</v>
      </c>
      <c r="I134" s="113" t="str">
        <f t="shared" si="40"/>
        <v>03-08-2026T23:53:00</v>
      </c>
      <c r="J134" s="62">
        <v>46238.069444444445</v>
      </c>
      <c r="K134" s="62"/>
      <c r="L134" s="63">
        <f t="shared" si="31"/>
        <v>7.4305555557657499E-2</v>
      </c>
      <c r="M134" s="64">
        <v>8.3333333333333329E-2</v>
      </c>
      <c r="N134" s="65" t="str">
        <f t="shared" si="32"/>
        <v>00:13:00</v>
      </c>
      <c r="O134" s="66"/>
      <c r="P134" s="124"/>
      <c r="Q134" s="67"/>
      <c r="R134" s="68"/>
      <c r="S134" s="68"/>
      <c r="T134" s="69">
        <f t="shared" si="33"/>
        <v>0</v>
      </c>
      <c r="U134" s="61" t="s">
        <v>234</v>
      </c>
      <c r="V134" s="83">
        <v>0</v>
      </c>
      <c r="W134" s="61">
        <f t="shared" si="34"/>
        <v>0</v>
      </c>
      <c r="X134" s="171">
        <v>46237.995138888888</v>
      </c>
      <c r="Y134" s="171">
        <v>46238.069444444445</v>
      </c>
      <c r="Z134" s="168">
        <f t="shared" si="35"/>
        <v>7.4305555557657499E-2</v>
      </c>
      <c r="AA134" s="169">
        <f t="shared" si="36"/>
        <v>8.3333333333333329E-2</v>
      </c>
      <c r="AB134" s="170" t="str">
        <f t="shared" si="37"/>
        <v>00:13:00</v>
      </c>
      <c r="AC134" s="170" t="b">
        <f t="shared" si="38"/>
        <v>1</v>
      </c>
    </row>
    <row r="135" spans="1:30" ht="9.75" hidden="1" customHeight="1" x14ac:dyDescent="0.3">
      <c r="A135" s="98">
        <v>46237</v>
      </c>
      <c r="B135" s="48">
        <v>8142559</v>
      </c>
      <c r="C135" s="49" t="s">
        <v>87</v>
      </c>
      <c r="D135" s="49" t="s">
        <v>367</v>
      </c>
      <c r="E135" s="50">
        <v>0.70833333333333337</v>
      </c>
      <c r="F135" s="49" t="s">
        <v>85</v>
      </c>
      <c r="G135" s="70" t="s">
        <v>13</v>
      </c>
      <c r="H135" s="51">
        <v>46237.707638888889</v>
      </c>
      <c r="I135" s="113" t="str">
        <f t="shared" si="40"/>
        <v>03-08-2026T16:59:00</v>
      </c>
      <c r="J135" s="51">
        <v>46238.12222222222</v>
      </c>
      <c r="K135" s="51"/>
      <c r="L135" s="52">
        <f t="shared" si="31"/>
        <v>0.41458333333139308</v>
      </c>
      <c r="M135" s="53">
        <v>0.33333333333333331</v>
      </c>
      <c r="N135" s="54" t="str">
        <f t="shared" si="32"/>
        <v>-01:57:00</v>
      </c>
      <c r="O135" s="55">
        <v>300</v>
      </c>
      <c r="P135" s="125" t="s">
        <v>435</v>
      </c>
      <c r="Q135" s="56" t="s">
        <v>174</v>
      </c>
      <c r="R135" s="57">
        <v>46237.767361111109</v>
      </c>
      <c r="S135" s="57">
        <v>46237.875</v>
      </c>
      <c r="T135" s="47">
        <f t="shared" si="33"/>
        <v>0.10763888889050577</v>
      </c>
      <c r="U135" s="50"/>
      <c r="V135" s="74">
        <v>4.1666666666666664E-2</v>
      </c>
      <c r="W135" s="50">
        <f t="shared" si="34"/>
        <v>6.5972222223839111E-2</v>
      </c>
      <c r="X135" s="171">
        <v>46237.707638888889</v>
      </c>
      <c r="Y135" s="171">
        <v>46238.12222222222</v>
      </c>
      <c r="Z135" s="168">
        <f t="shared" si="35"/>
        <v>0.41458333333139308</v>
      </c>
      <c r="AA135" s="169">
        <f t="shared" si="36"/>
        <v>0.33333333333333331</v>
      </c>
      <c r="AB135" s="170" t="str">
        <f t="shared" si="37"/>
        <v>-01:57:00</v>
      </c>
      <c r="AC135" s="170" t="b">
        <f t="shared" si="38"/>
        <v>1</v>
      </c>
    </row>
    <row r="136" spans="1:30" s="128" customFormat="1" ht="9.75" hidden="1" customHeight="1" x14ac:dyDescent="0.3">
      <c r="A136" s="99">
        <v>46237</v>
      </c>
      <c r="B136" s="59">
        <v>8142520</v>
      </c>
      <c r="C136" s="60" t="s">
        <v>102</v>
      </c>
      <c r="D136" s="60" t="s">
        <v>384</v>
      </c>
      <c r="E136" s="61">
        <v>0.70833333333333337</v>
      </c>
      <c r="F136" s="60" t="s">
        <v>13</v>
      </c>
      <c r="G136" s="71" t="s">
        <v>23</v>
      </c>
      <c r="H136" s="62">
        <v>46237.693055555559</v>
      </c>
      <c r="I136" s="113" t="str">
        <f t="shared" si="40"/>
        <v>03-08-2026T16:38:00</v>
      </c>
      <c r="J136" s="62">
        <v>46238.817361111112</v>
      </c>
      <c r="K136" s="62"/>
      <c r="L136" s="63">
        <f t="shared" si="31"/>
        <v>1.1243055555532919</v>
      </c>
      <c r="M136" s="64">
        <v>1</v>
      </c>
      <c r="N136" s="65" t="str">
        <f t="shared" si="32"/>
        <v>-02:59:00</v>
      </c>
      <c r="O136" s="66"/>
      <c r="P136" s="126" t="s">
        <v>403</v>
      </c>
      <c r="Q136" s="67"/>
      <c r="R136" s="68"/>
      <c r="S136" s="68"/>
      <c r="T136" s="69">
        <f t="shared" si="33"/>
        <v>0</v>
      </c>
      <c r="U136" s="61"/>
      <c r="V136" s="83">
        <v>0</v>
      </c>
      <c r="W136" s="61">
        <f t="shared" si="34"/>
        <v>0</v>
      </c>
      <c r="X136" s="172">
        <v>46237.693055555559</v>
      </c>
      <c r="Y136" s="172">
        <v>46238.817361111112</v>
      </c>
      <c r="Z136" s="173">
        <f t="shared" si="35"/>
        <v>1.1243055555532919</v>
      </c>
      <c r="AA136" s="174">
        <f t="shared" si="36"/>
        <v>1</v>
      </c>
      <c r="AB136" s="175" t="str">
        <f t="shared" si="37"/>
        <v>-02:59:00</v>
      </c>
      <c r="AC136" s="175" t="b">
        <f t="shared" si="38"/>
        <v>1</v>
      </c>
    </row>
    <row r="137" spans="1:30" ht="9.75" hidden="1" customHeight="1" x14ac:dyDescent="0.3">
      <c r="A137" s="99">
        <v>46237</v>
      </c>
      <c r="B137" s="59">
        <v>8142589</v>
      </c>
      <c r="C137" s="60" t="s">
        <v>27</v>
      </c>
      <c r="D137" s="60" t="s">
        <v>378</v>
      </c>
      <c r="E137" s="61">
        <v>0.70833333333333337</v>
      </c>
      <c r="F137" s="60" t="s">
        <v>28</v>
      </c>
      <c r="G137" s="71" t="s">
        <v>13</v>
      </c>
      <c r="H137" s="62">
        <v>0.71458333333333335</v>
      </c>
      <c r="I137" s="113" t="str">
        <f t="shared" si="40"/>
        <v>03-08-2026T17:09:00</v>
      </c>
      <c r="J137" s="62">
        <v>0.88124999999999998</v>
      </c>
      <c r="K137" s="62"/>
      <c r="L137" s="63">
        <f t="shared" si="31"/>
        <v>0.16666666666666663</v>
      </c>
      <c r="M137" s="64">
        <v>0.16666666666666666</v>
      </c>
      <c r="N137" s="65" t="str">
        <f t="shared" si="32"/>
        <v>00:00:00</v>
      </c>
      <c r="O137" s="66"/>
      <c r="P137" s="124"/>
      <c r="Q137" s="67"/>
      <c r="R137" s="68"/>
      <c r="S137" s="68"/>
      <c r="T137" s="69">
        <f t="shared" si="33"/>
        <v>0</v>
      </c>
      <c r="U137" s="61"/>
      <c r="V137" s="83">
        <v>0</v>
      </c>
      <c r="W137" s="61">
        <f t="shared" si="34"/>
        <v>0</v>
      </c>
      <c r="X137" s="171">
        <v>46237.714583333334</v>
      </c>
      <c r="Y137" s="171">
        <v>46237.881249999999</v>
      </c>
      <c r="Z137" s="168">
        <f t="shared" si="35"/>
        <v>0.16666666666424135</v>
      </c>
      <c r="AA137" s="169">
        <f t="shared" si="36"/>
        <v>0.16666666666666666</v>
      </c>
      <c r="AB137" s="170" t="str">
        <f t="shared" si="37"/>
        <v>00:00:00</v>
      </c>
      <c r="AC137" s="170" t="b">
        <f t="shared" si="38"/>
        <v>1</v>
      </c>
    </row>
    <row r="138" spans="1:30" ht="9.75" hidden="1" customHeight="1" x14ac:dyDescent="0.3">
      <c r="A138" s="99">
        <v>46237</v>
      </c>
      <c r="B138" s="59">
        <v>8142633</v>
      </c>
      <c r="C138" s="60" t="s">
        <v>89</v>
      </c>
      <c r="D138" s="60" t="s">
        <v>294</v>
      </c>
      <c r="E138" s="61">
        <v>0.75</v>
      </c>
      <c r="F138" s="60" t="s">
        <v>35</v>
      </c>
      <c r="G138" s="71" t="s">
        <v>13</v>
      </c>
      <c r="H138" s="62">
        <v>0.7319444444444444</v>
      </c>
      <c r="I138" s="113" t="str">
        <f t="shared" si="40"/>
        <v>03-08-2026T17:34:00</v>
      </c>
      <c r="J138" s="62">
        <v>0.7680555555555556</v>
      </c>
      <c r="K138" s="62"/>
      <c r="L138" s="63">
        <f t="shared" si="31"/>
        <v>3.6111111111111205E-2</v>
      </c>
      <c r="M138" s="64">
        <v>4.1666666666666664E-2</v>
      </c>
      <c r="N138" s="65" t="str">
        <f t="shared" si="32"/>
        <v>00:08:00</v>
      </c>
      <c r="O138" s="66"/>
      <c r="P138" s="124"/>
      <c r="Q138" s="67"/>
      <c r="R138" s="68"/>
      <c r="S138" s="68"/>
      <c r="T138" s="69">
        <f t="shared" si="33"/>
        <v>0</v>
      </c>
      <c r="U138" s="61"/>
      <c r="V138" s="83">
        <v>0</v>
      </c>
      <c r="W138" s="61">
        <f t="shared" si="34"/>
        <v>0</v>
      </c>
      <c r="X138" s="171">
        <v>46237.731944444444</v>
      </c>
      <c r="Y138" s="171">
        <v>46237.768055555556</v>
      </c>
      <c r="Z138" s="168">
        <f t="shared" si="35"/>
        <v>3.6111111112404615E-2</v>
      </c>
      <c r="AA138" s="169">
        <f t="shared" si="36"/>
        <v>4.1666666666666664E-2</v>
      </c>
      <c r="AB138" s="170" t="str">
        <f t="shared" si="37"/>
        <v>00:08:00</v>
      </c>
      <c r="AC138" s="170" t="b">
        <f t="shared" si="38"/>
        <v>1</v>
      </c>
    </row>
    <row r="139" spans="1:30" ht="9.75" hidden="1" customHeight="1" x14ac:dyDescent="0.3">
      <c r="A139" s="99">
        <v>46237</v>
      </c>
      <c r="B139" s="59">
        <v>8142941</v>
      </c>
      <c r="C139" s="60" t="s">
        <v>32</v>
      </c>
      <c r="D139" s="60" t="s">
        <v>476</v>
      </c>
      <c r="E139" s="61">
        <v>0.83333333333333337</v>
      </c>
      <c r="F139" s="60" t="s">
        <v>287</v>
      </c>
      <c r="G139" s="71" t="s">
        <v>13</v>
      </c>
      <c r="H139" s="62">
        <v>0.8256944444444444</v>
      </c>
      <c r="I139" s="113" t="str">
        <f t="shared" si="40"/>
        <v>03-08-2026T19:49:00</v>
      </c>
      <c r="J139" s="62">
        <v>0.96180555555555558</v>
      </c>
      <c r="K139" s="62"/>
      <c r="L139" s="63">
        <f t="shared" si="31"/>
        <v>0.13611111111111118</v>
      </c>
      <c r="M139" s="64">
        <v>0.14583333333333334</v>
      </c>
      <c r="N139" s="65" t="str">
        <f t="shared" si="32"/>
        <v>00:14:00</v>
      </c>
      <c r="O139" s="66"/>
      <c r="P139" s="124"/>
      <c r="Q139" s="67"/>
      <c r="R139" s="68"/>
      <c r="S139" s="68"/>
      <c r="T139" s="69">
        <f t="shared" si="33"/>
        <v>0</v>
      </c>
      <c r="U139" s="61"/>
      <c r="V139" s="83">
        <v>0</v>
      </c>
      <c r="W139" s="61">
        <f t="shared" si="34"/>
        <v>0</v>
      </c>
      <c r="X139" s="171">
        <v>46237.825694444444</v>
      </c>
      <c r="Y139" s="171">
        <v>46237.961805555555</v>
      </c>
      <c r="Z139" s="168">
        <f t="shared" si="35"/>
        <v>0.13611111111094942</v>
      </c>
      <c r="AA139" s="169">
        <f t="shared" si="36"/>
        <v>0.14583333333333334</v>
      </c>
      <c r="AB139" s="170" t="str">
        <f t="shared" si="37"/>
        <v>00:14:00</v>
      </c>
      <c r="AC139" s="170" t="b">
        <f t="shared" si="38"/>
        <v>1</v>
      </c>
    </row>
    <row r="140" spans="1:30" ht="9.75" hidden="1" customHeight="1" x14ac:dyDescent="0.3">
      <c r="A140" s="99">
        <v>46237</v>
      </c>
      <c r="B140" s="59">
        <v>8143173</v>
      </c>
      <c r="C140" s="60" t="s">
        <v>42</v>
      </c>
      <c r="D140" s="60" t="s">
        <v>181</v>
      </c>
      <c r="E140" s="61">
        <v>0.875</v>
      </c>
      <c r="F140" s="60" t="s">
        <v>55</v>
      </c>
      <c r="G140" s="71" t="s">
        <v>13</v>
      </c>
      <c r="H140" s="62">
        <v>0.87847222222222221</v>
      </c>
      <c r="I140" s="113" t="str">
        <f t="shared" si="40"/>
        <v>03-08-2026T21:05:00</v>
      </c>
      <c r="J140" s="62">
        <v>0.93402777777777779</v>
      </c>
      <c r="K140" s="62"/>
      <c r="L140" s="63">
        <f t="shared" si="31"/>
        <v>5.555555555555558E-2</v>
      </c>
      <c r="M140" s="64">
        <v>6.25E-2</v>
      </c>
      <c r="N140" s="65" t="str">
        <f t="shared" si="32"/>
        <v>00:10:00</v>
      </c>
      <c r="O140" s="66"/>
      <c r="P140" s="124"/>
      <c r="Q140" s="67"/>
      <c r="R140" s="68"/>
      <c r="S140" s="68"/>
      <c r="T140" s="69">
        <f t="shared" si="33"/>
        <v>0</v>
      </c>
      <c r="U140" s="61"/>
      <c r="V140" s="83">
        <v>0</v>
      </c>
      <c r="W140" s="61">
        <f t="shared" si="34"/>
        <v>0</v>
      </c>
      <c r="X140" s="171">
        <v>46237.878472222219</v>
      </c>
      <c r="Y140" s="171">
        <v>46237.934027777781</v>
      </c>
      <c r="Z140" s="168">
        <f t="shared" si="35"/>
        <v>5.5555555562023073E-2</v>
      </c>
      <c r="AA140" s="169">
        <f t="shared" si="36"/>
        <v>6.25E-2</v>
      </c>
      <c r="AB140" s="170" t="str">
        <f t="shared" si="37"/>
        <v>00:10:00</v>
      </c>
      <c r="AC140" s="170" t="b">
        <f t="shared" si="38"/>
        <v>1</v>
      </c>
    </row>
    <row r="141" spans="1:30" ht="9.75" hidden="1" customHeight="1" x14ac:dyDescent="0.3">
      <c r="A141" s="99">
        <v>46237</v>
      </c>
      <c r="B141" s="59">
        <v>8143103</v>
      </c>
      <c r="C141" s="60" t="s">
        <v>41</v>
      </c>
      <c r="D141" s="60" t="s">
        <v>299</v>
      </c>
      <c r="E141" s="61">
        <v>0.875</v>
      </c>
      <c r="F141" s="60" t="s">
        <v>24</v>
      </c>
      <c r="G141" s="71" t="s">
        <v>13</v>
      </c>
      <c r="H141" s="62">
        <v>0.86458333333333337</v>
      </c>
      <c r="I141" s="113" t="str">
        <f t="shared" si="40"/>
        <v>03-08-2026T20:45:00</v>
      </c>
      <c r="J141" s="62">
        <v>0.94652777777777775</v>
      </c>
      <c r="K141" s="62"/>
      <c r="L141" s="63">
        <f t="shared" si="31"/>
        <v>8.1944444444444375E-2</v>
      </c>
      <c r="M141" s="64">
        <v>8.3333333333333329E-2</v>
      </c>
      <c r="N141" s="65" t="str">
        <f t="shared" si="32"/>
        <v>00:02:00</v>
      </c>
      <c r="O141" s="66"/>
      <c r="P141" s="124"/>
      <c r="Q141" s="67"/>
      <c r="R141" s="68"/>
      <c r="S141" s="68"/>
      <c r="T141" s="69">
        <f t="shared" si="33"/>
        <v>0</v>
      </c>
      <c r="U141" s="61"/>
      <c r="V141" s="83">
        <v>0</v>
      </c>
      <c r="W141" s="61">
        <f t="shared" si="34"/>
        <v>0</v>
      </c>
      <c r="X141" s="171">
        <v>46237.864583333336</v>
      </c>
      <c r="Y141" s="171">
        <v>46237.946527777778</v>
      </c>
      <c r="Z141" s="168">
        <f t="shared" si="35"/>
        <v>8.1944444442342501E-2</v>
      </c>
      <c r="AA141" s="169">
        <f t="shared" si="36"/>
        <v>8.3333333333333329E-2</v>
      </c>
      <c r="AB141" s="170" t="str">
        <f t="shared" si="37"/>
        <v>00:02:00</v>
      </c>
      <c r="AC141" s="170" t="b">
        <f t="shared" si="38"/>
        <v>1</v>
      </c>
    </row>
    <row r="142" spans="1:30" ht="9.75" hidden="1" customHeight="1" x14ac:dyDescent="0.3">
      <c r="A142" s="99">
        <v>46237</v>
      </c>
      <c r="B142" s="59">
        <v>8143372</v>
      </c>
      <c r="C142" s="60" t="s">
        <v>20</v>
      </c>
      <c r="D142" s="60" t="s">
        <v>383</v>
      </c>
      <c r="E142" s="61">
        <v>0.95833333333333337</v>
      </c>
      <c r="F142" s="60" t="s">
        <v>21</v>
      </c>
      <c r="G142" s="71" t="s">
        <v>13</v>
      </c>
      <c r="H142" s="62">
        <v>46237.95208333333</v>
      </c>
      <c r="I142" s="113" t="str">
        <f t="shared" si="40"/>
        <v>03-08-2026T22:51:00</v>
      </c>
      <c r="J142" s="62">
        <v>46238.19027777778</v>
      </c>
      <c r="K142" s="62"/>
      <c r="L142" s="63">
        <f t="shared" si="31"/>
        <v>0.23819444444961846</v>
      </c>
      <c r="M142" s="64">
        <v>0.25</v>
      </c>
      <c r="N142" s="65" t="str">
        <f t="shared" si="32"/>
        <v>00:17:00</v>
      </c>
      <c r="O142" s="66"/>
      <c r="P142" s="124"/>
      <c r="Q142" s="67"/>
      <c r="R142" s="68"/>
      <c r="S142" s="68"/>
      <c r="T142" s="69">
        <f t="shared" si="33"/>
        <v>0</v>
      </c>
      <c r="U142" s="61"/>
      <c r="V142" s="83">
        <v>0</v>
      </c>
      <c r="W142" s="61">
        <f t="shared" si="34"/>
        <v>0</v>
      </c>
      <c r="X142" s="171">
        <v>46237.95208333333</v>
      </c>
      <c r="Y142" s="171">
        <v>46238.19027777778</v>
      </c>
      <c r="Z142" s="168">
        <f t="shared" si="35"/>
        <v>0.23819444444961846</v>
      </c>
      <c r="AA142" s="169">
        <f t="shared" si="36"/>
        <v>0.25</v>
      </c>
      <c r="AB142" s="170" t="str">
        <f t="shared" si="37"/>
        <v>00:17:00</v>
      </c>
      <c r="AC142" s="170" t="b">
        <f t="shared" si="38"/>
        <v>1</v>
      </c>
    </row>
    <row r="143" spans="1:30" s="127" customFormat="1" ht="9.75" hidden="1" customHeight="1" x14ac:dyDescent="0.3">
      <c r="A143" s="98">
        <v>46234</v>
      </c>
      <c r="B143" s="48">
        <v>8133785</v>
      </c>
      <c r="C143" s="49" t="s">
        <v>22</v>
      </c>
      <c r="D143" s="49" t="s">
        <v>385</v>
      </c>
      <c r="E143" s="50">
        <v>0.375</v>
      </c>
      <c r="F143" s="49" t="s">
        <v>13</v>
      </c>
      <c r="G143" s="70" t="s">
        <v>47</v>
      </c>
      <c r="H143" s="51">
        <v>46234.520138888889</v>
      </c>
      <c r="I143" s="113" t="str">
        <f t="shared" si="40"/>
        <v>31-07-2026T12:29:00</v>
      </c>
      <c r="J143" s="51">
        <v>46236.561805555553</v>
      </c>
      <c r="K143" s="51"/>
      <c r="L143" s="52">
        <f t="shared" si="31"/>
        <v>2.0416666666642413</v>
      </c>
      <c r="M143" s="53">
        <v>1.9166666666666667</v>
      </c>
      <c r="N143" s="54" t="str">
        <f t="shared" si="32"/>
        <v>-03:00:00</v>
      </c>
      <c r="O143" s="55">
        <v>600</v>
      </c>
      <c r="P143" s="125" t="s">
        <v>786</v>
      </c>
      <c r="Q143" s="56" t="s">
        <v>96</v>
      </c>
      <c r="R143" s="57">
        <v>46236.349305555559</v>
      </c>
      <c r="S143" s="57">
        <v>46236.421527777777</v>
      </c>
      <c r="T143" s="58">
        <f t="shared" si="33"/>
        <v>7.2222222217533272E-2</v>
      </c>
      <c r="U143" s="50"/>
      <c r="V143" s="74">
        <v>8.3333333333333329E-2</v>
      </c>
      <c r="W143" s="50">
        <f t="shared" si="34"/>
        <v>-1.1111111115800057E-2</v>
      </c>
      <c r="X143" s="171">
        <v>46234.520138888889</v>
      </c>
      <c r="Y143" s="171">
        <v>46236.561805555553</v>
      </c>
      <c r="Z143" s="168">
        <f t="shared" si="35"/>
        <v>2.0416666666642413</v>
      </c>
      <c r="AA143" s="169">
        <f t="shared" si="36"/>
        <v>1.9166666666666667</v>
      </c>
      <c r="AB143" s="170" t="str">
        <f t="shared" si="37"/>
        <v>-03:00:00</v>
      </c>
      <c r="AC143" s="170" t="b">
        <f t="shared" si="38"/>
        <v>1</v>
      </c>
      <c r="AD143" t="s">
        <v>787</v>
      </c>
    </row>
    <row r="144" spans="1:30" ht="9.75" hidden="1" customHeight="1" x14ac:dyDescent="0.3">
      <c r="A144" s="99">
        <v>46237</v>
      </c>
      <c r="B144" s="59">
        <v>8140719</v>
      </c>
      <c r="C144" s="60" t="s">
        <v>22</v>
      </c>
      <c r="D144" s="60" t="s">
        <v>385</v>
      </c>
      <c r="E144" s="61">
        <v>0.95833333333333337</v>
      </c>
      <c r="F144" s="60" t="s">
        <v>173</v>
      </c>
      <c r="G144" s="71" t="s">
        <v>13</v>
      </c>
      <c r="H144" s="62">
        <v>46237.004166666666</v>
      </c>
      <c r="I144" s="113" t="str">
        <f t="shared" si="40"/>
        <v>03-08-2026T00:06:00</v>
      </c>
      <c r="J144" s="62">
        <v>46238.904166666667</v>
      </c>
      <c r="K144" s="62"/>
      <c r="L144" s="63">
        <f t="shared" si="31"/>
        <v>1.9000000000014552</v>
      </c>
      <c r="M144" s="64">
        <v>1.9166666666666667</v>
      </c>
      <c r="N144" s="65" t="str">
        <f t="shared" si="32"/>
        <v>00:24:00</v>
      </c>
      <c r="O144" s="66"/>
      <c r="P144" s="124"/>
      <c r="Q144" s="67" t="s">
        <v>96</v>
      </c>
      <c r="R144" s="68">
        <v>0.15347222222222223</v>
      </c>
      <c r="S144" s="68">
        <v>0.25694444444444442</v>
      </c>
      <c r="T144" s="47">
        <f t="shared" si="33"/>
        <v>0.10347222222222219</v>
      </c>
      <c r="U144" s="61"/>
      <c r="V144" s="83">
        <v>8.3333333333333329E-2</v>
      </c>
      <c r="W144" s="61">
        <f t="shared" si="34"/>
        <v>2.0138888888888859E-2</v>
      </c>
      <c r="X144" s="171">
        <v>46237.004166666666</v>
      </c>
      <c r="Y144" s="171">
        <v>46238.904166666667</v>
      </c>
      <c r="Z144" s="168">
        <f t="shared" si="35"/>
        <v>1.9000000000014552</v>
      </c>
      <c r="AA144" s="169">
        <f t="shared" si="36"/>
        <v>1.9166666666666667</v>
      </c>
      <c r="AB144" s="170" t="str">
        <f t="shared" si="37"/>
        <v>00:24:00</v>
      </c>
      <c r="AC144" s="170" t="b">
        <f t="shared" si="38"/>
        <v>1</v>
      </c>
    </row>
    <row r="145" spans="1:30" ht="9.75" hidden="1" customHeight="1" x14ac:dyDescent="0.3">
      <c r="A145" s="99">
        <v>46237</v>
      </c>
      <c r="B145" s="59">
        <v>8143478</v>
      </c>
      <c r="C145" s="60" t="s">
        <v>56</v>
      </c>
      <c r="D145" s="60" t="s">
        <v>326</v>
      </c>
      <c r="E145" s="61">
        <v>0.99930555555555556</v>
      </c>
      <c r="F145" s="60" t="s">
        <v>15</v>
      </c>
      <c r="G145" s="71" t="s">
        <v>13</v>
      </c>
      <c r="H145" s="62">
        <v>46237.997916666667</v>
      </c>
      <c r="I145" s="113" t="str">
        <f t="shared" si="40"/>
        <v>03-08-2026T23:57:00</v>
      </c>
      <c r="J145" s="62">
        <v>46238.20416666667</v>
      </c>
      <c r="K145" s="62"/>
      <c r="L145" s="63">
        <f t="shared" si="31"/>
        <v>0.20625000000291038</v>
      </c>
      <c r="M145" s="64">
        <v>0.20833333333333334</v>
      </c>
      <c r="N145" s="65" t="str">
        <f t="shared" si="32"/>
        <v>00:03:00</v>
      </c>
      <c r="O145" s="66"/>
      <c r="P145" s="124"/>
      <c r="Q145" s="67"/>
      <c r="R145" s="68"/>
      <c r="S145" s="68"/>
      <c r="T145" s="69">
        <f t="shared" si="33"/>
        <v>0</v>
      </c>
      <c r="U145" s="61"/>
      <c r="V145" s="83">
        <v>0</v>
      </c>
      <c r="W145" s="61">
        <f t="shared" si="34"/>
        <v>0</v>
      </c>
      <c r="X145" s="171">
        <v>46237.997916666667</v>
      </c>
      <c r="Y145" s="171">
        <v>46238.20416666667</v>
      </c>
      <c r="Z145" s="168">
        <f t="shared" si="35"/>
        <v>0.20625000000291038</v>
      </c>
      <c r="AA145" s="169">
        <f t="shared" si="36"/>
        <v>0.20833333333333334</v>
      </c>
      <c r="AB145" s="170" t="str">
        <f t="shared" si="37"/>
        <v>00:03:00</v>
      </c>
      <c r="AC145" s="170" t="b">
        <f t="shared" si="38"/>
        <v>1</v>
      </c>
    </row>
    <row r="146" spans="1:30" ht="9.75" hidden="1" customHeight="1" x14ac:dyDescent="0.3">
      <c r="A146" s="99">
        <v>46237</v>
      </c>
      <c r="B146" s="59">
        <v>8143474</v>
      </c>
      <c r="C146" s="60" t="s">
        <v>54</v>
      </c>
      <c r="D146" s="60" t="s">
        <v>288</v>
      </c>
      <c r="E146" s="61">
        <v>0.99930555555555556</v>
      </c>
      <c r="F146" s="60" t="s">
        <v>24</v>
      </c>
      <c r="G146" s="71" t="s">
        <v>13</v>
      </c>
      <c r="H146" s="62">
        <v>46237.997916666667</v>
      </c>
      <c r="I146" s="113" t="str">
        <f t="shared" si="40"/>
        <v>03-08-2026T23:57:00</v>
      </c>
      <c r="J146" s="62">
        <v>46238.069444444445</v>
      </c>
      <c r="K146" s="62"/>
      <c r="L146" s="63">
        <f t="shared" si="31"/>
        <v>7.1527777778101154E-2</v>
      </c>
      <c r="M146" s="64">
        <v>8.3333333333333329E-2</v>
      </c>
      <c r="N146" s="65" t="str">
        <f t="shared" si="32"/>
        <v>00:17:00</v>
      </c>
      <c r="O146" s="66"/>
      <c r="P146" s="124"/>
      <c r="Q146" s="67"/>
      <c r="R146" s="68"/>
      <c r="S146" s="68"/>
      <c r="T146" s="69">
        <f t="shared" si="33"/>
        <v>0</v>
      </c>
      <c r="U146" s="61"/>
      <c r="V146" s="83">
        <v>0</v>
      </c>
      <c r="W146" s="61">
        <f t="shared" si="34"/>
        <v>0</v>
      </c>
      <c r="X146" s="171">
        <v>46237.997916666667</v>
      </c>
      <c r="Y146" s="171">
        <v>46238.069444444445</v>
      </c>
      <c r="Z146" s="168">
        <f t="shared" si="35"/>
        <v>7.1527777778101154E-2</v>
      </c>
      <c r="AA146" s="169">
        <f t="shared" si="36"/>
        <v>8.3333333333333329E-2</v>
      </c>
      <c r="AB146" s="170" t="str">
        <f t="shared" si="37"/>
        <v>00:17:00</v>
      </c>
      <c r="AC146" s="170" t="b">
        <f t="shared" si="38"/>
        <v>1</v>
      </c>
    </row>
    <row r="147" spans="1:30" s="127" customFormat="1" ht="9.75" hidden="1" customHeight="1" x14ac:dyDescent="0.3">
      <c r="A147" s="98">
        <v>46234</v>
      </c>
      <c r="B147" s="48">
        <v>8133462</v>
      </c>
      <c r="C147" s="49" t="s">
        <v>105</v>
      </c>
      <c r="D147" s="49" t="s">
        <v>785</v>
      </c>
      <c r="E147" s="50" t="s">
        <v>184</v>
      </c>
      <c r="F147" s="49" t="s">
        <v>13</v>
      </c>
      <c r="G147" s="70" t="s">
        <v>664</v>
      </c>
      <c r="H147" s="51">
        <v>46234.397916666669</v>
      </c>
      <c r="I147" s="113" t="str">
        <f t="shared" si="40"/>
        <v>31-07-2026T09:33:00</v>
      </c>
      <c r="J147" s="51">
        <v>46236.615972222222</v>
      </c>
      <c r="K147" s="51"/>
      <c r="L147" s="52">
        <f t="shared" si="31"/>
        <v>2.2180555555532919</v>
      </c>
      <c r="M147" s="53">
        <v>2.1666666666666665</v>
      </c>
      <c r="N147" s="54" t="str">
        <f t="shared" si="32"/>
        <v>-01:14:00</v>
      </c>
      <c r="O147" s="55"/>
      <c r="P147" s="125" t="s">
        <v>184</v>
      </c>
      <c r="Q147" s="56"/>
      <c r="R147" s="57"/>
      <c r="S147" s="57"/>
      <c r="T147" s="58">
        <f t="shared" si="33"/>
        <v>0</v>
      </c>
      <c r="U147" s="50"/>
      <c r="V147" s="74">
        <v>0</v>
      </c>
      <c r="W147" s="50">
        <f t="shared" si="34"/>
        <v>0</v>
      </c>
      <c r="X147" s="171">
        <v>46234.397916666669</v>
      </c>
      <c r="Y147" s="171">
        <v>46236.615972222222</v>
      </c>
      <c r="Z147" s="168">
        <f t="shared" si="35"/>
        <v>2.2180555555532919</v>
      </c>
      <c r="AA147" s="169">
        <f t="shared" si="36"/>
        <v>2.1666666666666665</v>
      </c>
      <c r="AB147" s="170" t="str">
        <f t="shared" si="37"/>
        <v>-01:14:00</v>
      </c>
      <c r="AC147" s="170" t="b">
        <f t="shared" si="38"/>
        <v>1</v>
      </c>
      <c r="AD147"/>
    </row>
    <row r="148" spans="1:30" ht="9.75" hidden="1" customHeight="1" x14ac:dyDescent="0.3">
      <c r="A148" s="99">
        <v>46237</v>
      </c>
      <c r="B148" s="59">
        <v>8142543</v>
      </c>
      <c r="C148" s="60" t="s">
        <v>105</v>
      </c>
      <c r="D148" s="60" t="s">
        <v>386</v>
      </c>
      <c r="E148" s="61" t="s">
        <v>184</v>
      </c>
      <c r="F148" s="60" t="s">
        <v>664</v>
      </c>
      <c r="G148" s="71" t="s">
        <v>13</v>
      </c>
      <c r="H148" s="62">
        <v>46237.703472222223</v>
      </c>
      <c r="I148" s="113" t="str">
        <f t="shared" si="40"/>
        <v>03-08-2026T16:53:00</v>
      </c>
      <c r="J148" s="62">
        <v>46239.747916666667</v>
      </c>
      <c r="K148" s="62"/>
      <c r="L148" s="63">
        <f t="shared" si="31"/>
        <v>2.0444444444437977</v>
      </c>
      <c r="M148" s="64">
        <v>2.25</v>
      </c>
      <c r="N148" s="65" t="str">
        <f t="shared" si="32"/>
        <v>04:56:00</v>
      </c>
      <c r="O148" s="66"/>
      <c r="P148" s="124" t="s">
        <v>184</v>
      </c>
      <c r="Q148" s="67"/>
      <c r="R148" s="68"/>
      <c r="S148" s="68"/>
      <c r="T148" s="69">
        <f t="shared" si="33"/>
        <v>0</v>
      </c>
      <c r="U148" s="61"/>
      <c r="V148" s="83">
        <v>0</v>
      </c>
      <c r="W148" s="61">
        <f t="shared" si="34"/>
        <v>0</v>
      </c>
      <c r="X148" s="171">
        <v>46237.703472222223</v>
      </c>
      <c r="Y148" s="171">
        <v>46239.747916666667</v>
      </c>
      <c r="Z148" s="168">
        <f t="shared" si="35"/>
        <v>2.0444444444437977</v>
      </c>
      <c r="AA148" s="169">
        <f t="shared" si="36"/>
        <v>2.25</v>
      </c>
      <c r="AB148" s="170" t="str">
        <f t="shared" si="37"/>
        <v>04:56:00</v>
      </c>
      <c r="AC148" s="170" t="b">
        <f t="shared" si="38"/>
        <v>1</v>
      </c>
    </row>
    <row r="149" spans="1:30" ht="9.75" hidden="1" customHeight="1" x14ac:dyDescent="0.3">
      <c r="A149" s="98">
        <v>46238</v>
      </c>
      <c r="B149" s="48">
        <v>8143604</v>
      </c>
      <c r="C149" s="49" t="s">
        <v>18</v>
      </c>
      <c r="D149" s="49" t="s">
        <v>389</v>
      </c>
      <c r="E149" s="50">
        <v>8.3333333333333329E-2</v>
      </c>
      <c r="F149" s="49" t="s">
        <v>13</v>
      </c>
      <c r="G149" s="70" t="s">
        <v>19</v>
      </c>
      <c r="H149" s="51">
        <v>8.3333333333333329E-2</v>
      </c>
      <c r="I149" s="113" t="str">
        <f t="shared" si="40"/>
        <v>04-08-2026T02:00:00</v>
      </c>
      <c r="J149" s="51">
        <v>0.57499999999999996</v>
      </c>
      <c r="K149" s="51"/>
      <c r="L149" s="52">
        <f t="shared" si="31"/>
        <v>0.49166666666666664</v>
      </c>
      <c r="M149" s="53">
        <v>0.41666666666666669</v>
      </c>
      <c r="N149" s="54" t="str">
        <f t="shared" si="32"/>
        <v>-01:48:00</v>
      </c>
      <c r="O149" s="55">
        <v>400</v>
      </c>
      <c r="P149" s="125" t="s">
        <v>436</v>
      </c>
      <c r="Q149" s="56" t="s">
        <v>229</v>
      </c>
      <c r="R149" s="57">
        <v>46238.4375</v>
      </c>
      <c r="S149" s="57">
        <v>46238.458333333336</v>
      </c>
      <c r="T149" s="58">
        <f t="shared" si="33"/>
        <v>2.0833333335758653E-2</v>
      </c>
      <c r="U149" s="50"/>
      <c r="V149" s="74">
        <v>6.25E-2</v>
      </c>
      <c r="W149" s="50">
        <f t="shared" si="34"/>
        <v>-4.1666666664241347E-2</v>
      </c>
      <c r="X149" s="171">
        <v>46238.083333333336</v>
      </c>
      <c r="Y149" s="171">
        <v>46238.574999999997</v>
      </c>
      <c r="Z149" s="168">
        <f t="shared" si="35"/>
        <v>0.49166666666133096</v>
      </c>
      <c r="AA149" s="169">
        <f t="shared" si="36"/>
        <v>0.41666666666666669</v>
      </c>
      <c r="AB149" s="170" t="str">
        <f t="shared" si="37"/>
        <v>-01:48:00</v>
      </c>
      <c r="AC149" s="170" t="b">
        <f t="shared" si="38"/>
        <v>1</v>
      </c>
    </row>
    <row r="150" spans="1:30" ht="9.75" hidden="1" customHeight="1" x14ac:dyDescent="0.3">
      <c r="A150" s="98">
        <v>46238</v>
      </c>
      <c r="B150" s="48">
        <v>8144250</v>
      </c>
      <c r="C150" s="49" t="s">
        <v>25</v>
      </c>
      <c r="D150" s="49" t="s">
        <v>380</v>
      </c>
      <c r="E150" s="50">
        <v>6.25E-2</v>
      </c>
      <c r="F150" s="49" t="s">
        <v>13</v>
      </c>
      <c r="G150" s="70" t="s">
        <v>26</v>
      </c>
      <c r="H150" s="51">
        <v>0.28611111111111109</v>
      </c>
      <c r="I150" s="113" t="str">
        <f t="shared" si="40"/>
        <v>04-08-2026T06:52:00</v>
      </c>
      <c r="J150" s="51">
        <v>0.7631944444444444</v>
      </c>
      <c r="K150" s="51"/>
      <c r="L150" s="52">
        <f t="shared" si="31"/>
        <v>0.4770833333333333</v>
      </c>
      <c r="M150" s="53">
        <v>0.41666666666666669</v>
      </c>
      <c r="N150" s="54" t="str">
        <f t="shared" si="32"/>
        <v>-01:27:00</v>
      </c>
      <c r="O150" s="55">
        <v>250</v>
      </c>
      <c r="P150" s="125" t="s">
        <v>437</v>
      </c>
      <c r="Q150" s="56" t="s">
        <v>312</v>
      </c>
      <c r="R150" s="57">
        <v>46238.506944444445</v>
      </c>
      <c r="S150" s="57">
        <v>46238.590277777781</v>
      </c>
      <c r="T150" s="47">
        <f t="shared" si="33"/>
        <v>8.3333333335758653E-2</v>
      </c>
      <c r="U150" s="50"/>
      <c r="V150" s="74">
        <v>4.1666666666666664E-2</v>
      </c>
      <c r="W150" s="50">
        <f t="shared" si="34"/>
        <v>4.1666666669091988E-2</v>
      </c>
      <c r="X150" s="171">
        <v>46238.286111111112</v>
      </c>
      <c r="Y150" s="171">
        <v>46238.763194444444</v>
      </c>
      <c r="Z150" s="168">
        <f t="shared" si="35"/>
        <v>0.47708333333139308</v>
      </c>
      <c r="AA150" s="169">
        <f t="shared" si="36"/>
        <v>0.41666666666666669</v>
      </c>
      <c r="AB150" s="170" t="str">
        <f t="shared" si="37"/>
        <v>-01:27:00</v>
      </c>
      <c r="AC150" s="170" t="b">
        <f t="shared" si="38"/>
        <v>1</v>
      </c>
    </row>
    <row r="151" spans="1:30" ht="9.75" hidden="1" customHeight="1" x14ac:dyDescent="0.3">
      <c r="A151" s="99">
        <v>46238</v>
      </c>
      <c r="B151" s="59">
        <v>8143590</v>
      </c>
      <c r="C151" s="60" t="s">
        <v>16</v>
      </c>
      <c r="D151" s="60" t="s">
        <v>285</v>
      </c>
      <c r="E151" s="61">
        <v>8.3333333333333329E-2</v>
      </c>
      <c r="F151" s="60" t="s">
        <v>15</v>
      </c>
      <c r="G151" s="71" t="s">
        <v>17</v>
      </c>
      <c r="H151" s="62">
        <v>8.0555555555555561E-2</v>
      </c>
      <c r="I151" s="113" t="str">
        <f t="shared" si="40"/>
        <v>04-08-2026T01:56:00</v>
      </c>
      <c r="J151" s="62">
        <v>0.48680555555555555</v>
      </c>
      <c r="K151" s="62"/>
      <c r="L151" s="63">
        <f t="shared" si="31"/>
        <v>0.40625</v>
      </c>
      <c r="M151" s="64">
        <v>0.41666666666666669</v>
      </c>
      <c r="N151" s="65" t="str">
        <f t="shared" si="32"/>
        <v>00:15:00</v>
      </c>
      <c r="O151" s="66"/>
      <c r="P151" s="124"/>
      <c r="Q151" s="67"/>
      <c r="R151" s="68"/>
      <c r="S151" s="68"/>
      <c r="T151" s="69">
        <f t="shared" si="33"/>
        <v>0</v>
      </c>
      <c r="U151" s="61"/>
      <c r="V151" s="83">
        <v>0</v>
      </c>
      <c r="W151" s="61">
        <f t="shared" si="34"/>
        <v>0</v>
      </c>
      <c r="X151" s="171">
        <v>46238.080555555556</v>
      </c>
      <c r="Y151" s="171">
        <v>46238.486805555556</v>
      </c>
      <c r="Z151" s="168">
        <f t="shared" si="35"/>
        <v>0.40625</v>
      </c>
      <c r="AA151" s="169">
        <f t="shared" si="36"/>
        <v>0.41666666666666669</v>
      </c>
      <c r="AB151" s="170" t="str">
        <f t="shared" si="37"/>
        <v>00:15:00</v>
      </c>
      <c r="AC151" s="170" t="b">
        <f t="shared" si="38"/>
        <v>1</v>
      </c>
    </row>
    <row r="152" spans="1:30" ht="9.75" hidden="1" customHeight="1" x14ac:dyDescent="0.3">
      <c r="A152" s="149">
        <v>46237</v>
      </c>
      <c r="B152" s="150" t="s">
        <v>667</v>
      </c>
      <c r="C152" s="151" t="s">
        <v>94</v>
      </c>
      <c r="D152" s="151" t="s">
        <v>293</v>
      </c>
      <c r="E152" s="152">
        <v>0</v>
      </c>
      <c r="F152" s="151"/>
      <c r="G152" s="153"/>
      <c r="H152" s="154">
        <v>0</v>
      </c>
      <c r="I152" s="113" t="str">
        <f t="shared" si="40"/>
        <v>03-08-2026T00:00:00</v>
      </c>
      <c r="J152" s="154">
        <v>0</v>
      </c>
      <c r="K152" s="154"/>
      <c r="L152" s="155">
        <v>0</v>
      </c>
      <c r="M152" s="160">
        <v>0</v>
      </c>
      <c r="N152" s="156">
        <v>0</v>
      </c>
      <c r="O152" s="157"/>
      <c r="P152" s="158" t="s">
        <v>480</v>
      </c>
      <c r="Q152" s="159" t="s">
        <v>480</v>
      </c>
      <c r="R152" s="148" t="s">
        <v>480</v>
      </c>
      <c r="S152" s="148" t="s">
        <v>480</v>
      </c>
      <c r="T152" s="161" t="s">
        <v>480</v>
      </c>
      <c r="U152" s="152" t="s">
        <v>480</v>
      </c>
      <c r="V152" s="146" t="s">
        <v>480</v>
      </c>
      <c r="W152" s="152" t="s">
        <v>480</v>
      </c>
      <c r="X152" s="171" t="s">
        <v>668</v>
      </c>
      <c r="Y152" s="171" t="s">
        <v>668</v>
      </c>
      <c r="Z152" s="168" t="e">
        <f t="shared" si="35"/>
        <v>#VALUE!</v>
      </c>
      <c r="AA152" s="169">
        <f t="shared" si="36"/>
        <v>0</v>
      </c>
      <c r="AB152" s="170" t="e">
        <f t="shared" si="37"/>
        <v>#VALUE!</v>
      </c>
      <c r="AC152" s="170" t="e">
        <f t="shared" si="38"/>
        <v>#VALUE!</v>
      </c>
    </row>
    <row r="153" spans="1:30" s="128" customFormat="1" ht="9.75" hidden="1" customHeight="1" x14ac:dyDescent="0.3">
      <c r="A153" s="99">
        <v>46238</v>
      </c>
      <c r="B153" s="59">
        <v>8143740</v>
      </c>
      <c r="C153" s="60" t="s">
        <v>94</v>
      </c>
      <c r="D153" s="60" t="s">
        <v>293</v>
      </c>
      <c r="E153" s="61">
        <v>0.125</v>
      </c>
      <c r="F153" s="60" t="s">
        <v>23</v>
      </c>
      <c r="G153" s="71" t="s">
        <v>13</v>
      </c>
      <c r="H153" s="62">
        <v>0.1388888888888889</v>
      </c>
      <c r="I153" s="113" t="str">
        <f t="shared" si="40"/>
        <v>04-08-2026T03:20:00</v>
      </c>
      <c r="J153" s="62">
        <v>46239.354166666664</v>
      </c>
      <c r="K153" s="62"/>
      <c r="L153" s="63">
        <f t="shared" ref="L153:L193" si="41">J153-H153</f>
        <v>46239.215277777774</v>
      </c>
      <c r="M153" s="64">
        <v>1.0833333333333333</v>
      </c>
      <c r="N153" s="65" t="str">
        <f t="shared" ref="N153:N193" si="42">IF(M153-L153&gt;0,TEXT(M153-L153,"HH:MM:SS"),TEXT(ABS(M153-L153),"-HH:MM:SS"))</f>
        <v>-03:10:00</v>
      </c>
      <c r="O153" s="66"/>
      <c r="P153" s="126" t="s">
        <v>403</v>
      </c>
      <c r="Q153" s="67" t="s">
        <v>13</v>
      </c>
      <c r="R153" s="68">
        <v>46239.286805555559</v>
      </c>
      <c r="S153" s="68">
        <v>46239.347222222219</v>
      </c>
      <c r="T153" s="69">
        <f t="shared" ref="T153:T193" si="43">S153-R153</f>
        <v>6.0416666659875773E-2</v>
      </c>
      <c r="U153" s="61"/>
      <c r="V153" s="83">
        <v>8.3333333333333329E-2</v>
      </c>
      <c r="W153" s="61">
        <f t="shared" ref="W153:W193" si="44">T153-V153</f>
        <v>-2.2916666673457556E-2</v>
      </c>
      <c r="X153" s="172">
        <v>46238.138888888891</v>
      </c>
      <c r="Y153" s="172">
        <v>46239.354166666664</v>
      </c>
      <c r="Z153" s="173">
        <f t="shared" si="35"/>
        <v>1.2152777777737356</v>
      </c>
      <c r="AA153" s="174">
        <f t="shared" si="36"/>
        <v>1.0833333333333333</v>
      </c>
      <c r="AB153" s="175" t="str">
        <f t="shared" si="37"/>
        <v>-03:10:00</v>
      </c>
      <c r="AC153" s="175" t="b">
        <f t="shared" si="38"/>
        <v>1</v>
      </c>
    </row>
    <row r="154" spans="1:30" ht="9.75" hidden="1" customHeight="1" x14ac:dyDescent="0.3">
      <c r="A154" s="98">
        <v>46238</v>
      </c>
      <c r="B154" s="48">
        <v>8143741</v>
      </c>
      <c r="C154" s="49" t="s">
        <v>84</v>
      </c>
      <c r="D154" s="49" t="s">
        <v>301</v>
      </c>
      <c r="E154" s="50">
        <v>0.125</v>
      </c>
      <c r="F154" s="49" t="s">
        <v>13</v>
      </c>
      <c r="G154" s="70" t="s">
        <v>284</v>
      </c>
      <c r="H154" s="51">
        <v>0.1388888888888889</v>
      </c>
      <c r="I154" s="113" t="str">
        <f t="shared" si="40"/>
        <v>04-08-2026T03:20:00</v>
      </c>
      <c r="J154" s="51">
        <v>0.51736111111111116</v>
      </c>
      <c r="K154" s="51"/>
      <c r="L154" s="52">
        <f t="shared" si="41"/>
        <v>0.37847222222222227</v>
      </c>
      <c r="M154" s="53">
        <v>0.35416666666666669</v>
      </c>
      <c r="N154" s="54" t="str">
        <f t="shared" si="42"/>
        <v>-00:35:00</v>
      </c>
      <c r="O154" s="55">
        <v>150</v>
      </c>
      <c r="P154" s="125" t="s">
        <v>125</v>
      </c>
      <c r="Q154" s="56" t="s">
        <v>174</v>
      </c>
      <c r="R154" s="57">
        <v>46238.388888888891</v>
      </c>
      <c r="S154" s="57">
        <v>46238.459722222222</v>
      </c>
      <c r="T154" s="47">
        <f t="shared" si="43"/>
        <v>7.0833333331393078E-2</v>
      </c>
      <c r="U154" s="50" t="s">
        <v>234</v>
      </c>
      <c r="V154" s="74">
        <v>6.25E-2</v>
      </c>
      <c r="W154" s="50">
        <f t="shared" si="44"/>
        <v>8.333333331393078E-3</v>
      </c>
      <c r="X154" s="171">
        <v>46238.138888888891</v>
      </c>
      <c r="Y154" s="171">
        <v>46238.517361111109</v>
      </c>
      <c r="Z154" s="168">
        <f t="shared" si="35"/>
        <v>0.37847222221898846</v>
      </c>
      <c r="AA154" s="169">
        <f t="shared" si="36"/>
        <v>0.35416666666666669</v>
      </c>
      <c r="AB154" s="170" t="str">
        <f t="shared" si="37"/>
        <v>-00:35:00</v>
      </c>
      <c r="AC154" s="170" t="b">
        <f t="shared" si="38"/>
        <v>1</v>
      </c>
    </row>
    <row r="155" spans="1:30" ht="9.75" hidden="1" customHeight="1" x14ac:dyDescent="0.3">
      <c r="A155" s="99">
        <v>46238</v>
      </c>
      <c r="B155" s="59">
        <v>8144314</v>
      </c>
      <c r="C155" s="60" t="s">
        <v>57</v>
      </c>
      <c r="D155" s="60" t="s">
        <v>370</v>
      </c>
      <c r="E155" s="61">
        <v>0.125</v>
      </c>
      <c r="F155" s="60" t="s">
        <v>24</v>
      </c>
      <c r="G155" s="71" t="s">
        <v>13</v>
      </c>
      <c r="H155" s="62">
        <v>0.30486111111111114</v>
      </c>
      <c r="I155" s="113" t="str">
        <f t="shared" si="40"/>
        <v>04-08-2026T07:19:00</v>
      </c>
      <c r="J155" s="62">
        <v>0.37430555555555556</v>
      </c>
      <c r="K155" s="62"/>
      <c r="L155" s="63">
        <f t="shared" si="41"/>
        <v>6.944444444444442E-2</v>
      </c>
      <c r="M155" s="64">
        <v>8.3333333333333329E-2</v>
      </c>
      <c r="N155" s="65" t="str">
        <f t="shared" si="42"/>
        <v>00:20:00</v>
      </c>
      <c r="O155" s="66"/>
      <c r="P155" s="124"/>
      <c r="Q155" s="67"/>
      <c r="R155" s="68"/>
      <c r="S155" s="68"/>
      <c r="T155" s="69">
        <f t="shared" si="43"/>
        <v>0</v>
      </c>
      <c r="U155" s="61" t="s">
        <v>234</v>
      </c>
      <c r="V155" s="83">
        <v>0</v>
      </c>
      <c r="W155" s="61">
        <f t="shared" si="44"/>
        <v>0</v>
      </c>
      <c r="X155" s="171">
        <v>46238.304861111108</v>
      </c>
      <c r="Y155" s="171">
        <v>46238.374305555553</v>
      </c>
      <c r="Z155" s="168">
        <f t="shared" si="35"/>
        <v>6.9444444445252884E-2</v>
      </c>
      <c r="AA155" s="169">
        <f t="shared" si="36"/>
        <v>8.3333333333333329E-2</v>
      </c>
      <c r="AB155" s="170" t="str">
        <f t="shared" si="37"/>
        <v>00:20:00</v>
      </c>
      <c r="AC155" s="170" t="b">
        <f t="shared" si="38"/>
        <v>1</v>
      </c>
    </row>
    <row r="156" spans="1:30" ht="9.75" hidden="1" customHeight="1" x14ac:dyDescent="0.3">
      <c r="A156" s="99">
        <v>46238</v>
      </c>
      <c r="B156" s="59">
        <v>8143852</v>
      </c>
      <c r="C156" s="60" t="s">
        <v>41</v>
      </c>
      <c r="D156" s="60" t="s">
        <v>299</v>
      </c>
      <c r="E156" s="61">
        <v>0.16666666666666666</v>
      </c>
      <c r="F156" s="60" t="s">
        <v>13</v>
      </c>
      <c r="G156" s="71" t="s">
        <v>24</v>
      </c>
      <c r="H156" s="62">
        <v>0.16875000000000001</v>
      </c>
      <c r="I156" s="113" t="str">
        <f t="shared" si="40"/>
        <v>04-08-2026T04:03:00</v>
      </c>
      <c r="J156" s="62">
        <v>0.24305555555555555</v>
      </c>
      <c r="K156" s="62"/>
      <c r="L156" s="63">
        <f t="shared" si="41"/>
        <v>7.4305555555555541E-2</v>
      </c>
      <c r="M156" s="64">
        <v>8.3333333333333329E-2</v>
      </c>
      <c r="N156" s="65" t="str">
        <f t="shared" si="42"/>
        <v>00:13:00</v>
      </c>
      <c r="O156" s="66"/>
      <c r="P156" s="124"/>
      <c r="Q156" s="67"/>
      <c r="R156" s="68"/>
      <c r="S156" s="68"/>
      <c r="T156" s="69">
        <f t="shared" si="43"/>
        <v>0</v>
      </c>
      <c r="U156" s="61" t="s">
        <v>234</v>
      </c>
      <c r="V156" s="83">
        <v>0</v>
      </c>
      <c r="W156" s="61">
        <f t="shared" si="44"/>
        <v>0</v>
      </c>
      <c r="X156" s="171">
        <v>46238.168749999997</v>
      </c>
      <c r="Y156" s="171">
        <v>46238.243055555555</v>
      </c>
      <c r="Z156" s="168">
        <f t="shared" si="35"/>
        <v>7.4305555557657499E-2</v>
      </c>
      <c r="AA156" s="169">
        <f t="shared" si="36"/>
        <v>8.3333333333333329E-2</v>
      </c>
      <c r="AB156" s="170" t="str">
        <f t="shared" si="37"/>
        <v>00:13:00</v>
      </c>
      <c r="AC156" s="170" t="b">
        <f t="shared" si="38"/>
        <v>1</v>
      </c>
    </row>
    <row r="157" spans="1:30" ht="9.75" hidden="1" customHeight="1" x14ac:dyDescent="0.3">
      <c r="A157" s="99">
        <v>46238</v>
      </c>
      <c r="B157" s="59">
        <v>8143849</v>
      </c>
      <c r="C157" s="60" t="s">
        <v>27</v>
      </c>
      <c r="D157" s="60" t="s">
        <v>378</v>
      </c>
      <c r="E157" s="61">
        <v>0.16666666666666666</v>
      </c>
      <c r="F157" s="60" t="s">
        <v>13</v>
      </c>
      <c r="G157" s="71" t="s">
        <v>28</v>
      </c>
      <c r="H157" s="62">
        <v>0.16805555555555557</v>
      </c>
      <c r="I157" s="113" t="str">
        <f t="shared" si="40"/>
        <v>04-08-2026T04:02:00</v>
      </c>
      <c r="J157" s="62">
        <v>0.33333333333333331</v>
      </c>
      <c r="K157" s="62"/>
      <c r="L157" s="63">
        <f t="shared" si="41"/>
        <v>0.16527777777777775</v>
      </c>
      <c r="M157" s="64">
        <v>0.16666666666666666</v>
      </c>
      <c r="N157" s="65" t="str">
        <f t="shared" si="42"/>
        <v>00:02:00</v>
      </c>
      <c r="O157" s="66"/>
      <c r="P157" s="124"/>
      <c r="Q157" s="67"/>
      <c r="R157" s="68"/>
      <c r="S157" s="68"/>
      <c r="T157" s="69">
        <f t="shared" si="43"/>
        <v>0</v>
      </c>
      <c r="U157" s="61" t="s">
        <v>234</v>
      </c>
      <c r="V157" s="83">
        <v>0</v>
      </c>
      <c r="W157" s="61">
        <f t="shared" si="44"/>
        <v>0</v>
      </c>
      <c r="X157" s="171">
        <v>46238.168055555558</v>
      </c>
      <c r="Y157" s="171">
        <v>46238.333333333336</v>
      </c>
      <c r="Z157" s="168">
        <f t="shared" si="35"/>
        <v>0.16527777777810115</v>
      </c>
      <c r="AA157" s="169">
        <f t="shared" si="36"/>
        <v>0.16666666666666666</v>
      </c>
      <c r="AB157" s="170" t="str">
        <f t="shared" si="37"/>
        <v>00:02:00</v>
      </c>
      <c r="AC157" s="170" t="b">
        <f t="shared" si="38"/>
        <v>1</v>
      </c>
    </row>
    <row r="158" spans="1:30" ht="9.75" hidden="1" customHeight="1" x14ac:dyDescent="0.3">
      <c r="A158" s="99">
        <v>46238</v>
      </c>
      <c r="B158" s="59">
        <v>8143830</v>
      </c>
      <c r="C158" s="60" t="s">
        <v>29</v>
      </c>
      <c r="D158" s="60" t="s">
        <v>373</v>
      </c>
      <c r="E158" s="61">
        <v>0.16666666666666666</v>
      </c>
      <c r="F158" s="60" t="s">
        <v>17</v>
      </c>
      <c r="G158" s="71" t="s">
        <v>15</v>
      </c>
      <c r="H158" s="62">
        <v>0.16527777777777777</v>
      </c>
      <c r="I158" s="113" t="str">
        <f t="shared" si="40"/>
        <v>04-08-2026T03:58:00</v>
      </c>
      <c r="J158" s="62">
        <v>0.65625</v>
      </c>
      <c r="K158" s="62"/>
      <c r="L158" s="63">
        <f t="shared" si="41"/>
        <v>0.49097222222222225</v>
      </c>
      <c r="M158" s="64">
        <v>0.5</v>
      </c>
      <c r="N158" s="65" t="str">
        <f t="shared" si="42"/>
        <v>00:13:00</v>
      </c>
      <c r="O158" s="66"/>
      <c r="P158" s="124"/>
      <c r="Q158" s="67" t="s">
        <v>98</v>
      </c>
      <c r="R158" s="68">
        <v>46238.375</v>
      </c>
      <c r="S158" s="68">
        <v>46238.456944444442</v>
      </c>
      <c r="T158" s="69">
        <f t="shared" si="43"/>
        <v>8.1944444442342501E-2</v>
      </c>
      <c r="U158" s="61" t="s">
        <v>234</v>
      </c>
      <c r="V158" s="83">
        <v>8.3333333333333329E-2</v>
      </c>
      <c r="W158" s="61">
        <f t="shared" si="44"/>
        <v>-1.3888888909908276E-3</v>
      </c>
      <c r="X158" s="171">
        <v>46238.165277777778</v>
      </c>
      <c r="Y158" s="171">
        <v>46238.65625</v>
      </c>
      <c r="Z158" s="168">
        <f t="shared" si="35"/>
        <v>0.49097222222189885</v>
      </c>
      <c r="AA158" s="169">
        <f t="shared" si="36"/>
        <v>0.5</v>
      </c>
      <c r="AB158" s="170" t="str">
        <f t="shared" si="37"/>
        <v>00:13:00</v>
      </c>
      <c r="AC158" s="170" t="b">
        <f t="shared" si="38"/>
        <v>1</v>
      </c>
    </row>
    <row r="159" spans="1:30" ht="9.75" hidden="1" customHeight="1" x14ac:dyDescent="0.3">
      <c r="A159" s="98">
        <v>46238</v>
      </c>
      <c r="B159" s="48">
        <v>8143851</v>
      </c>
      <c r="C159" s="49" t="s">
        <v>44</v>
      </c>
      <c r="D159" s="49" t="s">
        <v>473</v>
      </c>
      <c r="E159" s="50">
        <v>0.16666666666666666</v>
      </c>
      <c r="F159" s="49" t="s">
        <v>31</v>
      </c>
      <c r="G159" s="70" t="s">
        <v>13</v>
      </c>
      <c r="H159" s="51">
        <v>46238.168055555558</v>
      </c>
      <c r="I159" s="113" t="str">
        <f t="shared" si="40"/>
        <v>04-08-2026T04:02:00</v>
      </c>
      <c r="J159" s="51">
        <v>46239.059027777781</v>
      </c>
      <c r="K159" s="51"/>
      <c r="L159" s="52">
        <f t="shared" si="41"/>
        <v>0.89097222222335404</v>
      </c>
      <c r="M159" s="53">
        <v>0.70833333333333337</v>
      </c>
      <c r="N159" s="54" t="str">
        <f t="shared" si="42"/>
        <v>-04:23:00</v>
      </c>
      <c r="O159" s="55">
        <v>1200</v>
      </c>
      <c r="P159" s="125" t="s">
        <v>450</v>
      </c>
      <c r="Q159" s="56" t="s">
        <v>13</v>
      </c>
      <c r="R159" s="57">
        <v>46238.969444444447</v>
      </c>
      <c r="S159" s="57">
        <v>46239.041666666664</v>
      </c>
      <c r="T159" s="58">
        <f t="shared" si="43"/>
        <v>7.2222222217533272E-2</v>
      </c>
      <c r="U159" s="50"/>
      <c r="V159" s="74">
        <v>8.3333333333333329E-2</v>
      </c>
      <c r="W159" s="50">
        <f t="shared" si="44"/>
        <v>-1.1111111115800057E-2</v>
      </c>
      <c r="X159" s="171">
        <v>46238.168055555558</v>
      </c>
      <c r="Y159" s="171">
        <v>46239.059027777781</v>
      </c>
      <c r="Z159" s="168">
        <f t="shared" si="35"/>
        <v>0.89097222222335404</v>
      </c>
      <c r="AA159" s="169">
        <f t="shared" si="36"/>
        <v>0.70833333333333337</v>
      </c>
      <c r="AB159" s="170" t="str">
        <f t="shared" si="37"/>
        <v>-04:23:00</v>
      </c>
      <c r="AC159" s="170" t="b">
        <f t="shared" si="38"/>
        <v>1</v>
      </c>
    </row>
    <row r="160" spans="1:30" ht="9.75" hidden="1" customHeight="1" x14ac:dyDescent="0.3">
      <c r="A160" s="98">
        <v>46238</v>
      </c>
      <c r="B160" s="48">
        <v>8144003</v>
      </c>
      <c r="C160" s="49" t="s">
        <v>32</v>
      </c>
      <c r="D160" s="49" t="s">
        <v>390</v>
      </c>
      <c r="E160" s="50">
        <v>0.20833333333333334</v>
      </c>
      <c r="F160" s="49" t="s">
        <v>13</v>
      </c>
      <c r="G160" s="70" t="s">
        <v>287</v>
      </c>
      <c r="H160" s="51">
        <v>0.21180555555555555</v>
      </c>
      <c r="I160" s="113" t="str">
        <f t="shared" si="40"/>
        <v>04-08-2026T05:05:00</v>
      </c>
      <c r="J160" s="51">
        <v>0.37152777777777779</v>
      </c>
      <c r="K160" s="51"/>
      <c r="L160" s="52">
        <f t="shared" si="41"/>
        <v>0.15972222222222224</v>
      </c>
      <c r="M160" s="53">
        <v>0.14583333333333334</v>
      </c>
      <c r="N160" s="54" t="str">
        <f t="shared" si="42"/>
        <v>-00:20:00</v>
      </c>
      <c r="O160" s="55">
        <v>100</v>
      </c>
      <c r="P160" s="125" t="s">
        <v>438</v>
      </c>
      <c r="Q160" s="56"/>
      <c r="R160" s="57"/>
      <c r="S160" s="57"/>
      <c r="T160" s="58">
        <f t="shared" si="43"/>
        <v>0</v>
      </c>
      <c r="U160" s="50"/>
      <c r="V160" s="74">
        <v>0</v>
      </c>
      <c r="W160" s="50">
        <f t="shared" si="44"/>
        <v>0</v>
      </c>
      <c r="X160" s="171">
        <v>46238.211805555555</v>
      </c>
      <c r="Y160" s="171">
        <v>46238.371527777781</v>
      </c>
      <c r="Z160" s="168">
        <f t="shared" si="35"/>
        <v>0.15972222222626442</v>
      </c>
      <c r="AA160" s="169">
        <f t="shared" si="36"/>
        <v>0.14583333333333334</v>
      </c>
      <c r="AB160" s="170" t="str">
        <f t="shared" si="37"/>
        <v>-00:20:00</v>
      </c>
      <c r="AC160" s="170" t="b">
        <f t="shared" si="38"/>
        <v>1</v>
      </c>
    </row>
    <row r="161" spans="1:29" ht="9.75" hidden="1" customHeight="1" x14ac:dyDescent="0.3">
      <c r="A161" s="99">
        <v>46238</v>
      </c>
      <c r="B161" s="59">
        <v>8143928</v>
      </c>
      <c r="C161" s="60" t="s">
        <v>82</v>
      </c>
      <c r="D161" s="60" t="s">
        <v>333</v>
      </c>
      <c r="E161" s="61">
        <v>0.20833333333333334</v>
      </c>
      <c r="F161" s="60" t="s">
        <v>26</v>
      </c>
      <c r="G161" s="71" t="s">
        <v>13</v>
      </c>
      <c r="H161" s="62">
        <v>0.19930555555555557</v>
      </c>
      <c r="I161" s="113" t="str">
        <f t="shared" si="40"/>
        <v>04-08-2026T04:47:00</v>
      </c>
      <c r="J161" s="62">
        <v>0.60347222222222219</v>
      </c>
      <c r="K161" s="62"/>
      <c r="L161" s="63">
        <f t="shared" si="41"/>
        <v>0.40416666666666662</v>
      </c>
      <c r="M161" s="64">
        <v>0.45833333333333331</v>
      </c>
      <c r="N161" s="65" t="str">
        <f t="shared" si="42"/>
        <v>01:18:00</v>
      </c>
      <c r="O161" s="66"/>
      <c r="P161" s="124"/>
      <c r="Q161" s="67" t="s">
        <v>13</v>
      </c>
      <c r="R161" s="68">
        <v>46238.543749999997</v>
      </c>
      <c r="S161" s="68">
        <v>46238.597222222219</v>
      </c>
      <c r="T161" s="69">
        <f t="shared" si="43"/>
        <v>5.3472222221898846E-2</v>
      </c>
      <c r="U161" s="61"/>
      <c r="V161" s="83">
        <v>8.3333333333333329E-2</v>
      </c>
      <c r="W161" s="61">
        <f t="shared" si="44"/>
        <v>-2.9861111111434482E-2</v>
      </c>
      <c r="X161" s="171">
        <v>46238.199305555558</v>
      </c>
      <c r="Y161" s="171">
        <v>46238.603472222225</v>
      </c>
      <c r="Z161" s="168">
        <f t="shared" si="35"/>
        <v>0.40416666666715173</v>
      </c>
      <c r="AA161" s="169">
        <f t="shared" si="36"/>
        <v>0.45833333333333331</v>
      </c>
      <c r="AB161" s="170" t="str">
        <f t="shared" si="37"/>
        <v>01:18:00</v>
      </c>
      <c r="AC161" s="170" t="b">
        <f t="shared" si="38"/>
        <v>1</v>
      </c>
    </row>
    <row r="162" spans="1:29" ht="9.75" hidden="1" customHeight="1" x14ac:dyDescent="0.3">
      <c r="A162" s="99">
        <v>46238</v>
      </c>
      <c r="B162" s="59">
        <v>8144163</v>
      </c>
      <c r="C162" s="60" t="s">
        <v>38</v>
      </c>
      <c r="D162" s="60" t="s">
        <v>289</v>
      </c>
      <c r="E162" s="61">
        <v>0.25</v>
      </c>
      <c r="F162" s="60" t="s">
        <v>14</v>
      </c>
      <c r="G162" s="71" t="s">
        <v>13</v>
      </c>
      <c r="H162" s="62">
        <v>0.25</v>
      </c>
      <c r="I162" s="113" t="str">
        <f t="shared" si="40"/>
        <v>04-08-2026T06:00:00</v>
      </c>
      <c r="J162" s="62">
        <v>0.78680555555555554</v>
      </c>
      <c r="K162" s="62"/>
      <c r="L162" s="63">
        <f t="shared" si="41"/>
        <v>0.53680555555555554</v>
      </c>
      <c r="M162" s="64">
        <v>0.54166666666666663</v>
      </c>
      <c r="N162" s="65" t="str">
        <f t="shared" si="42"/>
        <v>00:07:00</v>
      </c>
      <c r="O162" s="66"/>
      <c r="P162" s="124"/>
      <c r="Q162" s="67"/>
      <c r="R162" s="68"/>
      <c r="S162" s="68"/>
      <c r="T162" s="69">
        <f t="shared" si="43"/>
        <v>0</v>
      </c>
      <c r="U162" s="61"/>
      <c r="V162" s="83">
        <v>0</v>
      </c>
      <c r="W162" s="61">
        <f t="shared" si="44"/>
        <v>0</v>
      </c>
      <c r="X162" s="171">
        <v>46238.25</v>
      </c>
      <c r="Y162" s="171">
        <v>46238.786805555559</v>
      </c>
      <c r="Z162" s="168">
        <f t="shared" si="35"/>
        <v>0.53680555555911269</v>
      </c>
      <c r="AA162" s="169">
        <f t="shared" si="36"/>
        <v>0.54166666666666663</v>
      </c>
      <c r="AB162" s="170" t="str">
        <f t="shared" si="37"/>
        <v>00:07:00</v>
      </c>
      <c r="AC162" s="170" t="b">
        <f t="shared" si="38"/>
        <v>1</v>
      </c>
    </row>
    <row r="163" spans="1:29" ht="9.75" hidden="1" customHeight="1" x14ac:dyDescent="0.3">
      <c r="A163" s="99">
        <v>46238</v>
      </c>
      <c r="B163" s="59">
        <v>8144182</v>
      </c>
      <c r="C163" s="60" t="s">
        <v>89</v>
      </c>
      <c r="D163" s="60" t="s">
        <v>294</v>
      </c>
      <c r="E163" s="61">
        <v>0.25</v>
      </c>
      <c r="F163" s="60" t="s">
        <v>13</v>
      </c>
      <c r="G163" s="71" t="s">
        <v>35</v>
      </c>
      <c r="H163" s="62">
        <v>0.25555555555555554</v>
      </c>
      <c r="I163" s="113" t="str">
        <f t="shared" si="40"/>
        <v>04-08-2026T06:08:00</v>
      </c>
      <c r="J163" s="62">
        <v>0.28819444444444442</v>
      </c>
      <c r="K163" s="62"/>
      <c r="L163" s="63">
        <f t="shared" si="41"/>
        <v>3.2638888888888884E-2</v>
      </c>
      <c r="M163" s="64">
        <v>4.1666666666666664E-2</v>
      </c>
      <c r="N163" s="65" t="str">
        <f t="shared" si="42"/>
        <v>00:13:00</v>
      </c>
      <c r="O163" s="66"/>
      <c r="P163" s="124"/>
      <c r="Q163" s="67"/>
      <c r="R163" s="68"/>
      <c r="S163" s="68"/>
      <c r="T163" s="69">
        <f t="shared" si="43"/>
        <v>0</v>
      </c>
      <c r="U163" s="61"/>
      <c r="V163" s="83">
        <v>0</v>
      </c>
      <c r="W163" s="61">
        <f t="shared" si="44"/>
        <v>0</v>
      </c>
      <c r="X163" s="171">
        <v>46238.255555555559</v>
      </c>
      <c r="Y163" s="171">
        <v>46238.288194444445</v>
      </c>
      <c r="Z163" s="168">
        <f t="shared" si="35"/>
        <v>3.2638888886140194E-2</v>
      </c>
      <c r="AA163" s="169">
        <f t="shared" si="36"/>
        <v>4.1666666666666664E-2</v>
      </c>
      <c r="AB163" s="170" t="str">
        <f t="shared" si="37"/>
        <v>00:13:00</v>
      </c>
      <c r="AC163" s="170" t="b">
        <f t="shared" si="38"/>
        <v>1</v>
      </c>
    </row>
    <row r="164" spans="1:29" ht="9.75" hidden="1" customHeight="1" x14ac:dyDescent="0.3">
      <c r="A164" s="98">
        <v>46238</v>
      </c>
      <c r="B164" s="48">
        <v>8144226</v>
      </c>
      <c r="C164" s="49" t="s">
        <v>12</v>
      </c>
      <c r="D164" s="49" t="s">
        <v>379</v>
      </c>
      <c r="E164" s="50">
        <v>0.27083333333333331</v>
      </c>
      <c r="F164" s="49" t="s">
        <v>14</v>
      </c>
      <c r="G164" s="70" t="s">
        <v>13</v>
      </c>
      <c r="H164" s="51">
        <v>0.27083333333333331</v>
      </c>
      <c r="I164" s="113" t="str">
        <f t="shared" si="40"/>
        <v>04-08-2026T06:30:00</v>
      </c>
      <c r="J164" s="51">
        <v>0.95833333333333337</v>
      </c>
      <c r="K164" s="51"/>
      <c r="L164" s="52">
        <f t="shared" si="41"/>
        <v>0.6875</v>
      </c>
      <c r="M164" s="53">
        <v>0.625</v>
      </c>
      <c r="N164" s="54" t="str">
        <f t="shared" si="42"/>
        <v>-01:30:00</v>
      </c>
      <c r="O164" s="55">
        <v>200</v>
      </c>
      <c r="P164" s="125" t="s">
        <v>439</v>
      </c>
      <c r="Q164" s="56" t="s">
        <v>126</v>
      </c>
      <c r="R164" s="57">
        <v>46238.388888888891</v>
      </c>
      <c r="S164" s="57">
        <v>46238.491666666669</v>
      </c>
      <c r="T164" s="47">
        <f t="shared" si="43"/>
        <v>0.10277777777810115</v>
      </c>
      <c r="U164" s="50"/>
      <c r="V164" s="74">
        <v>6.25E-2</v>
      </c>
      <c r="W164" s="50">
        <f t="shared" si="44"/>
        <v>4.0277777778101154E-2</v>
      </c>
      <c r="X164" s="171">
        <v>46238.270833333336</v>
      </c>
      <c r="Y164" s="171">
        <v>46238.958333333336</v>
      </c>
      <c r="Z164" s="168">
        <f t="shared" si="35"/>
        <v>0.6875</v>
      </c>
      <c r="AA164" s="169">
        <f t="shared" si="36"/>
        <v>0.625</v>
      </c>
      <c r="AB164" s="170" t="str">
        <f t="shared" si="37"/>
        <v>-01:30:00</v>
      </c>
      <c r="AC164" s="170" t="b">
        <f t="shared" si="38"/>
        <v>1</v>
      </c>
    </row>
    <row r="165" spans="1:29" ht="9.75" hidden="1" customHeight="1" x14ac:dyDescent="0.3">
      <c r="A165" s="98">
        <v>46238</v>
      </c>
      <c r="B165" s="48">
        <v>8144244</v>
      </c>
      <c r="C165" s="49" t="s">
        <v>58</v>
      </c>
      <c r="D165" s="49" t="s">
        <v>368</v>
      </c>
      <c r="E165" s="50">
        <v>0.27083333333333331</v>
      </c>
      <c r="F165" s="49" t="s">
        <v>13</v>
      </c>
      <c r="G165" s="70" t="s">
        <v>14</v>
      </c>
      <c r="H165" s="51">
        <v>0.28333333333333333</v>
      </c>
      <c r="I165" s="113" t="str">
        <f t="shared" si="40"/>
        <v>04-08-2026T06:48:00</v>
      </c>
      <c r="J165" s="51">
        <v>0.91805555555555551</v>
      </c>
      <c r="K165" s="51"/>
      <c r="L165" s="52">
        <f t="shared" si="41"/>
        <v>0.63472222222222219</v>
      </c>
      <c r="M165" s="53">
        <v>0.625</v>
      </c>
      <c r="N165" s="54" t="str">
        <f t="shared" si="42"/>
        <v>-00:14:00</v>
      </c>
      <c r="O165" s="55">
        <v>250</v>
      </c>
      <c r="P165" s="125" t="s">
        <v>483</v>
      </c>
      <c r="Q165" s="56" t="s">
        <v>15</v>
      </c>
      <c r="R165" s="57">
        <v>46238.534722222219</v>
      </c>
      <c r="S165" s="57">
        <v>46238.57708333333</v>
      </c>
      <c r="T165" s="58">
        <f t="shared" si="43"/>
        <v>4.2361111110949423E-2</v>
      </c>
      <c r="U165" s="50"/>
      <c r="V165" s="74">
        <v>6.25E-2</v>
      </c>
      <c r="W165" s="50">
        <f t="shared" si="44"/>
        <v>-2.0138888889050577E-2</v>
      </c>
      <c r="X165" s="171">
        <v>46238.283333333333</v>
      </c>
      <c r="Y165" s="171">
        <v>46238.918055555558</v>
      </c>
      <c r="Z165" s="168">
        <f t="shared" si="35"/>
        <v>0.63472222222480923</v>
      </c>
      <c r="AA165" s="169">
        <f t="shared" si="36"/>
        <v>0.625</v>
      </c>
      <c r="AB165" s="170" t="str">
        <f t="shared" si="37"/>
        <v>-00:14:00</v>
      </c>
      <c r="AC165" s="170" t="b">
        <f t="shared" si="38"/>
        <v>1</v>
      </c>
    </row>
    <row r="166" spans="1:29" ht="9.75" hidden="1" customHeight="1" x14ac:dyDescent="0.3">
      <c r="A166" s="98">
        <v>46238</v>
      </c>
      <c r="B166" s="48">
        <v>8144747</v>
      </c>
      <c r="C166" s="49" t="s">
        <v>36</v>
      </c>
      <c r="D166" s="49" t="s">
        <v>300</v>
      </c>
      <c r="E166" s="50">
        <v>0.25</v>
      </c>
      <c r="F166" s="49" t="s">
        <v>14</v>
      </c>
      <c r="G166" s="70" t="s">
        <v>13</v>
      </c>
      <c r="H166" s="51">
        <v>46238.504861111112</v>
      </c>
      <c r="I166" s="113" t="str">
        <f t="shared" si="40"/>
        <v>04-08-2026T12:07:00</v>
      </c>
      <c r="J166" s="51">
        <v>46239.109722222223</v>
      </c>
      <c r="K166" s="51"/>
      <c r="L166" s="52">
        <f t="shared" si="41"/>
        <v>0.60486111111094942</v>
      </c>
      <c r="M166" s="53">
        <v>0.54166666666666663</v>
      </c>
      <c r="N166" s="54" t="str">
        <f t="shared" si="42"/>
        <v>-01:31:00</v>
      </c>
      <c r="O166" s="55">
        <v>500</v>
      </c>
      <c r="P166" s="125" t="s">
        <v>440</v>
      </c>
      <c r="Q166" s="56"/>
      <c r="R166" s="57"/>
      <c r="S166" s="57"/>
      <c r="T166" s="58">
        <f t="shared" si="43"/>
        <v>0</v>
      </c>
      <c r="U166" s="50"/>
      <c r="V166" s="74">
        <v>0</v>
      </c>
      <c r="W166" s="50">
        <f t="shared" si="44"/>
        <v>0</v>
      </c>
      <c r="X166" s="171">
        <v>46238.504861111112</v>
      </c>
      <c r="Y166" s="171">
        <v>46239.109722222223</v>
      </c>
      <c r="Z166" s="168">
        <f t="shared" si="35"/>
        <v>0.60486111111094942</v>
      </c>
      <c r="AA166" s="169">
        <f t="shared" si="36"/>
        <v>0.54166666666666663</v>
      </c>
      <c r="AB166" s="170" t="str">
        <f t="shared" si="37"/>
        <v>-01:31:00</v>
      </c>
      <c r="AC166" s="170" t="b">
        <f t="shared" si="38"/>
        <v>1</v>
      </c>
    </row>
    <row r="167" spans="1:29" ht="9.75" hidden="1" customHeight="1" x14ac:dyDescent="0.3">
      <c r="A167" s="98">
        <v>46238</v>
      </c>
      <c r="B167" s="48">
        <v>8144262</v>
      </c>
      <c r="C167" s="49" t="s">
        <v>52</v>
      </c>
      <c r="D167" s="49" t="s">
        <v>616</v>
      </c>
      <c r="E167" s="50">
        <v>0.29166666666666669</v>
      </c>
      <c r="F167" s="49" t="s">
        <v>15</v>
      </c>
      <c r="G167" s="70" t="s">
        <v>13</v>
      </c>
      <c r="H167" s="51">
        <v>0.28958333333333336</v>
      </c>
      <c r="I167" s="113" t="str">
        <f t="shared" si="40"/>
        <v>04-08-2026T06:57:00</v>
      </c>
      <c r="J167" s="51">
        <v>0.59097222222222223</v>
      </c>
      <c r="K167" s="51"/>
      <c r="L167" s="52">
        <f t="shared" si="41"/>
        <v>0.30138888888888887</v>
      </c>
      <c r="M167" s="53">
        <v>0.25</v>
      </c>
      <c r="N167" s="54" t="str">
        <f t="shared" si="42"/>
        <v>-01:14:00</v>
      </c>
      <c r="O167" s="55">
        <v>500</v>
      </c>
      <c r="P167" s="125" t="s">
        <v>441</v>
      </c>
      <c r="Q167" s="56" t="s">
        <v>205</v>
      </c>
      <c r="R167" s="57">
        <v>46238.378472222219</v>
      </c>
      <c r="S167" s="57">
        <v>46238.420138888891</v>
      </c>
      <c r="T167" s="58">
        <f t="shared" si="43"/>
        <v>4.1666666671517305E-2</v>
      </c>
      <c r="U167" s="50"/>
      <c r="V167" s="74">
        <v>4.1666666666666664E-2</v>
      </c>
      <c r="W167" s="50">
        <f t="shared" si="44"/>
        <v>4.8506407224202519E-12</v>
      </c>
      <c r="X167" s="171">
        <v>46238.289583333331</v>
      </c>
      <c r="Y167" s="171">
        <v>46238.59097222222</v>
      </c>
      <c r="Z167" s="168">
        <f t="shared" si="35"/>
        <v>0.30138888888905058</v>
      </c>
      <c r="AA167" s="169">
        <f t="shared" si="36"/>
        <v>0.25</v>
      </c>
      <c r="AB167" s="170" t="str">
        <f t="shared" si="37"/>
        <v>-01:14:00</v>
      </c>
      <c r="AC167" s="170" t="b">
        <f t="shared" si="38"/>
        <v>1</v>
      </c>
    </row>
    <row r="168" spans="1:29" ht="9.75" hidden="1" customHeight="1" x14ac:dyDescent="0.3">
      <c r="A168" s="98">
        <v>46238</v>
      </c>
      <c r="B168" s="48">
        <v>8144293</v>
      </c>
      <c r="C168" s="49" t="s">
        <v>30</v>
      </c>
      <c r="D168" s="49" t="s">
        <v>286</v>
      </c>
      <c r="E168" s="50">
        <v>0.29166666666666669</v>
      </c>
      <c r="F168" s="49" t="s">
        <v>13</v>
      </c>
      <c r="G168" s="70" t="s">
        <v>31</v>
      </c>
      <c r="H168" s="51">
        <v>0.29444444444444445</v>
      </c>
      <c r="I168" s="113" t="str">
        <f t="shared" si="40"/>
        <v>04-08-2026T07:04:00</v>
      </c>
      <c r="J168" s="51">
        <v>0.94652777777777775</v>
      </c>
      <c r="K168" s="51"/>
      <c r="L168" s="52">
        <f t="shared" si="41"/>
        <v>0.65208333333333335</v>
      </c>
      <c r="M168" s="53">
        <v>0.625</v>
      </c>
      <c r="N168" s="54" t="str">
        <f t="shared" si="42"/>
        <v>-00:39:00</v>
      </c>
      <c r="O168" s="55">
        <v>400</v>
      </c>
      <c r="P168" s="125" t="s">
        <v>442</v>
      </c>
      <c r="Q168" s="56"/>
      <c r="R168" s="57"/>
      <c r="S168" s="57"/>
      <c r="T168" s="58">
        <f t="shared" si="43"/>
        <v>0</v>
      </c>
      <c r="U168" s="50"/>
      <c r="V168" s="74">
        <v>0</v>
      </c>
      <c r="W168" s="50">
        <f t="shared" si="44"/>
        <v>0</v>
      </c>
      <c r="X168" s="171">
        <v>46238.294444444444</v>
      </c>
      <c r="Y168" s="171">
        <v>46238.946527777778</v>
      </c>
      <c r="Z168" s="168">
        <f t="shared" si="35"/>
        <v>0.65208333333430346</v>
      </c>
      <c r="AA168" s="169">
        <f t="shared" si="36"/>
        <v>0.625</v>
      </c>
      <c r="AB168" s="170" t="str">
        <f t="shared" si="37"/>
        <v>-00:39:00</v>
      </c>
      <c r="AC168" s="170" t="b">
        <f t="shared" si="38"/>
        <v>1</v>
      </c>
    </row>
    <row r="169" spans="1:29" ht="9.75" hidden="1" customHeight="1" x14ac:dyDescent="0.3">
      <c r="A169" s="99">
        <v>46238</v>
      </c>
      <c r="B169" s="59">
        <v>8144344</v>
      </c>
      <c r="C169" s="60" t="s">
        <v>42</v>
      </c>
      <c r="D169" s="60" t="s">
        <v>181</v>
      </c>
      <c r="E169" s="61">
        <v>0.3125</v>
      </c>
      <c r="F169" s="60" t="s">
        <v>13</v>
      </c>
      <c r="G169" s="71" t="s">
        <v>55</v>
      </c>
      <c r="H169" s="62">
        <v>0.32222222222222224</v>
      </c>
      <c r="I169" s="113" t="str">
        <f t="shared" si="40"/>
        <v>04-08-2026T07:44:00</v>
      </c>
      <c r="J169" s="62">
        <v>0.37986111111111109</v>
      </c>
      <c r="K169" s="62"/>
      <c r="L169" s="63">
        <f t="shared" si="41"/>
        <v>5.7638888888888851E-2</v>
      </c>
      <c r="M169" s="64">
        <v>6.25E-2</v>
      </c>
      <c r="N169" s="65" t="str">
        <f t="shared" si="42"/>
        <v>00:07:00</v>
      </c>
      <c r="O169" s="66"/>
      <c r="P169" s="124"/>
      <c r="Q169" s="67"/>
      <c r="R169" s="68"/>
      <c r="S169" s="68"/>
      <c r="T169" s="69">
        <f t="shared" si="43"/>
        <v>0</v>
      </c>
      <c r="U169" s="61" t="s">
        <v>234</v>
      </c>
      <c r="V169" s="83">
        <v>0</v>
      </c>
      <c r="W169" s="61">
        <f t="shared" si="44"/>
        <v>0</v>
      </c>
      <c r="X169" s="171">
        <v>46238.322222222225</v>
      </c>
      <c r="Y169" s="171">
        <v>46238.379861111112</v>
      </c>
      <c r="Z169" s="168">
        <f t="shared" si="35"/>
        <v>5.7638888887595385E-2</v>
      </c>
      <c r="AA169" s="169">
        <f t="shared" si="36"/>
        <v>6.25E-2</v>
      </c>
      <c r="AB169" s="170" t="str">
        <f t="shared" si="37"/>
        <v>00:07:00</v>
      </c>
      <c r="AC169" s="170" t="b">
        <f t="shared" si="38"/>
        <v>1</v>
      </c>
    </row>
    <row r="170" spans="1:29" ht="9.75" hidden="1" customHeight="1" x14ac:dyDescent="0.3">
      <c r="A170" s="98">
        <v>46238</v>
      </c>
      <c r="B170" s="48">
        <v>8144460</v>
      </c>
      <c r="C170" s="49" t="s">
        <v>40</v>
      </c>
      <c r="D170" s="49" t="s">
        <v>460</v>
      </c>
      <c r="E170" s="50">
        <v>0.375</v>
      </c>
      <c r="F170" s="49" t="s">
        <v>13</v>
      </c>
      <c r="G170" s="70" t="s">
        <v>31</v>
      </c>
      <c r="H170" s="51">
        <v>46238.37222222222</v>
      </c>
      <c r="I170" s="113" t="str">
        <f t="shared" si="40"/>
        <v>04-08-2026T08:56:00</v>
      </c>
      <c r="J170" s="51">
        <v>46239.155555555553</v>
      </c>
      <c r="K170" s="51"/>
      <c r="L170" s="52">
        <f t="shared" si="41"/>
        <v>0.78333333333284827</v>
      </c>
      <c r="M170" s="53">
        <v>0.75</v>
      </c>
      <c r="N170" s="54" t="str">
        <f t="shared" si="42"/>
        <v>-00:48:00</v>
      </c>
      <c r="O170" s="55">
        <v>200</v>
      </c>
      <c r="P170" s="125" t="s">
        <v>443</v>
      </c>
      <c r="Q170" s="56" t="s">
        <v>45</v>
      </c>
      <c r="R170" s="57">
        <v>46238.965277777781</v>
      </c>
      <c r="S170" s="57">
        <v>46239.048611111109</v>
      </c>
      <c r="T170" s="58">
        <f t="shared" si="43"/>
        <v>8.3333333328482695E-2</v>
      </c>
      <c r="U170" s="50"/>
      <c r="V170" s="74">
        <v>8.3333333333333329E-2</v>
      </c>
      <c r="W170" s="50">
        <f t="shared" si="44"/>
        <v>-4.850633783526348E-12</v>
      </c>
      <c r="X170" s="171">
        <v>46238.37222222222</v>
      </c>
      <c r="Y170" s="171">
        <v>46239.155555555553</v>
      </c>
      <c r="Z170" s="168">
        <f t="shared" si="35"/>
        <v>0.78333333333284827</v>
      </c>
      <c r="AA170" s="169">
        <f t="shared" si="36"/>
        <v>0.75</v>
      </c>
      <c r="AB170" s="170" t="str">
        <f t="shared" si="37"/>
        <v>-00:48:00</v>
      </c>
      <c r="AC170" s="170" t="b">
        <f t="shared" si="38"/>
        <v>1</v>
      </c>
    </row>
    <row r="171" spans="1:29" ht="9.75" hidden="1" customHeight="1" x14ac:dyDescent="0.3">
      <c r="A171" s="99">
        <v>46238</v>
      </c>
      <c r="B171" s="59">
        <v>8145382</v>
      </c>
      <c r="C171" s="60" t="s">
        <v>100</v>
      </c>
      <c r="D171" s="60" t="s">
        <v>391</v>
      </c>
      <c r="E171" s="61">
        <v>0.375</v>
      </c>
      <c r="F171" s="60" t="s">
        <v>13</v>
      </c>
      <c r="G171" s="71" t="s">
        <v>47</v>
      </c>
      <c r="H171" s="62">
        <v>46238.727777777778</v>
      </c>
      <c r="I171" s="113" t="str">
        <f t="shared" si="40"/>
        <v>04-08-2026T17:28:00</v>
      </c>
      <c r="J171" s="62">
        <v>46240.537499999999</v>
      </c>
      <c r="K171" s="62"/>
      <c r="L171" s="63">
        <f t="shared" si="41"/>
        <v>1.8097222222204437</v>
      </c>
      <c r="M171" s="64">
        <v>1.9166666666666667</v>
      </c>
      <c r="N171" s="65" t="str">
        <f t="shared" si="42"/>
        <v>02:34:00</v>
      </c>
      <c r="O171" s="66"/>
      <c r="P171" s="124"/>
      <c r="Q171" s="67" t="s">
        <v>96</v>
      </c>
      <c r="R171" s="68">
        <v>46240.267361111109</v>
      </c>
      <c r="S171" s="68">
        <v>46240.302777777775</v>
      </c>
      <c r="T171" s="69">
        <f t="shared" si="43"/>
        <v>3.5416666665696539E-2</v>
      </c>
      <c r="U171" s="61"/>
      <c r="V171" s="83">
        <v>8.3333333333333329E-2</v>
      </c>
      <c r="W171" s="61">
        <f t="shared" si="44"/>
        <v>-4.791666666763679E-2</v>
      </c>
      <c r="X171" s="171">
        <v>46238.727777777778</v>
      </c>
      <c r="Y171" s="171">
        <v>46240.537499999999</v>
      </c>
      <c r="Z171" s="168">
        <f t="shared" si="35"/>
        <v>1.8097222222204437</v>
      </c>
      <c r="AA171" s="169">
        <f t="shared" si="36"/>
        <v>1.9166666666666667</v>
      </c>
      <c r="AB171" s="170" t="str">
        <f t="shared" si="37"/>
        <v>02:34:00</v>
      </c>
      <c r="AC171" s="170" t="b">
        <f t="shared" si="38"/>
        <v>1</v>
      </c>
    </row>
    <row r="172" spans="1:29" ht="9.75" hidden="1" customHeight="1" x14ac:dyDescent="0.3">
      <c r="A172" s="99">
        <v>46238</v>
      </c>
      <c r="B172" s="59">
        <v>8144458</v>
      </c>
      <c r="C172" s="60" t="s">
        <v>175</v>
      </c>
      <c r="D172" s="60" t="s">
        <v>306</v>
      </c>
      <c r="E172" s="61">
        <v>0.375</v>
      </c>
      <c r="F172" s="60" t="s">
        <v>13</v>
      </c>
      <c r="G172" s="71" t="s">
        <v>47</v>
      </c>
      <c r="H172" s="62">
        <v>46238.37222222222</v>
      </c>
      <c r="I172" s="113" t="str">
        <f t="shared" si="40"/>
        <v>04-08-2026T08:56:00</v>
      </c>
      <c r="J172" s="62">
        <v>46240.250694444447</v>
      </c>
      <c r="K172" s="62"/>
      <c r="L172" s="63">
        <f t="shared" si="41"/>
        <v>1.8784722222262644</v>
      </c>
      <c r="M172" s="64">
        <v>1.9166666666666667</v>
      </c>
      <c r="N172" s="65" t="str">
        <f t="shared" si="42"/>
        <v>00:55:00</v>
      </c>
      <c r="O172" s="66"/>
      <c r="P172" s="124"/>
      <c r="Q172" s="67" t="s">
        <v>96</v>
      </c>
      <c r="R172" s="68">
        <v>46239.981944444444</v>
      </c>
      <c r="S172" s="68">
        <v>46240.090277777781</v>
      </c>
      <c r="T172" s="47">
        <f t="shared" si="43"/>
        <v>0.10833333333721384</v>
      </c>
      <c r="U172" s="61"/>
      <c r="V172" s="83">
        <v>8.3333333333333329E-2</v>
      </c>
      <c r="W172" s="61">
        <f t="shared" si="44"/>
        <v>2.5000000003880515E-2</v>
      </c>
      <c r="X172" s="171">
        <v>46238.37222222222</v>
      </c>
      <c r="Y172" s="171">
        <v>46240.250694444447</v>
      </c>
      <c r="Z172" s="168">
        <f t="shared" si="35"/>
        <v>1.8784722222262644</v>
      </c>
      <c r="AA172" s="169">
        <f t="shared" si="36"/>
        <v>1.9166666666666667</v>
      </c>
      <c r="AB172" s="170" t="str">
        <f t="shared" si="37"/>
        <v>00:55:00</v>
      </c>
      <c r="AC172" s="170" t="b">
        <f t="shared" si="38"/>
        <v>1</v>
      </c>
    </row>
    <row r="173" spans="1:29" s="144" customFormat="1" ht="9.75" hidden="1" customHeight="1" x14ac:dyDescent="0.3">
      <c r="A173" s="129">
        <v>46238</v>
      </c>
      <c r="B173" s="130">
        <v>8144550</v>
      </c>
      <c r="C173" s="131" t="s">
        <v>50</v>
      </c>
      <c r="D173" s="131" t="s">
        <v>329</v>
      </c>
      <c r="E173" s="132">
        <v>0.41666666666666669</v>
      </c>
      <c r="F173" s="131" t="s">
        <v>31</v>
      </c>
      <c r="G173" s="133" t="s">
        <v>13</v>
      </c>
      <c r="H173" s="134">
        <v>46238.429861111108</v>
      </c>
      <c r="I173" s="113" t="str">
        <f t="shared" si="40"/>
        <v>04-08-2026T10:19:00</v>
      </c>
      <c r="J173" s="134">
        <v>46239.327777777777</v>
      </c>
      <c r="K173" s="134"/>
      <c r="L173" s="135">
        <f t="shared" si="41"/>
        <v>0.89791666666860692</v>
      </c>
      <c r="M173" s="136">
        <v>0.75</v>
      </c>
      <c r="N173" s="137" t="str">
        <f t="shared" si="42"/>
        <v>-03:33:00</v>
      </c>
      <c r="O173" s="138"/>
      <c r="P173" s="139" t="s">
        <v>444</v>
      </c>
      <c r="Q173" s="140" t="s">
        <v>45</v>
      </c>
      <c r="R173" s="141">
        <v>46238.561111111114</v>
      </c>
      <c r="S173" s="141">
        <v>46238.798611111109</v>
      </c>
      <c r="T173" s="142">
        <f t="shared" si="43"/>
        <v>0.23749999999563443</v>
      </c>
      <c r="U173" s="132"/>
      <c r="V173" s="143">
        <v>8.3333333333333329E-2</v>
      </c>
      <c r="W173" s="132">
        <f t="shared" si="44"/>
        <v>0.15416666666230111</v>
      </c>
      <c r="X173" s="216">
        <v>46238.429861111108</v>
      </c>
      <c r="Y173" s="216">
        <v>46239.327777777777</v>
      </c>
      <c r="Z173" s="241">
        <f t="shared" si="35"/>
        <v>0.89791666666860692</v>
      </c>
      <c r="AA173" s="242">
        <f t="shared" si="36"/>
        <v>0.75</v>
      </c>
      <c r="AB173" s="243" t="str">
        <f t="shared" si="37"/>
        <v>-03:33:00</v>
      </c>
      <c r="AC173" s="243" t="b">
        <f t="shared" si="38"/>
        <v>1</v>
      </c>
    </row>
    <row r="174" spans="1:29" ht="9.75" hidden="1" customHeight="1" x14ac:dyDescent="0.3">
      <c r="A174" s="99">
        <v>46238</v>
      </c>
      <c r="B174" s="59">
        <v>8144654</v>
      </c>
      <c r="C174" s="60" t="s">
        <v>48</v>
      </c>
      <c r="D174" s="60" t="s">
        <v>183</v>
      </c>
      <c r="E174" s="61">
        <v>0.41666666666666669</v>
      </c>
      <c r="F174" s="60" t="s">
        <v>13</v>
      </c>
      <c r="G174" s="71" t="s">
        <v>49</v>
      </c>
      <c r="H174" s="62">
        <v>0.4777777777777778</v>
      </c>
      <c r="I174" s="113" t="str">
        <f t="shared" si="40"/>
        <v>04-08-2026T11:28:00</v>
      </c>
      <c r="J174" s="62">
        <v>0.97222222222222221</v>
      </c>
      <c r="K174" s="62"/>
      <c r="L174" s="63">
        <f t="shared" si="41"/>
        <v>0.49444444444444441</v>
      </c>
      <c r="M174" s="64">
        <v>0.5</v>
      </c>
      <c r="N174" s="65" t="str">
        <f t="shared" si="42"/>
        <v>00:08:00</v>
      </c>
      <c r="O174" s="66"/>
      <c r="P174" s="124"/>
      <c r="Q174" s="67"/>
      <c r="R174" s="68"/>
      <c r="S174" s="68"/>
      <c r="T174" s="69">
        <f t="shared" si="43"/>
        <v>0</v>
      </c>
      <c r="U174" s="61"/>
      <c r="V174" s="83">
        <v>0</v>
      </c>
      <c r="W174" s="61">
        <f t="shared" si="44"/>
        <v>0</v>
      </c>
      <c r="X174" s="171">
        <v>46238.477777777778</v>
      </c>
      <c r="Y174" s="171">
        <v>46238.972222222219</v>
      </c>
      <c r="Z174" s="168">
        <f t="shared" si="35"/>
        <v>0.49444444444088731</v>
      </c>
      <c r="AA174" s="169">
        <f t="shared" si="36"/>
        <v>0.5</v>
      </c>
      <c r="AB174" s="170" t="str">
        <f t="shared" si="37"/>
        <v>00:08:00</v>
      </c>
      <c r="AC174" s="170" t="b">
        <f t="shared" si="38"/>
        <v>1</v>
      </c>
    </row>
    <row r="175" spans="1:29" ht="9.75" customHeight="1" x14ac:dyDescent="0.3">
      <c r="A175" s="99">
        <v>46238</v>
      </c>
      <c r="B175" s="59">
        <v>8143487</v>
      </c>
      <c r="C175" s="60" t="s">
        <v>90</v>
      </c>
      <c r="D175" s="60" t="s">
        <v>290</v>
      </c>
      <c r="E175" s="61">
        <v>0.99930555555555556</v>
      </c>
      <c r="F175" s="60" t="s">
        <v>13</v>
      </c>
      <c r="G175" s="71" t="s">
        <v>15</v>
      </c>
      <c r="H175" s="62">
        <v>2.7777777777777779E-3</v>
      </c>
      <c r="I175" s="113" t="str">
        <f t="shared" si="40"/>
        <v>04-08-2026T00:04:00</v>
      </c>
      <c r="J175" s="62">
        <v>0.2638888888888889</v>
      </c>
      <c r="K175" s="113" t="str">
        <f t="shared" ref="K175:K176" si="45">TEXT(A175,"dd-mm-yyyy")&amp;"T"&amp;TEXT(J175,"hh:mm:ss")</f>
        <v>04-08-2026T06:20:00</v>
      </c>
      <c r="L175" s="63">
        <f t="shared" si="41"/>
        <v>0.26111111111111113</v>
      </c>
      <c r="M175" s="64">
        <v>0.27083333333333331</v>
      </c>
      <c r="N175" s="65" t="str">
        <f t="shared" si="42"/>
        <v>00:14:00</v>
      </c>
      <c r="O175" s="66"/>
      <c r="P175" s="124"/>
      <c r="Q175" s="67" t="s">
        <v>13</v>
      </c>
      <c r="R175" s="68">
        <v>1.8749999999999999E-2</v>
      </c>
      <c r="S175" s="68">
        <v>5.7638888888888892E-2</v>
      </c>
      <c r="T175" s="69">
        <f t="shared" si="43"/>
        <v>3.888888888888889E-2</v>
      </c>
      <c r="U175" s="61" t="s">
        <v>234</v>
      </c>
      <c r="V175" s="83">
        <v>4.1666666666666664E-2</v>
      </c>
      <c r="W175" s="61">
        <f t="shared" si="44"/>
        <v>-2.7777777777777748E-3</v>
      </c>
      <c r="X175" s="171">
        <v>46238.00277777778</v>
      </c>
      <c r="Y175" s="171">
        <v>46238.263888888891</v>
      </c>
      <c r="Z175" s="168">
        <f t="shared" si="35"/>
        <v>0.26111111111094942</v>
      </c>
      <c r="AA175" s="169">
        <f t="shared" si="36"/>
        <v>0.27083333333333331</v>
      </c>
      <c r="AB175" s="170" t="str">
        <f t="shared" si="37"/>
        <v>00:14:00</v>
      </c>
      <c r="AC175" s="170" t="b">
        <f t="shared" si="38"/>
        <v>1</v>
      </c>
    </row>
    <row r="176" spans="1:29" ht="9.75" hidden="1" customHeight="1" x14ac:dyDescent="0.3">
      <c r="A176" s="99">
        <v>46238</v>
      </c>
      <c r="B176" s="59">
        <v>8145030</v>
      </c>
      <c r="C176" s="60" t="s">
        <v>90</v>
      </c>
      <c r="D176" s="60" t="s">
        <v>290</v>
      </c>
      <c r="E176" s="61">
        <v>0.4375</v>
      </c>
      <c r="F176" s="60" t="s">
        <v>15</v>
      </c>
      <c r="G176" s="71" t="s">
        <v>13</v>
      </c>
      <c r="H176" s="62">
        <v>0.61388888888888893</v>
      </c>
      <c r="I176" s="113" t="str">
        <f t="shared" si="40"/>
        <v>04-08-2026T14:44:00</v>
      </c>
      <c r="J176" s="62">
        <v>0.82013888888888886</v>
      </c>
      <c r="K176" s="113" t="str">
        <f t="shared" si="45"/>
        <v>04-08-2026T19:41:00</v>
      </c>
      <c r="L176" s="63">
        <f t="shared" si="41"/>
        <v>0.20624999999999993</v>
      </c>
      <c r="M176" s="64">
        <v>0.20833333333333334</v>
      </c>
      <c r="N176" s="65" t="str">
        <f t="shared" si="42"/>
        <v>00:03:00</v>
      </c>
      <c r="O176" s="66"/>
      <c r="P176" s="124"/>
      <c r="Q176" s="67"/>
      <c r="R176" s="68"/>
      <c r="S176" s="68"/>
      <c r="T176" s="69">
        <f t="shared" si="43"/>
        <v>0</v>
      </c>
      <c r="U176" s="61"/>
      <c r="V176" s="83">
        <v>0</v>
      </c>
      <c r="W176" s="61">
        <f t="shared" si="44"/>
        <v>0</v>
      </c>
      <c r="X176" s="171">
        <v>46238.613888888889</v>
      </c>
      <c r="Y176" s="171">
        <v>46238.820138888892</v>
      </c>
      <c r="Z176" s="168">
        <f t="shared" si="35"/>
        <v>0.20625000000291038</v>
      </c>
      <c r="AA176" s="169">
        <f t="shared" si="36"/>
        <v>0.20833333333333334</v>
      </c>
      <c r="AB176" s="170" t="str">
        <f t="shared" si="37"/>
        <v>00:03:00</v>
      </c>
      <c r="AC176" s="170" t="b">
        <f t="shared" si="38"/>
        <v>1</v>
      </c>
    </row>
    <row r="177" spans="1:29" ht="9.75" hidden="1" customHeight="1" x14ac:dyDescent="0.3">
      <c r="A177" s="99">
        <v>46238</v>
      </c>
      <c r="B177" s="59">
        <v>8144611</v>
      </c>
      <c r="C177" s="60" t="s">
        <v>54</v>
      </c>
      <c r="D177" s="60" t="s">
        <v>288</v>
      </c>
      <c r="E177" s="61">
        <v>0.45833333333333331</v>
      </c>
      <c r="F177" s="60" t="s">
        <v>13</v>
      </c>
      <c r="G177" s="71" t="s">
        <v>24</v>
      </c>
      <c r="H177" s="62">
        <v>0.45833333333333331</v>
      </c>
      <c r="I177" s="113" t="str">
        <f t="shared" si="40"/>
        <v>04-08-2026T11:00:00</v>
      </c>
      <c r="J177" s="62">
        <v>0.53333333333333333</v>
      </c>
      <c r="K177" s="62"/>
      <c r="L177" s="63">
        <f t="shared" si="41"/>
        <v>7.5000000000000011E-2</v>
      </c>
      <c r="M177" s="64">
        <v>8.3333333333333329E-2</v>
      </c>
      <c r="N177" s="65" t="str">
        <f t="shared" si="42"/>
        <v>00:12:00</v>
      </c>
      <c r="O177" s="66"/>
      <c r="P177" s="124"/>
      <c r="Q177" s="67"/>
      <c r="R177" s="68"/>
      <c r="S177" s="68"/>
      <c r="T177" s="69">
        <f t="shared" si="43"/>
        <v>0</v>
      </c>
      <c r="U177" s="61"/>
      <c r="V177" s="83">
        <v>0</v>
      </c>
      <c r="W177" s="61">
        <f t="shared" si="44"/>
        <v>0</v>
      </c>
      <c r="X177" s="171">
        <v>46238.458333333336</v>
      </c>
      <c r="Y177" s="171">
        <v>46238.533333333333</v>
      </c>
      <c r="Z177" s="168">
        <f t="shared" si="35"/>
        <v>7.4999999997089617E-2</v>
      </c>
      <c r="AA177" s="169">
        <f t="shared" si="36"/>
        <v>8.3333333333333329E-2</v>
      </c>
      <c r="AB177" s="170" t="str">
        <f t="shared" si="37"/>
        <v>00:12:00</v>
      </c>
      <c r="AC177" s="170" t="b">
        <f t="shared" si="38"/>
        <v>1</v>
      </c>
    </row>
    <row r="178" spans="1:29" ht="9.75" hidden="1" customHeight="1" x14ac:dyDescent="0.3">
      <c r="A178" s="99">
        <v>46238</v>
      </c>
      <c r="B178" s="59">
        <v>8145107</v>
      </c>
      <c r="C178" s="60" t="s">
        <v>34</v>
      </c>
      <c r="D178" s="60" t="s">
        <v>381</v>
      </c>
      <c r="E178" s="61">
        <v>0.5</v>
      </c>
      <c r="F178" s="60" t="s">
        <v>13</v>
      </c>
      <c r="G178" s="71" t="s">
        <v>103</v>
      </c>
      <c r="H178" s="62">
        <v>46238.633333333331</v>
      </c>
      <c r="I178" s="113" t="str">
        <f t="shared" si="40"/>
        <v>04-08-2026T15:12:00</v>
      </c>
      <c r="J178" s="62">
        <v>46239.209722222222</v>
      </c>
      <c r="K178" s="62"/>
      <c r="L178" s="63">
        <f t="shared" si="41"/>
        <v>0.57638888889050577</v>
      </c>
      <c r="M178" s="64">
        <v>0.625</v>
      </c>
      <c r="N178" s="65" t="str">
        <f t="shared" si="42"/>
        <v>01:10:00</v>
      </c>
      <c r="O178" s="66"/>
      <c r="P178" s="124"/>
      <c r="Q178" s="67"/>
      <c r="R178" s="68"/>
      <c r="S178" s="68"/>
      <c r="T178" s="69">
        <f t="shared" si="43"/>
        <v>0</v>
      </c>
      <c r="U178" s="61"/>
      <c r="V178" s="83">
        <v>0</v>
      </c>
      <c r="W178" s="61">
        <f t="shared" si="44"/>
        <v>0</v>
      </c>
      <c r="X178" s="171">
        <v>46238.633333333331</v>
      </c>
      <c r="Y178" s="171">
        <v>46239.209722222222</v>
      </c>
      <c r="Z178" s="168">
        <f t="shared" si="35"/>
        <v>0.57638888889050577</v>
      </c>
      <c r="AA178" s="169">
        <f t="shared" si="36"/>
        <v>0.625</v>
      </c>
      <c r="AB178" s="170" t="str">
        <f t="shared" si="37"/>
        <v>01:10:00</v>
      </c>
      <c r="AC178" s="170" t="b">
        <f t="shared" si="38"/>
        <v>1</v>
      </c>
    </row>
    <row r="179" spans="1:29" ht="9.75" hidden="1" customHeight="1" x14ac:dyDescent="0.3">
      <c r="A179" s="99">
        <v>46238</v>
      </c>
      <c r="B179" s="59">
        <v>8144755</v>
      </c>
      <c r="C179" s="60" t="s">
        <v>20</v>
      </c>
      <c r="D179" s="60" t="s">
        <v>383</v>
      </c>
      <c r="E179" s="61">
        <v>0.5</v>
      </c>
      <c r="F179" s="60" t="s">
        <v>13</v>
      </c>
      <c r="G179" s="71" t="s">
        <v>21</v>
      </c>
      <c r="H179" s="62">
        <v>0.5083333333333333</v>
      </c>
      <c r="I179" s="113" t="str">
        <f t="shared" si="40"/>
        <v>04-08-2026T12:12:00</v>
      </c>
      <c r="J179" s="62">
        <v>0.75694444444444442</v>
      </c>
      <c r="K179" s="62"/>
      <c r="L179" s="63">
        <f t="shared" si="41"/>
        <v>0.24861111111111112</v>
      </c>
      <c r="M179" s="64">
        <v>0.25</v>
      </c>
      <c r="N179" s="65" t="str">
        <f t="shared" si="42"/>
        <v>00:02:00</v>
      </c>
      <c r="O179" s="66"/>
      <c r="P179" s="124"/>
      <c r="Q179" s="67"/>
      <c r="R179" s="68"/>
      <c r="S179" s="68"/>
      <c r="T179" s="69">
        <f t="shared" si="43"/>
        <v>0</v>
      </c>
      <c r="U179" s="61"/>
      <c r="V179" s="83">
        <v>0</v>
      </c>
      <c r="W179" s="61">
        <f t="shared" si="44"/>
        <v>0</v>
      </c>
      <c r="X179" s="171">
        <v>46238.508333333331</v>
      </c>
      <c r="Y179" s="171">
        <v>46238.756944444445</v>
      </c>
      <c r="Z179" s="168">
        <f t="shared" si="35"/>
        <v>0.24861111111385981</v>
      </c>
      <c r="AA179" s="169">
        <f t="shared" si="36"/>
        <v>0.25</v>
      </c>
      <c r="AB179" s="170" t="str">
        <f t="shared" si="37"/>
        <v>00:02:00</v>
      </c>
      <c r="AC179" s="170" t="b">
        <f t="shared" si="38"/>
        <v>1</v>
      </c>
    </row>
    <row r="180" spans="1:29" ht="9.75" hidden="1" customHeight="1" x14ac:dyDescent="0.3">
      <c r="A180" s="99">
        <v>46238</v>
      </c>
      <c r="B180" s="59">
        <v>8145469</v>
      </c>
      <c r="C180" s="60" t="s">
        <v>56</v>
      </c>
      <c r="D180" s="60" t="s">
        <v>326</v>
      </c>
      <c r="E180" s="61">
        <v>0.54166666666666663</v>
      </c>
      <c r="F180" s="60" t="s">
        <v>13</v>
      </c>
      <c r="G180" s="71" t="s">
        <v>15</v>
      </c>
      <c r="H180" s="62">
        <v>0.75416666666666665</v>
      </c>
      <c r="I180" s="113" t="str">
        <f t="shared" si="40"/>
        <v>04-08-2026T18:06:00</v>
      </c>
      <c r="J180" s="62">
        <v>0.95277777777777772</v>
      </c>
      <c r="K180" s="62"/>
      <c r="L180" s="63">
        <f t="shared" si="41"/>
        <v>0.19861111111111107</v>
      </c>
      <c r="M180" s="64">
        <v>0.20833333333333334</v>
      </c>
      <c r="N180" s="65" t="str">
        <f t="shared" si="42"/>
        <v>00:14:00</v>
      </c>
      <c r="O180" s="66"/>
      <c r="P180" s="124"/>
      <c r="Q180" s="67"/>
      <c r="R180" s="68"/>
      <c r="S180" s="68"/>
      <c r="T180" s="69">
        <f t="shared" si="43"/>
        <v>0</v>
      </c>
      <c r="U180" s="61"/>
      <c r="V180" s="83">
        <v>0</v>
      </c>
      <c r="W180" s="61">
        <f t="shared" si="44"/>
        <v>0</v>
      </c>
      <c r="X180" s="171">
        <v>46238.754166666666</v>
      </c>
      <c r="Y180" s="171">
        <v>46238.952777777777</v>
      </c>
      <c r="Z180" s="168">
        <f t="shared" si="35"/>
        <v>0.19861111111094942</v>
      </c>
      <c r="AA180" s="169">
        <f t="shared" si="36"/>
        <v>0.20833333333333334</v>
      </c>
      <c r="AB180" s="170" t="str">
        <f t="shared" si="37"/>
        <v>00:14:00</v>
      </c>
      <c r="AC180" s="170" t="b">
        <f t="shared" si="38"/>
        <v>1</v>
      </c>
    </row>
    <row r="181" spans="1:29" ht="9.75" hidden="1" customHeight="1" x14ac:dyDescent="0.3">
      <c r="A181" s="99">
        <v>46238</v>
      </c>
      <c r="B181" s="59">
        <v>8145140</v>
      </c>
      <c r="C181" s="60" t="s">
        <v>18</v>
      </c>
      <c r="D181" s="60" t="s">
        <v>389</v>
      </c>
      <c r="E181" s="61">
        <v>0.64583333333333337</v>
      </c>
      <c r="F181" s="60" t="s">
        <v>19</v>
      </c>
      <c r="G181" s="71" t="s">
        <v>13</v>
      </c>
      <c r="H181" s="62">
        <v>46238.647222222222</v>
      </c>
      <c r="I181" s="113" t="str">
        <f t="shared" si="40"/>
        <v>04-08-2026T15:32:00</v>
      </c>
      <c r="J181" s="62">
        <v>46239.060416666667</v>
      </c>
      <c r="K181" s="62"/>
      <c r="L181" s="63">
        <f t="shared" si="41"/>
        <v>0.41319444444525288</v>
      </c>
      <c r="M181" s="64">
        <v>0.4375</v>
      </c>
      <c r="N181" s="65" t="str">
        <f t="shared" si="42"/>
        <v>00:35:00</v>
      </c>
      <c r="O181" s="66"/>
      <c r="P181" s="124"/>
      <c r="Q181" s="67" t="s">
        <v>229</v>
      </c>
      <c r="R181" s="68">
        <v>46238.75</v>
      </c>
      <c r="S181" s="68">
        <v>46238.791666666664</v>
      </c>
      <c r="T181" s="69">
        <f t="shared" si="43"/>
        <v>4.1666666664241347E-2</v>
      </c>
      <c r="U181" s="61"/>
      <c r="V181" s="83">
        <v>8.3333333333333329E-2</v>
      </c>
      <c r="W181" s="61">
        <f t="shared" si="44"/>
        <v>-4.1666666669091981E-2</v>
      </c>
      <c r="X181" s="171">
        <v>46238.647222222222</v>
      </c>
      <c r="Y181" s="171">
        <v>46239.060416666667</v>
      </c>
      <c r="Z181" s="168">
        <f t="shared" si="35"/>
        <v>0.41319444444525288</v>
      </c>
      <c r="AA181" s="169">
        <f t="shared" si="36"/>
        <v>0.4375</v>
      </c>
      <c r="AB181" s="170" t="str">
        <f t="shared" si="37"/>
        <v>00:35:00</v>
      </c>
      <c r="AC181" s="170" t="b">
        <f t="shared" si="38"/>
        <v>1</v>
      </c>
    </row>
    <row r="182" spans="1:29" ht="9.75" hidden="1" customHeight="1" x14ac:dyDescent="0.3">
      <c r="A182" s="99">
        <v>46238</v>
      </c>
      <c r="B182" s="59">
        <v>8145334</v>
      </c>
      <c r="C182" s="60" t="s">
        <v>57</v>
      </c>
      <c r="D182" s="60" t="s">
        <v>370</v>
      </c>
      <c r="E182" s="61">
        <v>0.70833333333333337</v>
      </c>
      <c r="F182" s="60" t="s">
        <v>13</v>
      </c>
      <c r="G182" s="71" t="s">
        <v>24</v>
      </c>
      <c r="H182" s="62">
        <v>0.70763888888888893</v>
      </c>
      <c r="I182" s="113" t="str">
        <f t="shared" si="40"/>
        <v>04-08-2026T16:59:00</v>
      </c>
      <c r="J182" s="62">
        <v>0.77777777777777779</v>
      </c>
      <c r="K182" s="62"/>
      <c r="L182" s="63">
        <f t="shared" si="41"/>
        <v>7.0138888888888862E-2</v>
      </c>
      <c r="M182" s="64">
        <v>8.3333333333333329E-2</v>
      </c>
      <c r="N182" s="65" t="str">
        <f t="shared" si="42"/>
        <v>00:19:00</v>
      </c>
      <c r="O182" s="66"/>
      <c r="P182" s="124"/>
      <c r="Q182" s="67"/>
      <c r="R182" s="68"/>
      <c r="S182" s="68"/>
      <c r="T182" s="69">
        <f t="shared" si="43"/>
        <v>0</v>
      </c>
      <c r="U182" s="61" t="s">
        <v>234</v>
      </c>
      <c r="V182" s="83">
        <v>0</v>
      </c>
      <c r="W182" s="61">
        <f t="shared" si="44"/>
        <v>0</v>
      </c>
      <c r="X182" s="171">
        <v>46238.707638888889</v>
      </c>
      <c r="Y182" s="171">
        <v>46238.777777777781</v>
      </c>
      <c r="Z182" s="168">
        <f t="shared" si="35"/>
        <v>7.013888889196096E-2</v>
      </c>
      <c r="AA182" s="169">
        <f t="shared" si="36"/>
        <v>8.3333333333333329E-2</v>
      </c>
      <c r="AB182" s="170" t="str">
        <f t="shared" si="37"/>
        <v>00:19:00</v>
      </c>
      <c r="AC182" s="170" t="b">
        <f t="shared" si="38"/>
        <v>1</v>
      </c>
    </row>
    <row r="183" spans="1:29" ht="9.75" hidden="1" customHeight="1" x14ac:dyDescent="0.3">
      <c r="A183" s="99">
        <v>46238</v>
      </c>
      <c r="B183" s="59">
        <v>8145403</v>
      </c>
      <c r="C183" s="60" t="s">
        <v>84</v>
      </c>
      <c r="D183" s="60" t="s">
        <v>301</v>
      </c>
      <c r="E183" s="61">
        <v>0.70833333333333337</v>
      </c>
      <c r="F183" s="60" t="s">
        <v>85</v>
      </c>
      <c r="G183" s="71" t="s">
        <v>13</v>
      </c>
      <c r="H183" s="62">
        <v>46238.736805555556</v>
      </c>
      <c r="I183" s="113" t="str">
        <f t="shared" si="40"/>
        <v>04-08-2026T17:41:00</v>
      </c>
      <c r="J183" s="62">
        <v>46239.05972222222</v>
      </c>
      <c r="K183" s="62"/>
      <c r="L183" s="63">
        <f t="shared" si="41"/>
        <v>0.32291666666424135</v>
      </c>
      <c r="M183" s="64">
        <v>0.33333333333333331</v>
      </c>
      <c r="N183" s="65" t="str">
        <f t="shared" si="42"/>
        <v>00:15:00</v>
      </c>
      <c r="O183" s="66"/>
      <c r="P183" s="124"/>
      <c r="Q183" s="67" t="s">
        <v>174</v>
      </c>
      <c r="R183" s="68">
        <v>46238.801388888889</v>
      </c>
      <c r="S183" s="68">
        <v>46238.818055555559</v>
      </c>
      <c r="T183" s="69">
        <f t="shared" si="43"/>
        <v>1.6666666670062114E-2</v>
      </c>
      <c r="U183" s="61"/>
      <c r="V183" s="83">
        <v>4.1666666666666664E-2</v>
      </c>
      <c r="W183" s="61">
        <f t="shared" si="44"/>
        <v>-2.4999999996604551E-2</v>
      </c>
      <c r="X183" s="171">
        <v>46238.736805555556</v>
      </c>
      <c r="Y183" s="171">
        <v>46239.05972222222</v>
      </c>
      <c r="Z183" s="168">
        <f t="shared" si="35"/>
        <v>0.32291666666424135</v>
      </c>
      <c r="AA183" s="169">
        <f t="shared" si="36"/>
        <v>0.33333333333333331</v>
      </c>
      <c r="AB183" s="170" t="str">
        <f t="shared" si="37"/>
        <v>00:15:00</v>
      </c>
      <c r="AC183" s="170" t="b">
        <f t="shared" si="38"/>
        <v>1</v>
      </c>
    </row>
    <row r="184" spans="1:29" s="128" customFormat="1" ht="9.75" hidden="1" customHeight="1" x14ac:dyDescent="0.3">
      <c r="A184" s="99">
        <v>46238</v>
      </c>
      <c r="B184" s="59">
        <v>8145310</v>
      </c>
      <c r="C184" s="60" t="s">
        <v>97</v>
      </c>
      <c r="D184" s="60" t="s">
        <v>468</v>
      </c>
      <c r="E184" s="61">
        <v>0.70833333333333337</v>
      </c>
      <c r="F184" s="60" t="s">
        <v>13</v>
      </c>
      <c r="G184" s="71" t="s">
        <v>23</v>
      </c>
      <c r="H184" s="62">
        <v>46238.699305555558</v>
      </c>
      <c r="I184" s="113" t="str">
        <f t="shared" si="40"/>
        <v>04-08-2026T16:47:00</v>
      </c>
      <c r="J184" s="62">
        <v>46239.835416666669</v>
      </c>
      <c r="K184" s="62"/>
      <c r="L184" s="63">
        <f t="shared" si="41"/>
        <v>1.1361111111109494</v>
      </c>
      <c r="M184" s="64">
        <v>1</v>
      </c>
      <c r="N184" s="65" t="str">
        <f t="shared" si="42"/>
        <v>-03:16:00</v>
      </c>
      <c r="O184" s="66"/>
      <c r="P184" s="126" t="s">
        <v>403</v>
      </c>
      <c r="Q184" s="67"/>
      <c r="R184" s="68"/>
      <c r="S184" s="68"/>
      <c r="T184" s="69">
        <f t="shared" si="43"/>
        <v>0</v>
      </c>
      <c r="U184" s="61"/>
      <c r="V184" s="83">
        <v>0</v>
      </c>
      <c r="W184" s="61">
        <f t="shared" si="44"/>
        <v>0</v>
      </c>
      <c r="X184" s="172">
        <v>46238.699305555558</v>
      </c>
      <c r="Y184" s="172">
        <v>46239.835416666669</v>
      </c>
      <c r="Z184" s="173">
        <f t="shared" si="35"/>
        <v>1.1361111111109494</v>
      </c>
      <c r="AA184" s="174">
        <f t="shared" si="36"/>
        <v>1</v>
      </c>
      <c r="AB184" s="175" t="str">
        <f t="shared" si="37"/>
        <v>-03:16:00</v>
      </c>
      <c r="AC184" s="175" t="b">
        <f t="shared" si="38"/>
        <v>1</v>
      </c>
    </row>
    <row r="185" spans="1:29" ht="9.75" hidden="1" customHeight="1" x14ac:dyDescent="0.3">
      <c r="A185" s="99">
        <v>46238</v>
      </c>
      <c r="B185" s="59">
        <v>8145364</v>
      </c>
      <c r="C185" s="60" t="s">
        <v>27</v>
      </c>
      <c r="D185" s="60" t="s">
        <v>378</v>
      </c>
      <c r="E185" s="61">
        <v>0.70833333333333337</v>
      </c>
      <c r="F185" s="60" t="s">
        <v>28</v>
      </c>
      <c r="G185" s="71" t="s">
        <v>13</v>
      </c>
      <c r="H185" s="62">
        <v>0.71944444444444444</v>
      </c>
      <c r="I185" s="113" t="str">
        <f t="shared" si="40"/>
        <v>04-08-2026T17:16:00</v>
      </c>
      <c r="J185" s="62">
        <v>0.88472222222222219</v>
      </c>
      <c r="K185" s="62"/>
      <c r="L185" s="63">
        <f t="shared" si="41"/>
        <v>0.16527777777777775</v>
      </c>
      <c r="M185" s="64">
        <v>0.16666666666666666</v>
      </c>
      <c r="N185" s="65" t="str">
        <f t="shared" si="42"/>
        <v>00:02:00</v>
      </c>
      <c r="O185" s="66"/>
      <c r="P185" s="124"/>
      <c r="Q185" s="67"/>
      <c r="R185" s="68"/>
      <c r="S185" s="68"/>
      <c r="T185" s="69">
        <f t="shared" si="43"/>
        <v>0</v>
      </c>
      <c r="U185" s="61"/>
      <c r="V185" s="83">
        <v>0</v>
      </c>
      <c r="W185" s="61">
        <f t="shared" si="44"/>
        <v>0</v>
      </c>
      <c r="X185" s="171">
        <v>46238.719444444447</v>
      </c>
      <c r="Y185" s="171">
        <v>46238.884722222225</v>
      </c>
      <c r="Z185" s="168">
        <f t="shared" si="35"/>
        <v>0.16527777777810115</v>
      </c>
      <c r="AA185" s="169">
        <f t="shared" si="36"/>
        <v>0.16666666666666666</v>
      </c>
      <c r="AB185" s="170" t="str">
        <f t="shared" si="37"/>
        <v>00:02:00</v>
      </c>
      <c r="AC185" s="170" t="b">
        <f t="shared" si="38"/>
        <v>1</v>
      </c>
    </row>
    <row r="186" spans="1:29" ht="9.75" hidden="1" customHeight="1" x14ac:dyDescent="0.3">
      <c r="A186" s="99">
        <v>46238</v>
      </c>
      <c r="B186" s="59">
        <v>8145391</v>
      </c>
      <c r="C186" s="60" t="s">
        <v>89</v>
      </c>
      <c r="D186" s="60" t="s">
        <v>294</v>
      </c>
      <c r="E186" s="61">
        <v>0.75</v>
      </c>
      <c r="F186" s="60" t="s">
        <v>35</v>
      </c>
      <c r="G186" s="71" t="s">
        <v>13</v>
      </c>
      <c r="H186" s="62">
        <v>0.72986111111111107</v>
      </c>
      <c r="I186" s="113" t="str">
        <f t="shared" si="40"/>
        <v>04-08-2026T17:31:00</v>
      </c>
      <c r="J186" s="62">
        <v>0.75972222222222219</v>
      </c>
      <c r="K186" s="62"/>
      <c r="L186" s="63">
        <f t="shared" si="41"/>
        <v>2.9861111111111116E-2</v>
      </c>
      <c r="M186" s="64">
        <v>4.1666666666666664E-2</v>
      </c>
      <c r="N186" s="65" t="str">
        <f t="shared" si="42"/>
        <v>00:17:00</v>
      </c>
      <c r="O186" s="66"/>
      <c r="P186" s="124"/>
      <c r="Q186" s="67"/>
      <c r="R186" s="68"/>
      <c r="S186" s="68"/>
      <c r="T186" s="69">
        <f t="shared" si="43"/>
        <v>0</v>
      </c>
      <c r="U186" s="61" t="s">
        <v>234</v>
      </c>
      <c r="V186" s="83">
        <v>0</v>
      </c>
      <c r="W186" s="61">
        <f t="shared" si="44"/>
        <v>0</v>
      </c>
      <c r="X186" s="171">
        <v>46238.729861111111</v>
      </c>
      <c r="Y186" s="171">
        <v>46238.759722222225</v>
      </c>
      <c r="Z186" s="168">
        <f t="shared" si="35"/>
        <v>2.9861111113859806E-2</v>
      </c>
      <c r="AA186" s="169">
        <f t="shared" si="36"/>
        <v>4.1666666666666664E-2</v>
      </c>
      <c r="AB186" s="170" t="str">
        <f t="shared" si="37"/>
        <v>00:17:00</v>
      </c>
      <c r="AC186" s="170" t="b">
        <f t="shared" si="38"/>
        <v>1</v>
      </c>
    </row>
    <row r="187" spans="1:29" ht="9.75" hidden="1" customHeight="1" x14ac:dyDescent="0.3">
      <c r="A187" s="99">
        <v>46238</v>
      </c>
      <c r="B187" s="59">
        <v>8145658</v>
      </c>
      <c r="C187" s="60" t="s">
        <v>32</v>
      </c>
      <c r="D187" s="60" t="s">
        <v>390</v>
      </c>
      <c r="E187" s="61">
        <v>0.83333333333333337</v>
      </c>
      <c r="F187" s="60" t="s">
        <v>287</v>
      </c>
      <c r="G187" s="71" t="s">
        <v>13</v>
      </c>
      <c r="H187" s="62">
        <v>0.81736111111111109</v>
      </c>
      <c r="I187" s="113" t="str">
        <f t="shared" si="40"/>
        <v>04-08-2026T19:37:00</v>
      </c>
      <c r="J187" s="62">
        <v>0.96250000000000002</v>
      </c>
      <c r="K187" s="62"/>
      <c r="L187" s="63">
        <f t="shared" si="41"/>
        <v>0.14513888888888893</v>
      </c>
      <c r="M187" s="64">
        <v>0.14583333333333334</v>
      </c>
      <c r="N187" s="65" t="str">
        <f t="shared" si="42"/>
        <v>00:01:00</v>
      </c>
      <c r="O187" s="66"/>
      <c r="P187" s="124"/>
      <c r="Q187" s="67"/>
      <c r="R187" s="68"/>
      <c r="S187" s="68"/>
      <c r="T187" s="69">
        <f t="shared" si="43"/>
        <v>0</v>
      </c>
      <c r="U187" s="61"/>
      <c r="V187" s="83">
        <v>0</v>
      </c>
      <c r="W187" s="61">
        <f t="shared" si="44"/>
        <v>0</v>
      </c>
      <c r="X187" s="171">
        <v>46238.817361111112</v>
      </c>
      <c r="Y187" s="171">
        <v>46238.962500000001</v>
      </c>
      <c r="Z187" s="168">
        <f t="shared" ref="Z187:Z251" si="46">Y187-X187</f>
        <v>0.14513888888905058</v>
      </c>
      <c r="AA187" s="169">
        <f t="shared" ref="AA187:AA251" si="47">M187</f>
        <v>0.14583333333333334</v>
      </c>
      <c r="AB187" s="170" t="str">
        <f t="shared" ref="AB187:AB251" si="48">IF(AA187-Z187&gt;0,TEXT(AA187-Z187,"HH:MM:SS"),TEXT(ABS(AA187-Z187),"-HH:MM:SS"))</f>
        <v>00:01:00</v>
      </c>
      <c r="AC187" s="170" t="b">
        <f t="shared" ref="AC187:AC251" si="49">AB187=N187</f>
        <v>1</v>
      </c>
    </row>
    <row r="188" spans="1:29" ht="9.75" hidden="1" customHeight="1" x14ac:dyDescent="0.3">
      <c r="A188" s="99">
        <v>46238</v>
      </c>
      <c r="B188" s="59">
        <v>8145924</v>
      </c>
      <c r="C188" s="60" t="s">
        <v>52</v>
      </c>
      <c r="D188" s="60" t="s">
        <v>616</v>
      </c>
      <c r="E188" s="61">
        <v>0.875</v>
      </c>
      <c r="F188" s="60" t="s">
        <v>13</v>
      </c>
      <c r="G188" s="71" t="s">
        <v>15</v>
      </c>
      <c r="H188" s="62">
        <v>46238.888194444444</v>
      </c>
      <c r="I188" s="113" t="str">
        <f t="shared" si="40"/>
        <v>04-08-2026T21:19:00</v>
      </c>
      <c r="J188" s="62">
        <v>46239.095138888886</v>
      </c>
      <c r="K188" s="62"/>
      <c r="L188" s="63">
        <f t="shared" si="41"/>
        <v>0.2069444444423425</v>
      </c>
      <c r="M188" s="64">
        <v>0.20833333333333334</v>
      </c>
      <c r="N188" s="65" t="str">
        <f t="shared" si="42"/>
        <v>00:02:00</v>
      </c>
      <c r="O188" s="66"/>
      <c r="P188" s="124"/>
      <c r="Q188" s="67"/>
      <c r="R188" s="68"/>
      <c r="S188" s="68"/>
      <c r="T188" s="69">
        <f t="shared" si="43"/>
        <v>0</v>
      </c>
      <c r="U188" s="61"/>
      <c r="V188" s="83">
        <v>0</v>
      </c>
      <c r="W188" s="61">
        <f t="shared" si="44"/>
        <v>0</v>
      </c>
      <c r="X188" s="171">
        <v>46238.888194444444</v>
      </c>
      <c r="Y188" s="171">
        <v>46239.095138888886</v>
      </c>
      <c r="Z188" s="168">
        <f t="shared" si="46"/>
        <v>0.2069444444423425</v>
      </c>
      <c r="AA188" s="169">
        <f t="shared" si="47"/>
        <v>0.20833333333333334</v>
      </c>
      <c r="AB188" s="170" t="str">
        <f t="shared" si="48"/>
        <v>00:02:00</v>
      </c>
      <c r="AC188" s="170" t="b">
        <f t="shared" si="49"/>
        <v>1</v>
      </c>
    </row>
    <row r="189" spans="1:29" ht="9.75" hidden="1" customHeight="1" x14ac:dyDescent="0.3">
      <c r="A189" s="99">
        <v>46238</v>
      </c>
      <c r="B189" s="59">
        <v>8145835</v>
      </c>
      <c r="C189" s="60" t="s">
        <v>41</v>
      </c>
      <c r="D189" s="60" t="s">
        <v>299</v>
      </c>
      <c r="E189" s="61">
        <v>0.875</v>
      </c>
      <c r="F189" s="60" t="s">
        <v>24</v>
      </c>
      <c r="G189" s="71" t="s">
        <v>13</v>
      </c>
      <c r="H189" s="62">
        <v>0.8666666666666667</v>
      </c>
      <c r="I189" s="113" t="str">
        <f t="shared" si="40"/>
        <v>04-08-2026T20:48:00</v>
      </c>
      <c r="J189" s="62">
        <v>0.94722222222222219</v>
      </c>
      <c r="K189" s="62"/>
      <c r="L189" s="63">
        <f t="shared" si="41"/>
        <v>8.0555555555555491E-2</v>
      </c>
      <c r="M189" s="64">
        <v>8.3333333333333329E-2</v>
      </c>
      <c r="N189" s="65" t="str">
        <f t="shared" si="42"/>
        <v>00:04:00</v>
      </c>
      <c r="O189" s="66"/>
      <c r="P189" s="124"/>
      <c r="Q189" s="67"/>
      <c r="R189" s="68"/>
      <c r="S189" s="68"/>
      <c r="T189" s="69">
        <f t="shared" si="43"/>
        <v>0</v>
      </c>
      <c r="U189" s="61"/>
      <c r="V189" s="83">
        <v>0</v>
      </c>
      <c r="W189" s="61">
        <f t="shared" si="44"/>
        <v>0</v>
      </c>
      <c r="X189" s="171">
        <v>46238.866666666669</v>
      </c>
      <c r="Y189" s="171">
        <v>46238.947222222225</v>
      </c>
      <c r="Z189" s="168">
        <f t="shared" si="46"/>
        <v>8.0555555556202307E-2</v>
      </c>
      <c r="AA189" s="169">
        <f t="shared" si="47"/>
        <v>8.3333333333333329E-2</v>
      </c>
      <c r="AB189" s="170" t="str">
        <f t="shared" si="48"/>
        <v>00:04:00</v>
      </c>
      <c r="AC189" s="170" t="b">
        <f t="shared" si="49"/>
        <v>1</v>
      </c>
    </row>
    <row r="190" spans="1:29" ht="9.75" hidden="1" customHeight="1" x14ac:dyDescent="0.3">
      <c r="A190" s="99">
        <v>46238</v>
      </c>
      <c r="B190" s="59">
        <v>8146130</v>
      </c>
      <c r="C190" s="60" t="s">
        <v>20</v>
      </c>
      <c r="D190" s="60" t="s">
        <v>383</v>
      </c>
      <c r="E190" s="61">
        <v>0.95833333333333337</v>
      </c>
      <c r="F190" s="60" t="s">
        <v>21</v>
      </c>
      <c r="G190" s="71" t="s">
        <v>13</v>
      </c>
      <c r="H190" s="62">
        <v>46238.959027777775</v>
      </c>
      <c r="I190" s="113" t="str">
        <f t="shared" si="40"/>
        <v>04-08-2026T23:01:00</v>
      </c>
      <c r="J190" s="62">
        <v>46239.179861111108</v>
      </c>
      <c r="K190" s="62"/>
      <c r="L190" s="63">
        <f t="shared" si="41"/>
        <v>0.22083333333284827</v>
      </c>
      <c r="M190" s="64">
        <v>0.25</v>
      </c>
      <c r="N190" s="65" t="str">
        <f t="shared" si="42"/>
        <v>00:42:00</v>
      </c>
      <c r="O190" s="66"/>
      <c r="P190" s="124"/>
      <c r="Q190" s="67"/>
      <c r="R190" s="68"/>
      <c r="S190" s="68"/>
      <c r="T190" s="69">
        <f t="shared" si="43"/>
        <v>0</v>
      </c>
      <c r="U190" s="61"/>
      <c r="V190" s="83">
        <v>0</v>
      </c>
      <c r="W190" s="61">
        <f t="shared" si="44"/>
        <v>0</v>
      </c>
      <c r="X190" s="171">
        <v>46238.959027777775</v>
      </c>
      <c r="Y190" s="171">
        <v>46239.179861111108</v>
      </c>
      <c r="Z190" s="168">
        <f t="shared" si="46"/>
        <v>0.22083333333284827</v>
      </c>
      <c r="AA190" s="169">
        <f t="shared" si="47"/>
        <v>0.25</v>
      </c>
      <c r="AB190" s="170" t="str">
        <f t="shared" si="48"/>
        <v>00:42:00</v>
      </c>
      <c r="AC190" s="170" t="b">
        <f t="shared" si="49"/>
        <v>1</v>
      </c>
    </row>
    <row r="191" spans="1:29" ht="9.75" hidden="1" customHeight="1" x14ac:dyDescent="0.3">
      <c r="A191" s="99">
        <v>46238</v>
      </c>
      <c r="B191" s="59">
        <v>8146098</v>
      </c>
      <c r="C191" s="60" t="s">
        <v>46</v>
      </c>
      <c r="D191" s="60" t="s">
        <v>374</v>
      </c>
      <c r="E191" s="61">
        <v>0.95833333333333337</v>
      </c>
      <c r="F191" s="60" t="s">
        <v>173</v>
      </c>
      <c r="G191" s="71" t="s">
        <v>13</v>
      </c>
      <c r="H191" s="62">
        <v>46238.951388888891</v>
      </c>
      <c r="I191" s="113" t="str">
        <f t="shared" si="40"/>
        <v>04-08-2026T22:50:00</v>
      </c>
      <c r="J191" s="62">
        <v>46240.832638888889</v>
      </c>
      <c r="K191" s="62"/>
      <c r="L191" s="63">
        <f t="shared" si="41"/>
        <v>1.8812499999985448</v>
      </c>
      <c r="M191" s="64">
        <v>1.9166666666666667</v>
      </c>
      <c r="N191" s="65" t="str">
        <f t="shared" si="42"/>
        <v>00:51:00</v>
      </c>
      <c r="O191" s="66"/>
      <c r="P191" s="124"/>
      <c r="Q191" s="67" t="s">
        <v>96</v>
      </c>
      <c r="R191" s="68">
        <v>46239.085416666669</v>
      </c>
      <c r="S191" s="68">
        <v>46239.194444444445</v>
      </c>
      <c r="T191" s="47">
        <f t="shared" si="43"/>
        <v>0.10902777777664596</v>
      </c>
      <c r="U191" s="61"/>
      <c r="V191" s="83">
        <v>8.3333333333333329E-2</v>
      </c>
      <c r="W191" s="61">
        <f t="shared" si="44"/>
        <v>2.5694444443312633E-2</v>
      </c>
      <c r="X191" s="171">
        <v>46238.951388888891</v>
      </c>
      <c r="Y191" s="171">
        <v>46240.832638888889</v>
      </c>
      <c r="Z191" s="168">
        <f t="shared" si="46"/>
        <v>1.8812499999985448</v>
      </c>
      <c r="AA191" s="169">
        <f t="shared" si="47"/>
        <v>1.9166666666666667</v>
      </c>
      <c r="AB191" s="170" t="str">
        <f t="shared" si="48"/>
        <v>00:51:00</v>
      </c>
      <c r="AC191" s="170" t="b">
        <f t="shared" si="49"/>
        <v>1</v>
      </c>
    </row>
    <row r="192" spans="1:29" ht="9.75" hidden="1" customHeight="1" x14ac:dyDescent="0.3">
      <c r="A192" s="99">
        <v>46238</v>
      </c>
      <c r="B192" s="59">
        <v>8146211</v>
      </c>
      <c r="C192" s="60" t="s">
        <v>54</v>
      </c>
      <c r="D192" s="60" t="s">
        <v>288</v>
      </c>
      <c r="E192" s="61">
        <v>0.99930555555555556</v>
      </c>
      <c r="F192" s="60" t="s">
        <v>24</v>
      </c>
      <c r="G192" s="71" t="s">
        <v>13</v>
      </c>
      <c r="H192" s="62">
        <v>46238.998611111114</v>
      </c>
      <c r="I192" s="113" t="str">
        <f t="shared" si="40"/>
        <v>04-08-2026T23:58:00</v>
      </c>
      <c r="J192" s="62">
        <v>46239.071527777778</v>
      </c>
      <c r="K192" s="62"/>
      <c r="L192" s="63">
        <f t="shared" si="41"/>
        <v>7.2916666664241347E-2</v>
      </c>
      <c r="M192" s="64">
        <v>8.3333333333333329E-2</v>
      </c>
      <c r="N192" s="65" t="str">
        <f t="shared" si="42"/>
        <v>00:15:00</v>
      </c>
      <c r="O192" s="66"/>
      <c r="P192" s="124"/>
      <c r="Q192" s="67"/>
      <c r="R192" s="68"/>
      <c r="S192" s="68"/>
      <c r="T192" s="69">
        <f t="shared" si="43"/>
        <v>0</v>
      </c>
      <c r="U192" s="61"/>
      <c r="V192" s="83">
        <v>0</v>
      </c>
      <c r="W192" s="61">
        <f t="shared" si="44"/>
        <v>0</v>
      </c>
      <c r="X192" s="171">
        <v>46238.998611111114</v>
      </c>
      <c r="Y192" s="171">
        <v>46239.071527777778</v>
      </c>
      <c r="Z192" s="168">
        <f t="shared" si="46"/>
        <v>7.2916666664241347E-2</v>
      </c>
      <c r="AA192" s="169">
        <f t="shared" si="47"/>
        <v>8.3333333333333329E-2</v>
      </c>
      <c r="AB192" s="170" t="str">
        <f t="shared" si="48"/>
        <v>00:15:00</v>
      </c>
      <c r="AC192" s="170" t="b">
        <f t="shared" si="49"/>
        <v>1</v>
      </c>
    </row>
    <row r="193" spans="1:29" ht="9.75" hidden="1" customHeight="1" x14ac:dyDescent="0.3">
      <c r="A193" s="99">
        <v>46238</v>
      </c>
      <c r="B193" s="59">
        <v>8144056</v>
      </c>
      <c r="C193" s="60" t="s">
        <v>171</v>
      </c>
      <c r="D193" s="60" t="s">
        <v>296</v>
      </c>
      <c r="E193" s="61" t="s">
        <v>184</v>
      </c>
      <c r="F193" s="60" t="s">
        <v>13</v>
      </c>
      <c r="G193" s="71" t="s">
        <v>17</v>
      </c>
      <c r="H193" s="62">
        <v>0.22638888888888889</v>
      </c>
      <c r="I193" s="113" t="str">
        <f t="shared" si="40"/>
        <v>04-08-2026T05:26:00</v>
      </c>
      <c r="J193" s="62">
        <v>0.88749999999999996</v>
      </c>
      <c r="K193" s="62"/>
      <c r="L193" s="63">
        <f t="shared" si="41"/>
        <v>0.66111111111111109</v>
      </c>
      <c r="M193" s="64">
        <v>0.75</v>
      </c>
      <c r="N193" s="65" t="str">
        <f t="shared" si="42"/>
        <v>02:08:00</v>
      </c>
      <c r="O193" s="66"/>
      <c r="P193" s="124" t="s">
        <v>184</v>
      </c>
      <c r="Q193" s="67"/>
      <c r="R193" s="68"/>
      <c r="S193" s="68"/>
      <c r="T193" s="69">
        <f t="shared" si="43"/>
        <v>0</v>
      </c>
      <c r="U193" s="61"/>
      <c r="V193" s="83">
        <v>0</v>
      </c>
      <c r="W193" s="61">
        <f t="shared" si="44"/>
        <v>0</v>
      </c>
      <c r="X193" s="171">
        <v>46238.226388888892</v>
      </c>
      <c r="Y193" s="171">
        <v>46238.887499999997</v>
      </c>
      <c r="Z193" s="168">
        <f t="shared" si="46"/>
        <v>0.66111111110512866</v>
      </c>
      <c r="AA193" s="169">
        <f t="shared" si="47"/>
        <v>0.75</v>
      </c>
      <c r="AB193" s="170" t="str">
        <f t="shared" si="48"/>
        <v>02:08:00</v>
      </c>
      <c r="AC193" s="170" t="b">
        <f t="shared" si="49"/>
        <v>1</v>
      </c>
    </row>
    <row r="194" spans="1:29" ht="9.75" hidden="1" customHeight="1" x14ac:dyDescent="0.3">
      <c r="A194" s="149">
        <v>46235</v>
      </c>
      <c r="B194" s="150" t="s">
        <v>687</v>
      </c>
      <c r="C194" s="151" t="s">
        <v>39</v>
      </c>
      <c r="D194" s="151" t="s">
        <v>390</v>
      </c>
      <c r="E194" s="152">
        <v>0</v>
      </c>
      <c r="F194" s="151"/>
      <c r="G194" s="153"/>
      <c r="H194" s="154">
        <v>0</v>
      </c>
      <c r="I194" s="113" t="str">
        <f t="shared" si="40"/>
        <v>01-08-2026T00:00:00</v>
      </c>
      <c r="J194" s="154">
        <v>0</v>
      </c>
      <c r="K194" s="154"/>
      <c r="L194" s="155">
        <v>0</v>
      </c>
      <c r="M194" s="160">
        <v>0</v>
      </c>
      <c r="N194" s="156">
        <v>0</v>
      </c>
      <c r="O194" s="157"/>
      <c r="P194" s="158" t="s">
        <v>480</v>
      </c>
      <c r="Q194" s="159" t="s">
        <v>480</v>
      </c>
      <c r="R194" s="148" t="s">
        <v>480</v>
      </c>
      <c r="S194" s="148" t="s">
        <v>480</v>
      </c>
      <c r="T194" s="161" t="s">
        <v>480</v>
      </c>
      <c r="U194" s="152" t="s">
        <v>480</v>
      </c>
      <c r="V194" s="146" t="s">
        <v>480</v>
      </c>
      <c r="W194" s="152" t="s">
        <v>480</v>
      </c>
      <c r="X194" s="171" t="s">
        <v>668</v>
      </c>
      <c r="Y194" s="171" t="s">
        <v>668</v>
      </c>
      <c r="Z194" s="168" t="e">
        <f t="shared" si="46"/>
        <v>#VALUE!</v>
      </c>
      <c r="AA194" s="169">
        <f t="shared" si="47"/>
        <v>0</v>
      </c>
      <c r="AB194" s="170" t="e">
        <f t="shared" si="48"/>
        <v>#VALUE!</v>
      </c>
      <c r="AC194" s="170" t="e">
        <f t="shared" si="49"/>
        <v>#VALUE!</v>
      </c>
    </row>
    <row r="195" spans="1:29" ht="9.75" hidden="1" customHeight="1" x14ac:dyDescent="0.3">
      <c r="A195" s="149">
        <v>46237</v>
      </c>
      <c r="B195" s="150" t="s">
        <v>687</v>
      </c>
      <c r="C195" s="151" t="s">
        <v>39</v>
      </c>
      <c r="D195" s="151" t="s">
        <v>392</v>
      </c>
      <c r="E195" s="152">
        <v>0</v>
      </c>
      <c r="F195" s="151"/>
      <c r="G195" s="153"/>
      <c r="H195" s="154">
        <v>0</v>
      </c>
      <c r="I195" s="113" t="str">
        <f t="shared" si="40"/>
        <v>03-08-2026T00:00:00</v>
      </c>
      <c r="J195" s="154">
        <v>0</v>
      </c>
      <c r="K195" s="154"/>
      <c r="L195" s="155">
        <v>0</v>
      </c>
      <c r="M195" s="160">
        <v>0</v>
      </c>
      <c r="N195" s="156">
        <v>0</v>
      </c>
      <c r="O195" s="157"/>
      <c r="P195" s="158" t="s">
        <v>480</v>
      </c>
      <c r="Q195" s="159" t="s">
        <v>480</v>
      </c>
      <c r="R195" s="148" t="s">
        <v>480</v>
      </c>
      <c r="S195" s="148" t="s">
        <v>480</v>
      </c>
      <c r="T195" s="161" t="s">
        <v>480</v>
      </c>
      <c r="U195" s="152" t="s">
        <v>480</v>
      </c>
      <c r="V195" s="146" t="s">
        <v>480</v>
      </c>
      <c r="W195" s="152" t="s">
        <v>480</v>
      </c>
      <c r="X195" s="171" t="s">
        <v>668</v>
      </c>
      <c r="Y195" s="171" t="s">
        <v>668</v>
      </c>
      <c r="Z195" s="168" t="e">
        <f t="shared" si="46"/>
        <v>#VALUE!</v>
      </c>
      <c r="AA195" s="169">
        <f t="shared" si="47"/>
        <v>0</v>
      </c>
      <c r="AB195" s="170" t="e">
        <f t="shared" si="48"/>
        <v>#VALUE!</v>
      </c>
      <c r="AC195" s="170" t="e">
        <f t="shared" si="49"/>
        <v>#VALUE!</v>
      </c>
    </row>
    <row r="196" spans="1:29" ht="9.75" hidden="1" customHeight="1" x14ac:dyDescent="0.3">
      <c r="A196" s="99">
        <v>46238</v>
      </c>
      <c r="B196" s="59">
        <v>8143682</v>
      </c>
      <c r="C196" s="60" t="s">
        <v>39</v>
      </c>
      <c r="D196" s="60" t="s">
        <v>392</v>
      </c>
      <c r="E196" s="61" t="s">
        <v>184</v>
      </c>
      <c r="F196" s="60" t="s">
        <v>13</v>
      </c>
      <c r="G196" s="71" t="s">
        <v>103</v>
      </c>
      <c r="H196" s="62">
        <v>0.12013888888888889</v>
      </c>
      <c r="I196" s="113" t="str">
        <f t="shared" ref="I196:I259" si="50">TEXT(A196,"dd-mm-yyyy")&amp;"T"&amp;TEXT(H196,"hh:mm:ss")</f>
        <v>04-08-2026T02:53:00</v>
      </c>
      <c r="J196" s="62">
        <v>0.89097222222222228</v>
      </c>
      <c r="K196" s="62"/>
      <c r="L196" s="63">
        <f t="shared" ref="L196:L227" si="51">J196-H196</f>
        <v>0.77083333333333337</v>
      </c>
      <c r="M196" s="64">
        <v>0.79166666666666663</v>
      </c>
      <c r="N196" s="65" t="str">
        <f t="shared" ref="N196:N227" si="52">IF(M196-L196&gt;0,TEXT(M196-L196,"HH:MM:SS"),TEXT(ABS(M196-L196),"-HH:MM:SS"))</f>
        <v>00:30:00</v>
      </c>
      <c r="O196" s="66"/>
      <c r="P196" s="124" t="s">
        <v>449</v>
      </c>
      <c r="Q196" s="67" t="s">
        <v>13</v>
      </c>
      <c r="R196" s="68" t="s">
        <v>372</v>
      </c>
      <c r="S196" s="68" t="s">
        <v>372</v>
      </c>
      <c r="T196" s="69" t="e">
        <f t="shared" ref="T196:T227" si="53">S196-R196</f>
        <v>#VALUE!</v>
      </c>
      <c r="U196" s="61"/>
      <c r="V196" s="83" t="s">
        <v>393</v>
      </c>
      <c r="W196" s="61" t="e">
        <f t="shared" ref="W196:W212" si="54">T196-V196</f>
        <v>#VALUE!</v>
      </c>
      <c r="X196" s="171">
        <v>46238.120138888888</v>
      </c>
      <c r="Y196" s="171">
        <v>46238.890972222223</v>
      </c>
      <c r="Z196" s="168">
        <f t="shared" si="46"/>
        <v>0.77083333333575865</v>
      </c>
      <c r="AA196" s="169">
        <f t="shared" si="47"/>
        <v>0.79166666666666663</v>
      </c>
      <c r="AB196" s="170" t="str">
        <f t="shared" si="48"/>
        <v>00:30:00</v>
      </c>
      <c r="AC196" s="170" t="b">
        <f t="shared" si="49"/>
        <v>1</v>
      </c>
    </row>
    <row r="197" spans="1:29" ht="9.75" hidden="1" customHeight="1" x14ac:dyDescent="0.3">
      <c r="A197" s="99">
        <v>46239</v>
      </c>
      <c r="B197" s="59">
        <v>8146346</v>
      </c>
      <c r="C197" s="60" t="s">
        <v>53</v>
      </c>
      <c r="D197" s="60" t="s">
        <v>298</v>
      </c>
      <c r="E197" s="61">
        <v>8.3333333333333329E-2</v>
      </c>
      <c r="F197" s="60" t="s">
        <v>13</v>
      </c>
      <c r="G197" s="71" t="s">
        <v>19</v>
      </c>
      <c r="H197" s="62">
        <v>8.3333333333333329E-2</v>
      </c>
      <c r="I197" s="113" t="str">
        <f t="shared" si="50"/>
        <v>05-08-2026T02:00:00</v>
      </c>
      <c r="J197" s="62">
        <v>0.49930555555555556</v>
      </c>
      <c r="K197" s="62"/>
      <c r="L197" s="63">
        <f t="shared" si="51"/>
        <v>0.41597222222222224</v>
      </c>
      <c r="M197" s="64">
        <v>0.41666666666666669</v>
      </c>
      <c r="N197" s="65" t="str">
        <f t="shared" si="52"/>
        <v>00:01:00</v>
      </c>
      <c r="O197" s="66"/>
      <c r="P197" s="124" t="s">
        <v>452</v>
      </c>
      <c r="Q197" s="67" t="s">
        <v>229</v>
      </c>
      <c r="R197" s="68">
        <v>0.37152777777777779</v>
      </c>
      <c r="S197" s="68">
        <v>0.39583333333333331</v>
      </c>
      <c r="T197" s="69">
        <f t="shared" si="53"/>
        <v>2.4305555555555525E-2</v>
      </c>
      <c r="U197" s="61" t="s">
        <v>234</v>
      </c>
      <c r="V197" s="83">
        <v>6.25E-2</v>
      </c>
      <c r="W197" s="61">
        <f t="shared" si="54"/>
        <v>-3.8194444444444475E-2</v>
      </c>
      <c r="X197" s="171">
        <v>46239.083333333336</v>
      </c>
      <c r="Y197" s="171">
        <v>46239.499305555553</v>
      </c>
      <c r="Z197" s="168">
        <f t="shared" si="46"/>
        <v>0.41597222221753327</v>
      </c>
      <c r="AA197" s="169">
        <f t="shared" si="47"/>
        <v>0.41666666666666669</v>
      </c>
      <c r="AB197" s="170" t="str">
        <f t="shared" si="48"/>
        <v>00:01:00</v>
      </c>
      <c r="AC197" s="170" t="b">
        <f t="shared" si="49"/>
        <v>1</v>
      </c>
    </row>
    <row r="198" spans="1:29" s="144" customFormat="1" ht="9.75" hidden="1" customHeight="1" x14ac:dyDescent="0.3">
      <c r="A198" s="129">
        <v>46239</v>
      </c>
      <c r="B198" s="130">
        <v>8146341</v>
      </c>
      <c r="C198" s="131" t="s">
        <v>82</v>
      </c>
      <c r="D198" s="131" t="s">
        <v>333</v>
      </c>
      <c r="E198" s="132">
        <v>6.25E-2</v>
      </c>
      <c r="F198" s="131" t="s">
        <v>13</v>
      </c>
      <c r="G198" s="133" t="s">
        <v>26</v>
      </c>
      <c r="H198" s="134">
        <v>8.2638888888888887E-2</v>
      </c>
      <c r="I198" s="113" t="str">
        <f t="shared" si="50"/>
        <v>05-08-2026T01:59:00</v>
      </c>
      <c r="J198" s="134">
        <v>0.55694444444444446</v>
      </c>
      <c r="K198" s="134"/>
      <c r="L198" s="135">
        <f t="shared" si="51"/>
        <v>0.47430555555555559</v>
      </c>
      <c r="M198" s="136">
        <v>0.41666666666666669</v>
      </c>
      <c r="N198" s="137" t="str">
        <f t="shared" si="52"/>
        <v>-01:23:00</v>
      </c>
      <c r="O198" s="138"/>
      <c r="P198" s="145" t="s">
        <v>453</v>
      </c>
      <c r="Q198" s="140" t="s">
        <v>312</v>
      </c>
      <c r="R198" s="141">
        <v>0.25</v>
      </c>
      <c r="S198" s="141">
        <v>0.37152777777777779</v>
      </c>
      <c r="T198" s="142">
        <f t="shared" si="53"/>
        <v>0.12152777777777779</v>
      </c>
      <c r="U198" s="132"/>
      <c r="V198" s="143">
        <v>4.1666666666666664E-2</v>
      </c>
      <c r="W198" s="132">
        <f t="shared" si="54"/>
        <v>7.9861111111111133E-2</v>
      </c>
      <c r="X198" s="171">
        <v>46239.082638888889</v>
      </c>
      <c r="Y198" s="171">
        <v>46239.556944444441</v>
      </c>
      <c r="Z198" s="168">
        <f t="shared" si="46"/>
        <v>0.47430555555183673</v>
      </c>
      <c r="AA198" s="169">
        <f t="shared" si="47"/>
        <v>0.41666666666666669</v>
      </c>
      <c r="AB198" s="170" t="str">
        <f t="shared" si="48"/>
        <v>-01:23:00</v>
      </c>
      <c r="AC198" s="170" t="b">
        <f t="shared" si="49"/>
        <v>1</v>
      </c>
    </row>
    <row r="199" spans="1:29" ht="9.75" hidden="1" customHeight="1" x14ac:dyDescent="0.3">
      <c r="A199" s="99">
        <v>46239</v>
      </c>
      <c r="B199" s="59">
        <v>8146337</v>
      </c>
      <c r="C199" s="60" t="s">
        <v>29</v>
      </c>
      <c r="D199" s="60" t="s">
        <v>373</v>
      </c>
      <c r="E199" s="61">
        <v>8.3333333333333329E-2</v>
      </c>
      <c r="F199" s="60" t="s">
        <v>15</v>
      </c>
      <c r="G199" s="71" t="s">
        <v>17</v>
      </c>
      <c r="H199" s="62">
        <v>8.1944444444444445E-2</v>
      </c>
      <c r="I199" s="113" t="str">
        <f t="shared" si="50"/>
        <v>05-08-2026T01:58:00</v>
      </c>
      <c r="J199" s="62">
        <v>0.48125000000000001</v>
      </c>
      <c r="K199" s="62"/>
      <c r="L199" s="63">
        <f t="shared" si="51"/>
        <v>0.39930555555555558</v>
      </c>
      <c r="M199" s="64">
        <v>0.41666666666666669</v>
      </c>
      <c r="N199" s="65" t="str">
        <f t="shared" si="52"/>
        <v>00:25:00</v>
      </c>
      <c r="O199" s="66"/>
      <c r="P199" s="124"/>
      <c r="Q199" s="67"/>
      <c r="R199" s="68"/>
      <c r="S199" s="68"/>
      <c r="T199" s="69">
        <f t="shared" si="53"/>
        <v>0</v>
      </c>
      <c r="U199" s="61" t="s">
        <v>234</v>
      </c>
      <c r="V199" s="83">
        <v>0</v>
      </c>
      <c r="W199" s="61">
        <f t="shared" si="54"/>
        <v>0</v>
      </c>
      <c r="X199" s="171">
        <v>46239.081944444442</v>
      </c>
      <c r="Y199" s="171">
        <v>46239.481249999997</v>
      </c>
      <c r="Z199" s="168">
        <f t="shared" si="46"/>
        <v>0.39930555555474712</v>
      </c>
      <c r="AA199" s="169">
        <f t="shared" si="47"/>
        <v>0.41666666666666669</v>
      </c>
      <c r="AB199" s="170" t="str">
        <f t="shared" si="48"/>
        <v>00:25:00</v>
      </c>
      <c r="AC199" s="170" t="b">
        <f t="shared" si="49"/>
        <v>1</v>
      </c>
    </row>
    <row r="200" spans="1:29" s="128" customFormat="1" ht="9.75" hidden="1" customHeight="1" x14ac:dyDescent="0.3">
      <c r="A200" s="99">
        <v>46239</v>
      </c>
      <c r="B200" s="59">
        <v>8146484</v>
      </c>
      <c r="C200" s="60" t="s">
        <v>102</v>
      </c>
      <c r="D200" s="60" t="s">
        <v>384</v>
      </c>
      <c r="E200" s="61">
        <v>0.125</v>
      </c>
      <c r="F200" s="60" t="s">
        <v>23</v>
      </c>
      <c r="G200" s="71" t="s">
        <v>13</v>
      </c>
      <c r="H200" s="62">
        <v>46239.140277777777</v>
      </c>
      <c r="I200" s="113" t="str">
        <f t="shared" si="50"/>
        <v>05-08-2026T03:22:00</v>
      </c>
      <c r="J200" s="62">
        <v>46240.377083333333</v>
      </c>
      <c r="K200" s="62"/>
      <c r="L200" s="63">
        <f t="shared" si="51"/>
        <v>1.2368055555562023</v>
      </c>
      <c r="M200" s="64">
        <v>1.0833333333333333</v>
      </c>
      <c r="N200" s="65" t="str">
        <f t="shared" si="52"/>
        <v>-03:41:00</v>
      </c>
      <c r="O200" s="66"/>
      <c r="P200" s="126" t="s">
        <v>403</v>
      </c>
      <c r="Q200" s="67" t="s">
        <v>13</v>
      </c>
      <c r="R200" s="68">
        <v>46240.29583333333</v>
      </c>
      <c r="S200" s="68">
        <v>46240.371527777781</v>
      </c>
      <c r="T200" s="69">
        <f t="shared" si="53"/>
        <v>7.569444445107365E-2</v>
      </c>
      <c r="U200" s="61"/>
      <c r="V200" s="83">
        <v>8.3333333333333329E-2</v>
      </c>
      <c r="W200" s="61">
        <f t="shared" si="54"/>
        <v>-7.6388888822596784E-3</v>
      </c>
      <c r="X200" s="172">
        <v>46239.140277777777</v>
      </c>
      <c r="Y200" s="172">
        <v>46240.377083333333</v>
      </c>
      <c r="Z200" s="173">
        <f t="shared" si="46"/>
        <v>1.2368055555562023</v>
      </c>
      <c r="AA200" s="174">
        <f t="shared" si="47"/>
        <v>1.0833333333333333</v>
      </c>
      <c r="AB200" s="175" t="str">
        <f t="shared" si="48"/>
        <v>-03:41:00</v>
      </c>
      <c r="AC200" s="175" t="b">
        <f t="shared" si="49"/>
        <v>1</v>
      </c>
    </row>
    <row r="201" spans="1:29" ht="9.75" hidden="1" customHeight="1" x14ac:dyDescent="0.3">
      <c r="A201" s="99">
        <v>46239</v>
      </c>
      <c r="B201" s="59">
        <v>8146463</v>
      </c>
      <c r="C201" s="60" t="s">
        <v>87</v>
      </c>
      <c r="D201" s="60" t="s">
        <v>367</v>
      </c>
      <c r="E201" s="61">
        <v>0.125</v>
      </c>
      <c r="F201" s="60" t="s">
        <v>13</v>
      </c>
      <c r="G201" s="71" t="s">
        <v>284</v>
      </c>
      <c r="H201" s="62">
        <v>0.13263888888888889</v>
      </c>
      <c r="I201" s="113" t="str">
        <f t="shared" si="50"/>
        <v>05-08-2026T03:11:00</v>
      </c>
      <c r="J201" s="62">
        <v>0.48541666666666666</v>
      </c>
      <c r="K201" s="62"/>
      <c r="L201" s="63">
        <f t="shared" si="51"/>
        <v>0.35277777777777775</v>
      </c>
      <c r="M201" s="64">
        <v>0.35416666666666669</v>
      </c>
      <c r="N201" s="65" t="str">
        <f t="shared" si="52"/>
        <v>00:02:00</v>
      </c>
      <c r="O201" s="66"/>
      <c r="P201" s="124"/>
      <c r="Q201" s="67" t="s">
        <v>174</v>
      </c>
      <c r="R201" s="68">
        <v>0.38194444444444442</v>
      </c>
      <c r="S201" s="68">
        <v>0.4284722222222222</v>
      </c>
      <c r="T201" s="69">
        <f t="shared" si="53"/>
        <v>4.6527777777777779E-2</v>
      </c>
      <c r="U201" s="61" t="s">
        <v>234</v>
      </c>
      <c r="V201" s="83">
        <v>6.25E-2</v>
      </c>
      <c r="W201" s="61">
        <f t="shared" si="54"/>
        <v>-1.5972222222222221E-2</v>
      </c>
      <c r="X201" s="171">
        <v>46239.132638888892</v>
      </c>
      <c r="Y201" s="171">
        <v>46239.48541666667</v>
      </c>
      <c r="Z201" s="168">
        <f t="shared" si="46"/>
        <v>0.35277777777810115</v>
      </c>
      <c r="AA201" s="169">
        <f t="shared" si="47"/>
        <v>0.35416666666666669</v>
      </c>
      <c r="AB201" s="170" t="str">
        <f t="shared" si="48"/>
        <v>00:02:00</v>
      </c>
      <c r="AC201" s="170" t="b">
        <f t="shared" si="49"/>
        <v>1</v>
      </c>
    </row>
    <row r="202" spans="1:29" ht="9.75" hidden="1" customHeight="1" x14ac:dyDescent="0.3">
      <c r="A202" s="99">
        <v>46239</v>
      </c>
      <c r="B202" s="59">
        <v>8146397</v>
      </c>
      <c r="C202" s="60" t="s">
        <v>57</v>
      </c>
      <c r="D202" s="60" t="s">
        <v>370</v>
      </c>
      <c r="E202" s="61">
        <v>0.125</v>
      </c>
      <c r="F202" s="60" t="s">
        <v>24</v>
      </c>
      <c r="G202" s="71" t="s">
        <v>13</v>
      </c>
      <c r="H202" s="62">
        <v>0.1111111111111111</v>
      </c>
      <c r="I202" s="113" t="str">
        <f t="shared" si="50"/>
        <v>05-08-2026T02:40:00</v>
      </c>
      <c r="J202" s="62">
        <v>0.18055555555555555</v>
      </c>
      <c r="K202" s="62"/>
      <c r="L202" s="63">
        <f t="shared" si="51"/>
        <v>6.9444444444444448E-2</v>
      </c>
      <c r="M202" s="64">
        <v>8.3333333333333329E-2</v>
      </c>
      <c r="N202" s="65" t="str">
        <f t="shared" si="52"/>
        <v>00:20:00</v>
      </c>
      <c r="O202" s="66"/>
      <c r="P202" s="124"/>
      <c r="Q202" s="67"/>
      <c r="R202" s="68"/>
      <c r="S202" s="68"/>
      <c r="T202" s="69">
        <f t="shared" si="53"/>
        <v>0</v>
      </c>
      <c r="U202" s="61" t="s">
        <v>234</v>
      </c>
      <c r="V202" s="83">
        <v>0</v>
      </c>
      <c r="W202" s="61">
        <f t="shared" si="54"/>
        <v>0</v>
      </c>
      <c r="X202" s="171">
        <v>46239.111111111109</v>
      </c>
      <c r="Y202" s="171">
        <v>46239.180555555555</v>
      </c>
      <c r="Z202" s="168">
        <f t="shared" si="46"/>
        <v>6.9444444445252884E-2</v>
      </c>
      <c r="AA202" s="169">
        <f t="shared" si="47"/>
        <v>8.3333333333333329E-2</v>
      </c>
      <c r="AB202" s="170" t="str">
        <f t="shared" si="48"/>
        <v>00:20:00</v>
      </c>
      <c r="AC202" s="170" t="b">
        <f t="shared" si="49"/>
        <v>1</v>
      </c>
    </row>
    <row r="203" spans="1:29" ht="9.75" hidden="1" customHeight="1" x14ac:dyDescent="0.3">
      <c r="A203" s="99">
        <v>46239</v>
      </c>
      <c r="B203" s="59">
        <v>8146609</v>
      </c>
      <c r="C203" s="60" t="s">
        <v>41</v>
      </c>
      <c r="D203" s="60" t="s">
        <v>299</v>
      </c>
      <c r="E203" s="61">
        <v>0.16666666666666666</v>
      </c>
      <c r="F203" s="60" t="s">
        <v>13</v>
      </c>
      <c r="G203" s="71" t="s">
        <v>24</v>
      </c>
      <c r="H203" s="62">
        <v>0.17291666666666666</v>
      </c>
      <c r="I203" s="113" t="str">
        <f t="shared" si="50"/>
        <v>05-08-2026T04:09:00</v>
      </c>
      <c r="J203" s="62">
        <v>0.25</v>
      </c>
      <c r="K203" s="62"/>
      <c r="L203" s="63">
        <f t="shared" si="51"/>
        <v>7.7083333333333337E-2</v>
      </c>
      <c r="M203" s="64">
        <v>8.3333333333333329E-2</v>
      </c>
      <c r="N203" s="65" t="str">
        <f t="shared" si="52"/>
        <v>00:09:00</v>
      </c>
      <c r="O203" s="66"/>
      <c r="P203" s="124"/>
      <c r="Q203" s="67"/>
      <c r="R203" s="68"/>
      <c r="S203" s="68"/>
      <c r="T203" s="69">
        <f t="shared" si="53"/>
        <v>0</v>
      </c>
      <c r="U203" s="61" t="s">
        <v>234</v>
      </c>
      <c r="V203" s="83">
        <v>0</v>
      </c>
      <c r="W203" s="61">
        <f t="shared" si="54"/>
        <v>0</v>
      </c>
      <c r="X203" s="171">
        <v>46239.17291666667</v>
      </c>
      <c r="Y203" s="171">
        <v>46239.25</v>
      </c>
      <c r="Z203" s="168">
        <f t="shared" si="46"/>
        <v>7.7083333329937886E-2</v>
      </c>
      <c r="AA203" s="169">
        <f t="shared" si="47"/>
        <v>8.3333333333333329E-2</v>
      </c>
      <c r="AB203" s="170" t="str">
        <f t="shared" si="48"/>
        <v>00:09:00</v>
      </c>
      <c r="AC203" s="170" t="b">
        <f t="shared" si="49"/>
        <v>1</v>
      </c>
    </row>
    <row r="204" spans="1:29" ht="9.75" hidden="1" customHeight="1" x14ac:dyDescent="0.3">
      <c r="A204" s="99">
        <v>46239</v>
      </c>
      <c r="B204" s="59">
        <v>8146590</v>
      </c>
      <c r="C204" s="60" t="s">
        <v>27</v>
      </c>
      <c r="D204" s="60" t="s">
        <v>378</v>
      </c>
      <c r="E204" s="61">
        <v>0.16666666666666666</v>
      </c>
      <c r="F204" s="60" t="s">
        <v>13</v>
      </c>
      <c r="G204" s="71" t="s">
        <v>28</v>
      </c>
      <c r="H204" s="62">
        <v>0.16805555555555557</v>
      </c>
      <c r="I204" s="113" t="str">
        <f t="shared" si="50"/>
        <v>05-08-2026T04:02:00</v>
      </c>
      <c r="J204" s="62">
        <v>0.33333333333333331</v>
      </c>
      <c r="K204" s="62"/>
      <c r="L204" s="63">
        <f t="shared" si="51"/>
        <v>0.16527777777777775</v>
      </c>
      <c r="M204" s="64">
        <v>0.16666666666666666</v>
      </c>
      <c r="N204" s="65" t="str">
        <f t="shared" si="52"/>
        <v>00:02:00</v>
      </c>
      <c r="O204" s="66"/>
      <c r="P204" s="124"/>
      <c r="Q204" s="67"/>
      <c r="R204" s="68"/>
      <c r="S204" s="68"/>
      <c r="T204" s="69">
        <f t="shared" si="53"/>
        <v>0</v>
      </c>
      <c r="U204" s="61" t="s">
        <v>234</v>
      </c>
      <c r="V204" s="83">
        <v>0</v>
      </c>
      <c r="W204" s="61">
        <f t="shared" si="54"/>
        <v>0</v>
      </c>
      <c r="X204" s="171">
        <v>46239.168055555558</v>
      </c>
      <c r="Y204" s="171">
        <v>46239.333333333336</v>
      </c>
      <c r="Z204" s="168">
        <f t="shared" si="46"/>
        <v>0.16527777777810115</v>
      </c>
      <c r="AA204" s="169">
        <f t="shared" si="47"/>
        <v>0.16666666666666666</v>
      </c>
      <c r="AB204" s="170" t="str">
        <f t="shared" si="48"/>
        <v>00:02:00</v>
      </c>
      <c r="AC204" s="170" t="b">
        <f t="shared" si="49"/>
        <v>1</v>
      </c>
    </row>
    <row r="205" spans="1:29" ht="9.75" hidden="1" customHeight="1" x14ac:dyDescent="0.3">
      <c r="A205" s="98">
        <v>46239</v>
      </c>
      <c r="B205" s="48">
        <v>8147321</v>
      </c>
      <c r="C205" s="49" t="s">
        <v>12</v>
      </c>
      <c r="D205" s="49" t="s">
        <v>383</v>
      </c>
      <c r="E205" s="50">
        <v>0.16666666666666666</v>
      </c>
      <c r="F205" s="49" t="s">
        <v>13</v>
      </c>
      <c r="G205" s="70" t="s">
        <v>14</v>
      </c>
      <c r="H205" s="51">
        <v>46239.431944444441</v>
      </c>
      <c r="I205" s="113" t="str">
        <f t="shared" si="50"/>
        <v>05-08-2026T10:22:00</v>
      </c>
      <c r="J205" s="51">
        <v>46240.495833333334</v>
      </c>
      <c r="K205" s="51"/>
      <c r="L205" s="52">
        <f t="shared" si="51"/>
        <v>1.0638888888934162</v>
      </c>
      <c r="M205" s="53">
        <v>0.54166666666666663</v>
      </c>
      <c r="N205" s="54" t="str">
        <f t="shared" si="52"/>
        <v>-12:32:00</v>
      </c>
      <c r="O205" s="55">
        <f>200*13</f>
        <v>2600</v>
      </c>
      <c r="P205" s="125" t="s">
        <v>484</v>
      </c>
      <c r="Q205" s="56"/>
      <c r="R205" s="57"/>
      <c r="S205" s="57"/>
      <c r="T205" s="58">
        <f t="shared" si="53"/>
        <v>0</v>
      </c>
      <c r="U205" s="50"/>
      <c r="V205" s="74">
        <v>0</v>
      </c>
      <c r="W205" s="50">
        <f t="shared" si="54"/>
        <v>0</v>
      </c>
      <c r="X205" s="171">
        <v>46239.431944444441</v>
      </c>
      <c r="Y205" s="171">
        <v>46240.495833333334</v>
      </c>
      <c r="Z205" s="168">
        <f t="shared" si="46"/>
        <v>1.0638888888934162</v>
      </c>
      <c r="AA205" s="169">
        <f t="shared" si="47"/>
        <v>0.54166666666666663</v>
      </c>
      <c r="AB205" s="170" t="str">
        <f t="shared" si="48"/>
        <v>-12:32:00</v>
      </c>
      <c r="AC205" s="170" t="b">
        <f t="shared" si="49"/>
        <v>1</v>
      </c>
    </row>
    <row r="206" spans="1:29" ht="9.75" hidden="1" customHeight="1" x14ac:dyDescent="0.3">
      <c r="A206" s="99">
        <v>46239</v>
      </c>
      <c r="B206" s="59">
        <v>8146580</v>
      </c>
      <c r="C206" s="60" t="s">
        <v>16</v>
      </c>
      <c r="D206" s="60" t="s">
        <v>285</v>
      </c>
      <c r="E206" s="61">
        <v>0.16666666666666666</v>
      </c>
      <c r="F206" s="60" t="s">
        <v>17</v>
      </c>
      <c r="G206" s="71" t="s">
        <v>15</v>
      </c>
      <c r="H206" s="62">
        <v>0.16666666666666666</v>
      </c>
      <c r="I206" s="113" t="str">
        <f t="shared" si="50"/>
        <v>05-08-2026T04:00:00</v>
      </c>
      <c r="J206" s="62">
        <v>0.65763888888888888</v>
      </c>
      <c r="K206" s="62"/>
      <c r="L206" s="63">
        <f t="shared" si="51"/>
        <v>0.49097222222222225</v>
      </c>
      <c r="M206" s="64">
        <v>0.5</v>
      </c>
      <c r="N206" s="65" t="str">
        <f t="shared" si="52"/>
        <v>00:13:00</v>
      </c>
      <c r="O206" s="66"/>
      <c r="P206" s="124"/>
      <c r="Q206" s="67" t="s">
        <v>98</v>
      </c>
      <c r="R206" s="68">
        <v>0.39583333333333331</v>
      </c>
      <c r="S206" s="68">
        <v>0.45347222222222222</v>
      </c>
      <c r="T206" s="69">
        <f t="shared" si="53"/>
        <v>5.7638888888888906E-2</v>
      </c>
      <c r="U206" s="61" t="s">
        <v>234</v>
      </c>
      <c r="V206" s="83">
        <v>8.3333333333333329E-2</v>
      </c>
      <c r="W206" s="61">
        <f t="shared" si="54"/>
        <v>-2.5694444444444423E-2</v>
      </c>
      <c r="X206" s="171">
        <v>46239.166666666664</v>
      </c>
      <c r="Y206" s="171">
        <v>46239.657638888886</v>
      </c>
      <c r="Z206" s="168">
        <f t="shared" si="46"/>
        <v>0.49097222222189885</v>
      </c>
      <c r="AA206" s="169">
        <f t="shared" si="47"/>
        <v>0.5</v>
      </c>
      <c r="AB206" s="170" t="str">
        <f t="shared" si="48"/>
        <v>00:13:00</v>
      </c>
      <c r="AC206" s="170" t="b">
        <f t="shared" si="49"/>
        <v>1</v>
      </c>
    </row>
    <row r="207" spans="1:29" s="128" customFormat="1" ht="9.75" hidden="1" customHeight="1" x14ac:dyDescent="0.3">
      <c r="A207" s="99">
        <v>46239</v>
      </c>
      <c r="B207" s="59">
        <v>8146509</v>
      </c>
      <c r="C207" s="60" t="s">
        <v>30</v>
      </c>
      <c r="D207" s="60" t="s">
        <v>286</v>
      </c>
      <c r="E207" s="61">
        <v>0.16666666666666666</v>
      </c>
      <c r="F207" s="60" t="s">
        <v>31</v>
      </c>
      <c r="G207" s="71" t="s">
        <v>13</v>
      </c>
      <c r="H207" s="62">
        <v>0.15347222222222223</v>
      </c>
      <c r="I207" s="113" t="str">
        <f t="shared" si="50"/>
        <v>05-08-2026T03:41:00</v>
      </c>
      <c r="J207" s="62">
        <v>0.79791666666666672</v>
      </c>
      <c r="K207" s="62"/>
      <c r="L207" s="63">
        <f t="shared" si="51"/>
        <v>0.64444444444444449</v>
      </c>
      <c r="M207" s="64">
        <v>0.70833333333333337</v>
      </c>
      <c r="N207" s="65" t="str">
        <f t="shared" si="52"/>
        <v>01:32:00</v>
      </c>
      <c r="O207" s="66"/>
      <c r="P207" s="124"/>
      <c r="Q207" s="67" t="s">
        <v>13</v>
      </c>
      <c r="R207" s="68">
        <v>0.76388888888888884</v>
      </c>
      <c r="S207" s="68">
        <v>0.79166666666666663</v>
      </c>
      <c r="T207" s="69">
        <f t="shared" si="53"/>
        <v>2.777777777777779E-2</v>
      </c>
      <c r="U207" s="61"/>
      <c r="V207" s="83">
        <v>8.3333333333333329E-2</v>
      </c>
      <c r="W207" s="61">
        <f t="shared" si="54"/>
        <v>-5.5555555555555539E-2</v>
      </c>
      <c r="X207" s="172">
        <v>46239.15347222222</v>
      </c>
      <c r="Y207" s="172">
        <v>46239.79791666667</v>
      </c>
      <c r="Z207" s="173">
        <f t="shared" si="46"/>
        <v>0.64444444444961846</v>
      </c>
      <c r="AA207" s="174">
        <f t="shared" si="47"/>
        <v>0.70833333333333337</v>
      </c>
      <c r="AB207" s="175" t="str">
        <f t="shared" si="48"/>
        <v>01:32:00</v>
      </c>
      <c r="AC207" s="175" t="b">
        <f t="shared" si="49"/>
        <v>1</v>
      </c>
    </row>
    <row r="208" spans="1:29" ht="9.75" hidden="1" customHeight="1" x14ac:dyDescent="0.3">
      <c r="A208" s="98">
        <v>46239</v>
      </c>
      <c r="B208" s="48">
        <v>8146577</v>
      </c>
      <c r="C208" s="49" t="s">
        <v>83</v>
      </c>
      <c r="D208" s="49" t="s">
        <v>454</v>
      </c>
      <c r="E208" s="50">
        <v>0.16666666666666666</v>
      </c>
      <c r="F208" s="49" t="s">
        <v>13</v>
      </c>
      <c r="G208" s="70" t="s">
        <v>14</v>
      </c>
      <c r="H208" s="51">
        <v>0.16597222222222222</v>
      </c>
      <c r="I208" s="113" t="str">
        <f t="shared" si="50"/>
        <v>05-08-2026T03:59:00</v>
      </c>
      <c r="J208" s="51">
        <v>0.71944444444444444</v>
      </c>
      <c r="K208" s="51"/>
      <c r="L208" s="52">
        <f t="shared" si="51"/>
        <v>0.55347222222222225</v>
      </c>
      <c r="M208" s="53">
        <v>0.54166666666666663</v>
      </c>
      <c r="N208" s="54" t="str">
        <f t="shared" si="52"/>
        <v>-00:17:00</v>
      </c>
      <c r="O208" s="55">
        <v>200</v>
      </c>
      <c r="P208" s="125" t="s">
        <v>437</v>
      </c>
      <c r="Q208" s="56"/>
      <c r="R208" s="57"/>
      <c r="S208" s="57"/>
      <c r="T208" s="58">
        <f t="shared" si="53"/>
        <v>0</v>
      </c>
      <c r="U208" s="50" t="s">
        <v>234</v>
      </c>
      <c r="V208" s="74">
        <v>0</v>
      </c>
      <c r="W208" s="50">
        <f t="shared" si="54"/>
        <v>0</v>
      </c>
      <c r="X208" s="171">
        <v>46239.165972222225</v>
      </c>
      <c r="Y208" s="171">
        <v>46239.719444444447</v>
      </c>
      <c r="Z208" s="168">
        <f t="shared" si="46"/>
        <v>0.55347222222189885</v>
      </c>
      <c r="AA208" s="169">
        <f t="shared" si="47"/>
        <v>0.54166666666666663</v>
      </c>
      <c r="AB208" s="170" t="str">
        <f t="shared" si="48"/>
        <v>-00:17:00</v>
      </c>
      <c r="AC208" s="170" t="b">
        <f t="shared" si="49"/>
        <v>1</v>
      </c>
    </row>
    <row r="209" spans="1:30" ht="9.75" hidden="1" customHeight="1" x14ac:dyDescent="0.3">
      <c r="A209" s="99">
        <v>46239</v>
      </c>
      <c r="B209" s="59">
        <v>8146754</v>
      </c>
      <c r="C209" s="60" t="s">
        <v>32</v>
      </c>
      <c r="D209" s="60" t="s">
        <v>390</v>
      </c>
      <c r="E209" s="61">
        <v>0.20833333333333334</v>
      </c>
      <c r="F209" s="60" t="s">
        <v>13</v>
      </c>
      <c r="G209" s="71" t="s">
        <v>287</v>
      </c>
      <c r="H209" s="62">
        <v>0.21249999999999999</v>
      </c>
      <c r="I209" s="113" t="str">
        <f t="shared" si="50"/>
        <v>05-08-2026T05:06:00</v>
      </c>
      <c r="J209" s="62">
        <v>0.35347222222222224</v>
      </c>
      <c r="K209" s="62"/>
      <c r="L209" s="63">
        <f t="shared" si="51"/>
        <v>0.14097222222222225</v>
      </c>
      <c r="M209" s="64">
        <v>0.14583333333333334</v>
      </c>
      <c r="N209" s="65" t="str">
        <f t="shared" si="52"/>
        <v>00:07:00</v>
      </c>
      <c r="O209" s="66"/>
      <c r="P209" s="124" t="s">
        <v>456</v>
      </c>
      <c r="Q209" s="67"/>
      <c r="R209" s="68"/>
      <c r="S209" s="68"/>
      <c r="T209" s="69">
        <f t="shared" si="53"/>
        <v>0</v>
      </c>
      <c r="U209" s="61"/>
      <c r="V209" s="83">
        <v>0</v>
      </c>
      <c r="W209" s="61">
        <f t="shared" si="54"/>
        <v>0</v>
      </c>
      <c r="X209" s="171">
        <v>46239.212500000001</v>
      </c>
      <c r="Y209" s="171">
        <v>46239.353472222225</v>
      </c>
      <c r="Z209" s="168">
        <f t="shared" si="46"/>
        <v>0.14097222222335404</v>
      </c>
      <c r="AA209" s="169">
        <f t="shared" si="47"/>
        <v>0.14583333333333334</v>
      </c>
      <c r="AB209" s="170" t="str">
        <f t="shared" si="48"/>
        <v>00:07:00</v>
      </c>
      <c r="AC209" s="170" t="b">
        <f t="shared" si="49"/>
        <v>1</v>
      </c>
    </row>
    <row r="210" spans="1:30" ht="9.75" hidden="1" customHeight="1" x14ac:dyDescent="0.3">
      <c r="A210" s="98">
        <v>46239</v>
      </c>
      <c r="B210" s="48">
        <v>8146781</v>
      </c>
      <c r="C210" s="49" t="s">
        <v>25</v>
      </c>
      <c r="D210" s="49" t="s">
        <v>380</v>
      </c>
      <c r="E210" s="50">
        <v>0.20833333333333334</v>
      </c>
      <c r="F210" s="49" t="s">
        <v>26</v>
      </c>
      <c r="G210" s="70" t="s">
        <v>13</v>
      </c>
      <c r="H210" s="51">
        <v>0.22430555555555556</v>
      </c>
      <c r="I210" s="113" t="str">
        <f t="shared" si="50"/>
        <v>05-08-2026T05:23:00</v>
      </c>
      <c r="J210" s="51">
        <v>0.79236111111111107</v>
      </c>
      <c r="K210" s="51"/>
      <c r="L210" s="52">
        <f t="shared" si="51"/>
        <v>0.56805555555555554</v>
      </c>
      <c r="M210" s="53">
        <v>0.45833333333333331</v>
      </c>
      <c r="N210" s="54" t="str">
        <f t="shared" si="52"/>
        <v>-02:38:00</v>
      </c>
      <c r="O210" s="55">
        <v>500</v>
      </c>
      <c r="P210" s="125" t="s">
        <v>485</v>
      </c>
      <c r="Q210" s="56" t="s">
        <v>13</v>
      </c>
      <c r="R210" s="57">
        <v>0.66041666666666665</v>
      </c>
      <c r="S210" s="57">
        <v>0.78472222222222221</v>
      </c>
      <c r="T210" s="47">
        <f t="shared" si="53"/>
        <v>0.12430555555555556</v>
      </c>
      <c r="U210" s="50"/>
      <c r="V210" s="74">
        <v>8.3333333333333329E-2</v>
      </c>
      <c r="W210" s="50">
        <f t="shared" si="54"/>
        <v>4.0972222222222229E-2</v>
      </c>
      <c r="X210" s="171">
        <v>46239.224305555559</v>
      </c>
      <c r="Y210" s="171">
        <v>46239.792361111111</v>
      </c>
      <c r="Z210" s="168">
        <f t="shared" si="46"/>
        <v>0.56805555555183673</v>
      </c>
      <c r="AA210" s="169">
        <f t="shared" si="47"/>
        <v>0.45833333333333331</v>
      </c>
      <c r="AB210" s="170" t="str">
        <f t="shared" si="48"/>
        <v>-02:38:00</v>
      </c>
      <c r="AC210" s="170" t="b">
        <f t="shared" si="49"/>
        <v>1</v>
      </c>
    </row>
    <row r="211" spans="1:30" ht="9.75" hidden="1" customHeight="1" x14ac:dyDescent="0.3">
      <c r="A211" s="98">
        <v>46239</v>
      </c>
      <c r="B211" s="48">
        <v>8146902</v>
      </c>
      <c r="C211" s="49" t="s">
        <v>58</v>
      </c>
      <c r="D211" s="49" t="s">
        <v>368</v>
      </c>
      <c r="E211" s="50">
        <v>0.25</v>
      </c>
      <c r="F211" s="49" t="s">
        <v>14</v>
      </c>
      <c r="G211" s="70" t="s">
        <v>13</v>
      </c>
      <c r="H211" s="51">
        <v>0.25</v>
      </c>
      <c r="I211" s="113" t="str">
        <f t="shared" si="50"/>
        <v>05-08-2026T06:00:00</v>
      </c>
      <c r="J211" s="51">
        <v>0.95416666666666672</v>
      </c>
      <c r="K211" s="51"/>
      <c r="L211" s="52">
        <f t="shared" si="51"/>
        <v>0.70416666666666672</v>
      </c>
      <c r="M211" s="53">
        <v>0.54166666666666663</v>
      </c>
      <c r="N211" s="54" t="str">
        <f t="shared" si="52"/>
        <v>-03:54:00</v>
      </c>
      <c r="O211" s="55">
        <f>250*4</f>
        <v>1000</v>
      </c>
      <c r="P211" s="125" t="s">
        <v>486</v>
      </c>
      <c r="Q211" s="56"/>
      <c r="R211" s="57"/>
      <c r="S211" s="57"/>
      <c r="T211" s="58">
        <f t="shared" si="53"/>
        <v>0</v>
      </c>
      <c r="U211" s="50"/>
      <c r="V211" s="74">
        <v>0</v>
      </c>
      <c r="W211" s="50">
        <f t="shared" si="54"/>
        <v>0</v>
      </c>
      <c r="X211" s="171">
        <v>46239.25</v>
      </c>
      <c r="Y211" s="171">
        <v>46239.95416666667</v>
      </c>
      <c r="Z211" s="168">
        <f t="shared" si="46"/>
        <v>0.70416666667006211</v>
      </c>
      <c r="AA211" s="169">
        <f t="shared" si="47"/>
        <v>0.54166666666666663</v>
      </c>
      <c r="AB211" s="170" t="str">
        <f t="shared" si="48"/>
        <v>-03:54:00</v>
      </c>
      <c r="AC211" s="170" t="b">
        <f t="shared" si="49"/>
        <v>1</v>
      </c>
    </row>
    <row r="212" spans="1:30" ht="9.75" hidden="1" customHeight="1" x14ac:dyDescent="0.3">
      <c r="A212" s="99">
        <v>46239</v>
      </c>
      <c r="B212" s="59">
        <v>8146925</v>
      </c>
      <c r="C212" s="60" t="s">
        <v>89</v>
      </c>
      <c r="D212" s="60" t="s">
        <v>294</v>
      </c>
      <c r="E212" s="61">
        <v>0.25</v>
      </c>
      <c r="F212" s="60" t="s">
        <v>13</v>
      </c>
      <c r="G212" s="71" t="s">
        <v>35</v>
      </c>
      <c r="H212" s="62">
        <v>0.25347222222222221</v>
      </c>
      <c r="I212" s="113" t="str">
        <f t="shared" si="50"/>
        <v>05-08-2026T06:05:00</v>
      </c>
      <c r="J212" s="62">
        <v>0.28819444444444442</v>
      </c>
      <c r="K212" s="62"/>
      <c r="L212" s="63">
        <f t="shared" si="51"/>
        <v>3.472222222222221E-2</v>
      </c>
      <c r="M212" s="64">
        <v>4.1666666666666664E-2</v>
      </c>
      <c r="N212" s="65" t="str">
        <f t="shared" si="52"/>
        <v>00:10:00</v>
      </c>
      <c r="O212" s="66"/>
      <c r="P212" s="124"/>
      <c r="Q212" s="67"/>
      <c r="R212" s="68"/>
      <c r="S212" s="68"/>
      <c r="T212" s="69">
        <f t="shared" si="53"/>
        <v>0</v>
      </c>
      <c r="U212" s="61"/>
      <c r="V212" s="83">
        <v>0</v>
      </c>
      <c r="W212" s="61">
        <f t="shared" si="54"/>
        <v>0</v>
      </c>
      <c r="X212" s="171">
        <v>46239.253472222219</v>
      </c>
      <c r="Y212" s="171">
        <v>46239.288194444445</v>
      </c>
      <c r="Z212" s="168">
        <f t="shared" si="46"/>
        <v>3.4722222226264421E-2</v>
      </c>
      <c r="AA212" s="169">
        <f t="shared" si="47"/>
        <v>4.1666666666666664E-2</v>
      </c>
      <c r="AB212" s="170" t="str">
        <f t="shared" si="48"/>
        <v>00:10:00</v>
      </c>
      <c r="AC212" s="170" t="b">
        <f t="shared" si="49"/>
        <v>1</v>
      </c>
    </row>
    <row r="213" spans="1:30" ht="9.75" hidden="1" customHeight="1" x14ac:dyDescent="0.3">
      <c r="A213" s="99">
        <v>46238</v>
      </c>
      <c r="B213" s="59">
        <v>8143847</v>
      </c>
      <c r="C213" s="60" t="s">
        <v>37</v>
      </c>
      <c r="D213" s="60" t="s">
        <v>466</v>
      </c>
      <c r="E213" s="61">
        <v>0.16666666666666666</v>
      </c>
      <c r="F213" s="60" t="s">
        <v>13</v>
      </c>
      <c r="G213" s="71" t="s">
        <v>14</v>
      </c>
      <c r="H213" s="62">
        <v>46238.167361111111</v>
      </c>
      <c r="I213" s="113" t="str">
        <f t="shared" si="50"/>
        <v>04-08-2026T04:01:00</v>
      </c>
      <c r="J213" s="62">
        <v>46238.700694444444</v>
      </c>
      <c r="K213" s="62"/>
      <c r="L213" s="63">
        <f t="shared" si="51"/>
        <v>0.53333333333284827</v>
      </c>
      <c r="M213" s="64">
        <v>0.54166666666666663</v>
      </c>
      <c r="N213" s="65" t="str">
        <f t="shared" si="52"/>
        <v>00:12:00</v>
      </c>
      <c r="O213" s="66"/>
      <c r="P213" s="124"/>
      <c r="Q213" s="67"/>
      <c r="R213" s="68"/>
      <c r="S213" s="68"/>
      <c r="T213" s="69">
        <f t="shared" si="53"/>
        <v>0</v>
      </c>
      <c r="U213" s="61"/>
      <c r="V213" s="83">
        <v>0</v>
      </c>
      <c r="W213" s="61"/>
      <c r="X213" s="171">
        <v>46238.167361111111</v>
      </c>
      <c r="Y213" s="171">
        <v>46238.700694444444</v>
      </c>
      <c r="Z213" s="168">
        <f t="shared" si="46"/>
        <v>0.53333333333284827</v>
      </c>
      <c r="AA213" s="169">
        <f t="shared" si="47"/>
        <v>0.54166666666666663</v>
      </c>
      <c r="AB213" s="170" t="str">
        <f t="shared" si="48"/>
        <v>00:12:00</v>
      </c>
      <c r="AC213" s="170" t="b">
        <f t="shared" si="49"/>
        <v>1</v>
      </c>
    </row>
    <row r="214" spans="1:30" s="144" customFormat="1" ht="9.75" hidden="1" customHeight="1" x14ac:dyDescent="0.3">
      <c r="A214" s="129">
        <v>46239</v>
      </c>
      <c r="B214" s="130">
        <v>8146974</v>
      </c>
      <c r="C214" s="131" t="s">
        <v>37</v>
      </c>
      <c r="D214" s="131" t="s">
        <v>466</v>
      </c>
      <c r="E214" s="132">
        <v>0.27083333333333331</v>
      </c>
      <c r="F214" s="131" t="s">
        <v>14</v>
      </c>
      <c r="G214" s="133" t="s">
        <v>13</v>
      </c>
      <c r="H214" s="134">
        <v>0.26874999999999999</v>
      </c>
      <c r="I214" s="113" t="str">
        <f t="shared" si="50"/>
        <v>05-08-2026T06:27:00</v>
      </c>
      <c r="J214" s="134">
        <v>0.89861111111111114</v>
      </c>
      <c r="K214" s="134"/>
      <c r="L214" s="135">
        <f t="shared" si="51"/>
        <v>0.6298611111111112</v>
      </c>
      <c r="M214" s="136">
        <v>0.625</v>
      </c>
      <c r="N214" s="137" t="str">
        <f t="shared" si="52"/>
        <v>-00:07:00</v>
      </c>
      <c r="O214" s="138"/>
      <c r="P214" s="145" t="s">
        <v>457</v>
      </c>
      <c r="Q214" s="140" t="s">
        <v>126</v>
      </c>
      <c r="R214" s="141">
        <v>0.375</v>
      </c>
      <c r="S214" s="141">
        <v>0.45833333333333331</v>
      </c>
      <c r="T214" s="142">
        <f t="shared" si="53"/>
        <v>8.3333333333333315E-2</v>
      </c>
      <c r="U214" s="132"/>
      <c r="V214" s="143">
        <v>6.25E-2</v>
      </c>
      <c r="W214" s="132">
        <f t="shared" ref="W214:W246" si="55">T214-V214</f>
        <v>2.0833333333333315E-2</v>
      </c>
      <c r="X214" s="171">
        <v>46239.268750000003</v>
      </c>
      <c r="Y214" s="171">
        <v>46239.898611111108</v>
      </c>
      <c r="Z214" s="168">
        <f t="shared" si="46"/>
        <v>0.62986111110512866</v>
      </c>
      <c r="AA214" s="169">
        <f t="shared" si="47"/>
        <v>0.625</v>
      </c>
      <c r="AB214" s="170" t="str">
        <f t="shared" si="48"/>
        <v>-00:07:00</v>
      </c>
      <c r="AC214" s="170" t="b">
        <f t="shared" si="49"/>
        <v>1</v>
      </c>
    </row>
    <row r="215" spans="1:30" ht="9.75" hidden="1" customHeight="1" x14ac:dyDescent="0.3">
      <c r="A215" s="99">
        <v>46239</v>
      </c>
      <c r="B215" s="59">
        <v>8146990</v>
      </c>
      <c r="C215" s="60" t="s">
        <v>38</v>
      </c>
      <c r="D215" s="60" t="s">
        <v>289</v>
      </c>
      <c r="E215" s="61">
        <v>0.27083333333333331</v>
      </c>
      <c r="F215" s="60" t="s">
        <v>13</v>
      </c>
      <c r="G215" s="71" t="s">
        <v>14</v>
      </c>
      <c r="H215" s="62">
        <v>0.27430555555555558</v>
      </c>
      <c r="I215" s="113" t="str">
        <f t="shared" si="50"/>
        <v>05-08-2026T06:35:00</v>
      </c>
      <c r="J215" s="62">
        <v>0.87708333333333333</v>
      </c>
      <c r="K215" s="62"/>
      <c r="L215" s="63">
        <f t="shared" si="51"/>
        <v>0.60277777777777775</v>
      </c>
      <c r="M215" s="64">
        <v>0.625</v>
      </c>
      <c r="N215" s="65" t="str">
        <f t="shared" si="52"/>
        <v>00:32:00</v>
      </c>
      <c r="O215" s="66"/>
      <c r="P215" s="124"/>
      <c r="Q215" s="67" t="s">
        <v>15</v>
      </c>
      <c r="R215" s="68">
        <v>0.51249999999999996</v>
      </c>
      <c r="S215" s="68">
        <v>0.54305555555555551</v>
      </c>
      <c r="T215" s="69">
        <f t="shared" si="53"/>
        <v>3.0555555555555558E-2</v>
      </c>
      <c r="U215" s="61"/>
      <c r="V215" s="83">
        <v>6.25E-2</v>
      </c>
      <c r="W215" s="61">
        <f t="shared" si="55"/>
        <v>-3.1944444444444442E-2</v>
      </c>
      <c r="X215" s="171">
        <v>46239.274305555555</v>
      </c>
      <c r="Y215" s="171">
        <v>46239.877083333333</v>
      </c>
      <c r="Z215" s="168">
        <f t="shared" si="46"/>
        <v>0.60277777777810115</v>
      </c>
      <c r="AA215" s="169">
        <f t="shared" si="47"/>
        <v>0.625</v>
      </c>
      <c r="AB215" s="170" t="str">
        <f t="shared" si="48"/>
        <v>00:32:00</v>
      </c>
      <c r="AC215" s="170" t="b">
        <f t="shared" si="49"/>
        <v>1</v>
      </c>
    </row>
    <row r="216" spans="1:30" s="128" customFormat="1" ht="9.75" hidden="1" customHeight="1" x14ac:dyDescent="0.3">
      <c r="A216" s="99">
        <v>46239</v>
      </c>
      <c r="B216" s="59">
        <v>8146951</v>
      </c>
      <c r="C216" s="60" t="s">
        <v>39</v>
      </c>
      <c r="D216" s="60" t="s">
        <v>392</v>
      </c>
      <c r="E216" s="61">
        <v>0.27083333333333331</v>
      </c>
      <c r="F216" s="60" t="s">
        <v>103</v>
      </c>
      <c r="G216" s="71" t="s">
        <v>13</v>
      </c>
      <c r="H216" s="62">
        <v>0.26319444444444445</v>
      </c>
      <c r="I216" s="113" t="str">
        <f t="shared" si="50"/>
        <v>05-08-2026T06:19:00</v>
      </c>
      <c r="J216" s="62">
        <v>0.95763888888888893</v>
      </c>
      <c r="K216" s="62"/>
      <c r="L216" s="63">
        <f t="shared" si="51"/>
        <v>0.69444444444444442</v>
      </c>
      <c r="M216" s="64">
        <v>0.70833333333333337</v>
      </c>
      <c r="N216" s="65" t="str">
        <f t="shared" si="52"/>
        <v>00:20:00</v>
      </c>
      <c r="O216" s="66"/>
      <c r="P216" s="124" t="s">
        <v>458</v>
      </c>
      <c r="Q216" s="67" t="s">
        <v>13</v>
      </c>
      <c r="R216" s="68">
        <v>0.81736111111111109</v>
      </c>
      <c r="S216" s="68">
        <v>0.9506944444444444</v>
      </c>
      <c r="T216" s="47">
        <f t="shared" si="53"/>
        <v>0.1333333333333333</v>
      </c>
      <c r="U216" s="61"/>
      <c r="V216" s="83">
        <v>8.3333333333333329E-2</v>
      </c>
      <c r="W216" s="61">
        <f t="shared" si="55"/>
        <v>4.9999999999999975E-2</v>
      </c>
      <c r="X216" s="171">
        <v>46239.263194444444</v>
      </c>
      <c r="Y216" s="171">
        <v>46239.957638888889</v>
      </c>
      <c r="Z216" s="168">
        <f t="shared" si="46"/>
        <v>0.69444444444525288</v>
      </c>
      <c r="AA216" s="169">
        <f t="shared" si="47"/>
        <v>0.70833333333333337</v>
      </c>
      <c r="AB216" s="170" t="str">
        <f t="shared" si="48"/>
        <v>00:20:00</v>
      </c>
      <c r="AC216" s="170" t="b">
        <f t="shared" si="49"/>
        <v>1</v>
      </c>
    </row>
    <row r="217" spans="1:30" ht="9.75" hidden="1" customHeight="1" x14ac:dyDescent="0.3">
      <c r="A217" s="98">
        <v>46239</v>
      </c>
      <c r="B217" s="48">
        <v>8147020</v>
      </c>
      <c r="C217" s="49" t="s">
        <v>56</v>
      </c>
      <c r="D217" s="49" t="s">
        <v>326</v>
      </c>
      <c r="E217" s="50">
        <v>0.29166666666666669</v>
      </c>
      <c r="F217" s="49" t="s">
        <v>15</v>
      </c>
      <c r="G217" s="70" t="s">
        <v>13</v>
      </c>
      <c r="H217" s="51">
        <v>0.28888888888888886</v>
      </c>
      <c r="I217" s="113" t="str">
        <f t="shared" si="50"/>
        <v>05-08-2026T06:56:00</v>
      </c>
      <c r="J217" s="51">
        <v>0.56388888888888888</v>
      </c>
      <c r="K217" s="51"/>
      <c r="L217" s="52">
        <f t="shared" si="51"/>
        <v>0.27500000000000002</v>
      </c>
      <c r="M217" s="53">
        <v>0.25</v>
      </c>
      <c r="N217" s="54" t="str">
        <f t="shared" si="52"/>
        <v>-00:36:00</v>
      </c>
      <c r="O217" s="55">
        <v>250</v>
      </c>
      <c r="P217" s="125" t="s">
        <v>487</v>
      </c>
      <c r="Q217" s="56" t="s">
        <v>205</v>
      </c>
      <c r="R217" s="57">
        <v>0.37847222222222221</v>
      </c>
      <c r="S217" s="57">
        <v>0.43402777777777779</v>
      </c>
      <c r="T217" s="47">
        <f t="shared" si="53"/>
        <v>5.555555555555558E-2</v>
      </c>
      <c r="U217" s="50"/>
      <c r="V217" s="74">
        <v>4.1666666666666664E-2</v>
      </c>
      <c r="W217" s="50">
        <f t="shared" si="55"/>
        <v>1.3888888888888916E-2</v>
      </c>
      <c r="X217" s="171">
        <v>46239.288888888892</v>
      </c>
      <c r="Y217" s="171">
        <v>46239.563888888886</v>
      </c>
      <c r="Z217" s="168">
        <f t="shared" si="46"/>
        <v>0.27499999999417923</v>
      </c>
      <c r="AA217" s="169">
        <f t="shared" si="47"/>
        <v>0.25</v>
      </c>
      <c r="AB217" s="170" t="str">
        <f t="shared" si="48"/>
        <v>-00:36:00</v>
      </c>
      <c r="AC217" s="170" t="b">
        <f t="shared" si="49"/>
        <v>1</v>
      </c>
    </row>
    <row r="218" spans="1:30" ht="9.75" hidden="1" customHeight="1" x14ac:dyDescent="0.3">
      <c r="A218" s="99">
        <v>46238</v>
      </c>
      <c r="B218" s="59">
        <v>8145772</v>
      </c>
      <c r="C218" s="60" t="s">
        <v>42</v>
      </c>
      <c r="D218" s="60" t="s">
        <v>181</v>
      </c>
      <c r="E218" s="61">
        <v>0.875</v>
      </c>
      <c r="F218" s="60" t="s">
        <v>55</v>
      </c>
      <c r="G218" s="71" t="s">
        <v>13</v>
      </c>
      <c r="H218" s="62">
        <v>46238.845138888886</v>
      </c>
      <c r="I218" s="113" t="str">
        <f t="shared" si="50"/>
        <v>04-08-2026T20:17:00</v>
      </c>
      <c r="J218" s="62">
        <v>46238.890972222223</v>
      </c>
      <c r="K218" s="62"/>
      <c r="L218" s="63">
        <f t="shared" si="51"/>
        <v>4.5833333337213844E-2</v>
      </c>
      <c r="M218" s="64">
        <v>6.25E-2</v>
      </c>
      <c r="N218" s="65" t="str">
        <f t="shared" si="52"/>
        <v>00:24:00</v>
      </c>
      <c r="O218" s="66"/>
      <c r="P218" s="124"/>
      <c r="Q218" s="67"/>
      <c r="R218" s="68"/>
      <c r="S218" s="68"/>
      <c r="T218" s="69">
        <f t="shared" si="53"/>
        <v>0</v>
      </c>
      <c r="U218" s="61"/>
      <c r="V218" s="83">
        <v>0</v>
      </c>
      <c r="W218" s="61">
        <f t="shared" si="55"/>
        <v>0</v>
      </c>
      <c r="X218" s="171">
        <v>46238.845138888886</v>
      </c>
      <c r="Y218" s="171">
        <v>46238.890972222223</v>
      </c>
      <c r="Z218" s="168">
        <f t="shared" si="46"/>
        <v>4.5833333337213844E-2</v>
      </c>
      <c r="AA218" s="169">
        <f t="shared" si="47"/>
        <v>6.25E-2</v>
      </c>
      <c r="AB218" s="170" t="str">
        <f t="shared" si="48"/>
        <v>00:24:00</v>
      </c>
      <c r="AC218" s="170" t="b">
        <f t="shared" si="49"/>
        <v>1</v>
      </c>
    </row>
    <row r="219" spans="1:30" ht="9.75" hidden="1" customHeight="1" x14ac:dyDescent="0.3">
      <c r="A219" s="99">
        <v>46239</v>
      </c>
      <c r="B219" s="59">
        <v>8147093</v>
      </c>
      <c r="C219" s="60" t="s">
        <v>42</v>
      </c>
      <c r="D219" s="60" t="s">
        <v>181</v>
      </c>
      <c r="E219" s="61">
        <v>0.3125</v>
      </c>
      <c r="F219" s="60" t="s">
        <v>13</v>
      </c>
      <c r="G219" s="71" t="s">
        <v>55</v>
      </c>
      <c r="H219" s="62">
        <v>0.31527777777777777</v>
      </c>
      <c r="I219" s="113" t="str">
        <f t="shared" si="50"/>
        <v>05-08-2026T07:34:00</v>
      </c>
      <c r="J219" s="62">
        <v>0.37708333333333333</v>
      </c>
      <c r="K219" s="62"/>
      <c r="L219" s="63">
        <f t="shared" si="51"/>
        <v>6.1805555555555558E-2</v>
      </c>
      <c r="M219" s="64">
        <v>6.25E-2</v>
      </c>
      <c r="N219" s="65" t="str">
        <f t="shared" si="52"/>
        <v>00:01:00</v>
      </c>
      <c r="O219" s="66"/>
      <c r="P219" s="124"/>
      <c r="Q219" s="67"/>
      <c r="R219" s="68"/>
      <c r="S219" s="68"/>
      <c r="T219" s="69">
        <f t="shared" si="53"/>
        <v>0</v>
      </c>
      <c r="U219" s="61" t="s">
        <v>234</v>
      </c>
      <c r="V219" s="83">
        <v>0</v>
      </c>
      <c r="W219" s="61">
        <f t="shared" si="55"/>
        <v>0</v>
      </c>
      <c r="X219" s="171">
        <v>46239.31527777778</v>
      </c>
      <c r="Y219" s="171">
        <v>46239.377083333333</v>
      </c>
      <c r="Z219" s="168">
        <f t="shared" si="46"/>
        <v>6.1805555553291924E-2</v>
      </c>
      <c r="AA219" s="169">
        <f t="shared" si="47"/>
        <v>6.25E-2</v>
      </c>
      <c r="AB219" s="170" t="str">
        <f t="shared" si="48"/>
        <v>00:01:00</v>
      </c>
      <c r="AC219" s="170" t="b">
        <f t="shared" si="49"/>
        <v>1</v>
      </c>
    </row>
    <row r="220" spans="1:30" s="128" customFormat="1" ht="9.75" hidden="1" customHeight="1" x14ac:dyDescent="0.3">
      <c r="A220" s="99">
        <v>46239</v>
      </c>
      <c r="B220" s="59">
        <v>8147181</v>
      </c>
      <c r="C220" s="60" t="s">
        <v>86</v>
      </c>
      <c r="D220" s="60" t="s">
        <v>182</v>
      </c>
      <c r="E220" s="61">
        <v>0.375</v>
      </c>
      <c r="F220" s="60" t="s">
        <v>13</v>
      </c>
      <c r="G220" s="71" t="s">
        <v>31</v>
      </c>
      <c r="H220" s="62">
        <v>46239.359027777777</v>
      </c>
      <c r="I220" s="113" t="str">
        <f t="shared" si="50"/>
        <v>05-08-2026T08:37:00</v>
      </c>
      <c r="J220" s="62">
        <v>46240.09375</v>
      </c>
      <c r="K220" s="62"/>
      <c r="L220" s="63">
        <f t="shared" si="51"/>
        <v>0.73472222222335404</v>
      </c>
      <c r="M220" s="64">
        <v>0.75</v>
      </c>
      <c r="N220" s="65" t="str">
        <f t="shared" si="52"/>
        <v>00:22:00</v>
      </c>
      <c r="O220" s="66"/>
      <c r="P220" s="126" t="s">
        <v>488</v>
      </c>
      <c r="Q220" s="67" t="s">
        <v>45</v>
      </c>
      <c r="R220" s="68">
        <v>0.90486111111111112</v>
      </c>
      <c r="S220" s="68">
        <v>0.97222222222222221</v>
      </c>
      <c r="T220" s="69">
        <f t="shared" si="53"/>
        <v>6.7361111111111094E-2</v>
      </c>
      <c r="U220" s="61"/>
      <c r="V220" s="83">
        <v>8.3333333333333329E-2</v>
      </c>
      <c r="W220" s="61">
        <f t="shared" si="55"/>
        <v>-1.5972222222222235E-2</v>
      </c>
      <c r="X220" s="172">
        <v>46239.359027777777</v>
      </c>
      <c r="Y220" s="172">
        <v>46240.09375</v>
      </c>
      <c r="Z220" s="173">
        <f t="shared" si="46"/>
        <v>0.73472222222335404</v>
      </c>
      <c r="AA220" s="174">
        <f t="shared" si="47"/>
        <v>0.75</v>
      </c>
      <c r="AB220" s="175" t="str">
        <f t="shared" si="48"/>
        <v>00:22:00</v>
      </c>
      <c r="AC220" s="175" t="b">
        <f t="shared" si="49"/>
        <v>1</v>
      </c>
    </row>
    <row r="221" spans="1:30" s="127" customFormat="1" ht="9.75" hidden="1" customHeight="1" x14ac:dyDescent="0.3">
      <c r="A221" s="98">
        <v>46239</v>
      </c>
      <c r="B221" s="48">
        <v>8147663</v>
      </c>
      <c r="C221" s="49" t="s">
        <v>22</v>
      </c>
      <c r="D221" s="49" t="s">
        <v>385</v>
      </c>
      <c r="E221" s="50">
        <v>0.375</v>
      </c>
      <c r="F221" s="49" t="s">
        <v>13</v>
      </c>
      <c r="G221" s="70" t="s">
        <v>47</v>
      </c>
      <c r="H221" s="51">
        <v>46239.54791666667</v>
      </c>
      <c r="I221" s="113" t="str">
        <f t="shared" si="50"/>
        <v>05-08-2026T13:09:00</v>
      </c>
      <c r="J221" s="51">
        <v>46241.526388888888</v>
      </c>
      <c r="K221" s="51"/>
      <c r="L221" s="52">
        <f t="shared" si="51"/>
        <v>1.9784722222175333</v>
      </c>
      <c r="M221" s="53">
        <v>1.9166666666666667</v>
      </c>
      <c r="N221" s="54" t="str">
        <f t="shared" si="52"/>
        <v>-01:29:00</v>
      </c>
      <c r="O221" s="55">
        <v>400</v>
      </c>
      <c r="P221" s="125" t="s">
        <v>437</v>
      </c>
      <c r="Q221" s="56" t="s">
        <v>96</v>
      </c>
      <c r="R221" s="57">
        <v>46241.338888888888</v>
      </c>
      <c r="S221" s="57">
        <v>46241.374305555553</v>
      </c>
      <c r="T221" s="58">
        <f t="shared" si="53"/>
        <v>3.5416666665696539E-2</v>
      </c>
      <c r="U221" s="50"/>
      <c r="V221" s="74">
        <v>8.3333333333333329E-2</v>
      </c>
      <c r="W221" s="50">
        <f t="shared" si="55"/>
        <v>-4.791666666763679E-2</v>
      </c>
      <c r="X221" s="171">
        <v>46239.54791666667</v>
      </c>
      <c r="Y221" s="171">
        <v>46241.526388888888</v>
      </c>
      <c r="Z221" s="168">
        <f t="shared" si="46"/>
        <v>1.9784722222175333</v>
      </c>
      <c r="AA221" s="169">
        <f t="shared" si="47"/>
        <v>1.9166666666666667</v>
      </c>
      <c r="AB221" s="170" t="str">
        <f t="shared" si="48"/>
        <v>-01:29:00</v>
      </c>
      <c r="AC221" s="170" t="b">
        <f t="shared" si="49"/>
        <v>1</v>
      </c>
      <c r="AD221"/>
    </row>
    <row r="222" spans="1:30" s="144" customFormat="1" ht="9.75" hidden="1" customHeight="1" x14ac:dyDescent="0.3">
      <c r="A222" s="129">
        <v>46239</v>
      </c>
      <c r="B222" s="130">
        <v>8147218</v>
      </c>
      <c r="C222" s="131" t="s">
        <v>51</v>
      </c>
      <c r="D222" s="131" t="s">
        <v>295</v>
      </c>
      <c r="E222" s="132">
        <v>0.375</v>
      </c>
      <c r="F222" s="131" t="s">
        <v>49</v>
      </c>
      <c r="G222" s="133" t="s">
        <v>13</v>
      </c>
      <c r="H222" s="134">
        <v>0.36875000000000002</v>
      </c>
      <c r="I222" s="113" t="str">
        <f t="shared" si="50"/>
        <v>05-08-2026T08:51:00</v>
      </c>
      <c r="J222" s="134">
        <v>0.96458333333333335</v>
      </c>
      <c r="K222" s="134"/>
      <c r="L222" s="135">
        <f t="shared" si="51"/>
        <v>0.59583333333333333</v>
      </c>
      <c r="M222" s="136">
        <v>0.58333333333333337</v>
      </c>
      <c r="N222" s="137" t="str">
        <f t="shared" si="52"/>
        <v>-00:18:00</v>
      </c>
      <c r="O222" s="138"/>
      <c r="P222" s="145" t="s">
        <v>459</v>
      </c>
      <c r="Q222" s="140" t="s">
        <v>13</v>
      </c>
      <c r="R222" s="141">
        <v>0.85069444444444442</v>
      </c>
      <c r="S222" s="141">
        <v>0.95833333333333337</v>
      </c>
      <c r="T222" s="142">
        <f t="shared" si="53"/>
        <v>0.10763888888888895</v>
      </c>
      <c r="U222" s="132"/>
      <c r="V222" s="143">
        <v>8.3333333333333329E-2</v>
      </c>
      <c r="W222" s="132">
        <f t="shared" si="55"/>
        <v>2.4305555555555622E-2</v>
      </c>
      <c r="X222" s="171">
        <v>46239.368750000001</v>
      </c>
      <c r="Y222" s="171">
        <v>46239.964583333334</v>
      </c>
      <c r="Z222" s="168">
        <f t="shared" si="46"/>
        <v>0.59583333333284827</v>
      </c>
      <c r="AA222" s="169">
        <f t="shared" si="47"/>
        <v>0.58333333333333337</v>
      </c>
      <c r="AB222" s="170" t="str">
        <f t="shared" si="48"/>
        <v>-00:18:00</v>
      </c>
      <c r="AC222" s="170" t="b">
        <f t="shared" si="49"/>
        <v>1</v>
      </c>
    </row>
    <row r="223" spans="1:30" s="239" customFormat="1" ht="9.75" hidden="1" customHeight="1" x14ac:dyDescent="0.3">
      <c r="A223" s="220">
        <v>46239</v>
      </c>
      <c r="B223" s="221">
        <v>8147767</v>
      </c>
      <c r="C223" s="222" t="s">
        <v>48</v>
      </c>
      <c r="D223" s="222" t="s">
        <v>183</v>
      </c>
      <c r="E223" s="223">
        <v>0.375</v>
      </c>
      <c r="F223" s="222" t="s">
        <v>49</v>
      </c>
      <c r="G223" s="224" t="s">
        <v>13</v>
      </c>
      <c r="H223" s="225">
        <v>46239.584027777775</v>
      </c>
      <c r="I223" s="113" t="str">
        <f t="shared" si="50"/>
        <v>05-08-2026T14:01:00</v>
      </c>
      <c r="J223" s="225">
        <v>46240.17291666667</v>
      </c>
      <c r="K223" s="225"/>
      <c r="L223" s="226">
        <f t="shared" si="51"/>
        <v>0.58888888889487134</v>
      </c>
      <c r="M223" s="227">
        <v>0.58333333333333337</v>
      </c>
      <c r="N223" s="228" t="str">
        <f t="shared" si="52"/>
        <v>-00:08:00</v>
      </c>
      <c r="O223" s="229">
        <v>250</v>
      </c>
      <c r="P223" s="230" t="s">
        <v>489</v>
      </c>
      <c r="Q223" s="231" t="s">
        <v>13</v>
      </c>
      <c r="R223" s="232">
        <v>46240.078472222223</v>
      </c>
      <c r="S223" s="232">
        <v>46240.159722222219</v>
      </c>
      <c r="T223" s="233">
        <f t="shared" si="53"/>
        <v>8.1249999995634425E-2</v>
      </c>
      <c r="U223" s="223"/>
      <c r="V223" s="234">
        <v>8.3333333333333329E-2</v>
      </c>
      <c r="W223" s="223">
        <f t="shared" si="55"/>
        <v>-2.0833333376989033E-3</v>
      </c>
      <c r="X223" s="235">
        <v>46239.584027777775</v>
      </c>
      <c r="Y223" s="235">
        <v>46240.17291666667</v>
      </c>
      <c r="Z223" s="236">
        <f t="shared" si="46"/>
        <v>0.58888888889487134</v>
      </c>
      <c r="AA223" s="237">
        <f t="shared" si="47"/>
        <v>0.58333333333333337</v>
      </c>
      <c r="AB223" s="238" t="str">
        <f t="shared" si="48"/>
        <v>-00:08:00</v>
      </c>
      <c r="AC223" s="238" t="b">
        <f t="shared" si="49"/>
        <v>1</v>
      </c>
    </row>
    <row r="224" spans="1:30" ht="9.75" hidden="1" customHeight="1" x14ac:dyDescent="0.3">
      <c r="A224" s="98">
        <v>46239</v>
      </c>
      <c r="B224" s="48">
        <v>8147272</v>
      </c>
      <c r="C224" s="49" t="s">
        <v>40</v>
      </c>
      <c r="D224" s="49" t="s">
        <v>460</v>
      </c>
      <c r="E224" s="50">
        <v>0.41666666666666669</v>
      </c>
      <c r="F224" s="49" t="s">
        <v>31</v>
      </c>
      <c r="G224" s="70" t="s">
        <v>13</v>
      </c>
      <c r="H224" s="51">
        <v>46239.404166666667</v>
      </c>
      <c r="I224" s="113" t="str">
        <f t="shared" si="50"/>
        <v>05-08-2026T09:42:00</v>
      </c>
      <c r="J224" s="51">
        <v>46240.159722222219</v>
      </c>
      <c r="K224" s="51"/>
      <c r="L224" s="52">
        <f t="shared" si="51"/>
        <v>0.75555555555183673</v>
      </c>
      <c r="M224" s="53">
        <v>0.75</v>
      </c>
      <c r="N224" s="54" t="str">
        <f t="shared" si="52"/>
        <v>-00:08:00</v>
      </c>
      <c r="O224" s="55">
        <v>200</v>
      </c>
      <c r="P224" s="125" t="s">
        <v>490</v>
      </c>
      <c r="Q224" s="56" t="s">
        <v>45</v>
      </c>
      <c r="R224" s="57">
        <v>0.52222222222222225</v>
      </c>
      <c r="S224" s="57">
        <v>0.58680555555555558</v>
      </c>
      <c r="T224" s="58">
        <f t="shared" si="53"/>
        <v>6.4583333333333326E-2</v>
      </c>
      <c r="U224" s="50"/>
      <c r="V224" s="74">
        <v>8.3333333333333329E-2</v>
      </c>
      <c r="W224" s="50">
        <f t="shared" si="55"/>
        <v>-1.8750000000000003E-2</v>
      </c>
      <c r="X224" s="171">
        <v>46239.404166666667</v>
      </c>
      <c r="Y224" s="171">
        <v>46240.159722222219</v>
      </c>
      <c r="Z224" s="168">
        <f t="shared" si="46"/>
        <v>0.75555555555183673</v>
      </c>
      <c r="AA224" s="169">
        <f t="shared" si="47"/>
        <v>0.75</v>
      </c>
      <c r="AB224" s="170" t="str">
        <f t="shared" si="48"/>
        <v>-00:08:00</v>
      </c>
      <c r="AC224" s="170" t="b">
        <f t="shared" si="49"/>
        <v>1</v>
      </c>
    </row>
    <row r="225" spans="1:29" ht="9.75" hidden="1" customHeight="1" x14ac:dyDescent="0.3">
      <c r="A225" s="99">
        <v>46239</v>
      </c>
      <c r="B225" s="59">
        <v>8147000</v>
      </c>
      <c r="C225" s="60" t="s">
        <v>52</v>
      </c>
      <c r="D225" s="60" t="s">
        <v>616</v>
      </c>
      <c r="E225" s="61">
        <v>0.4375</v>
      </c>
      <c r="F225" s="60" t="s">
        <v>15</v>
      </c>
      <c r="G225" s="71" t="s">
        <v>13</v>
      </c>
      <c r="H225" s="62">
        <v>0.28125</v>
      </c>
      <c r="I225" s="113" t="str">
        <f t="shared" si="50"/>
        <v>05-08-2026T06:45:00</v>
      </c>
      <c r="J225" s="62">
        <v>0.48680555555555555</v>
      </c>
      <c r="K225" s="62"/>
      <c r="L225" s="63">
        <f t="shared" si="51"/>
        <v>0.20555555555555555</v>
      </c>
      <c r="M225" s="64">
        <v>0.20833333333333334</v>
      </c>
      <c r="N225" s="65" t="str">
        <f t="shared" si="52"/>
        <v>00:04:00</v>
      </c>
      <c r="O225" s="66"/>
      <c r="P225" s="124"/>
      <c r="Q225" s="67"/>
      <c r="R225" s="68"/>
      <c r="S225" s="68"/>
      <c r="T225" s="69">
        <f t="shared" si="53"/>
        <v>0</v>
      </c>
      <c r="U225" s="61" t="s">
        <v>234</v>
      </c>
      <c r="V225" s="83">
        <v>0</v>
      </c>
      <c r="W225" s="61">
        <f t="shared" si="55"/>
        <v>0</v>
      </c>
      <c r="X225" s="171">
        <v>46239.28125</v>
      </c>
      <c r="Y225" s="171">
        <v>46239.486805555556</v>
      </c>
      <c r="Z225" s="168">
        <f t="shared" si="46"/>
        <v>0.20555555555620231</v>
      </c>
      <c r="AA225" s="169">
        <f t="shared" si="47"/>
        <v>0.20833333333333334</v>
      </c>
      <c r="AB225" s="170" t="str">
        <f t="shared" si="48"/>
        <v>00:04:00</v>
      </c>
      <c r="AC225" s="170" t="b">
        <f t="shared" si="49"/>
        <v>1</v>
      </c>
    </row>
    <row r="226" spans="1:29" ht="9.75" hidden="1" customHeight="1" x14ac:dyDescent="0.3">
      <c r="A226" s="99">
        <v>46239</v>
      </c>
      <c r="B226" s="59">
        <v>8147392</v>
      </c>
      <c r="C226" s="60" t="s">
        <v>54</v>
      </c>
      <c r="D226" s="60" t="s">
        <v>288</v>
      </c>
      <c r="E226" s="61">
        <v>0.45833333333333331</v>
      </c>
      <c r="F226" s="60" t="s">
        <v>13</v>
      </c>
      <c r="G226" s="71" t="s">
        <v>24</v>
      </c>
      <c r="H226" s="62">
        <v>0.4597222222222222</v>
      </c>
      <c r="I226" s="113" t="str">
        <f t="shared" si="50"/>
        <v>05-08-2026T11:02:00</v>
      </c>
      <c r="J226" s="62">
        <v>0.53472222222222221</v>
      </c>
      <c r="K226" s="62"/>
      <c r="L226" s="63">
        <f t="shared" si="51"/>
        <v>7.5000000000000011E-2</v>
      </c>
      <c r="M226" s="64">
        <v>8.3333333333333329E-2</v>
      </c>
      <c r="N226" s="65" t="str">
        <f t="shared" si="52"/>
        <v>00:12:00</v>
      </c>
      <c r="O226" s="66"/>
      <c r="P226" s="124"/>
      <c r="Q226" s="67"/>
      <c r="R226" s="68"/>
      <c r="S226" s="68"/>
      <c r="T226" s="69">
        <f t="shared" si="53"/>
        <v>0</v>
      </c>
      <c r="U226" s="61" t="s">
        <v>234</v>
      </c>
      <c r="V226" s="83">
        <v>0</v>
      </c>
      <c r="W226" s="61">
        <f t="shared" si="55"/>
        <v>0</v>
      </c>
      <c r="X226" s="171">
        <v>46239.459722222222</v>
      </c>
      <c r="Y226" s="171">
        <v>46239.534722222219</v>
      </c>
      <c r="Z226" s="168">
        <f t="shared" si="46"/>
        <v>7.4999999997089617E-2</v>
      </c>
      <c r="AA226" s="169">
        <f t="shared" si="47"/>
        <v>8.3333333333333329E-2</v>
      </c>
      <c r="AB226" s="170" t="str">
        <f t="shared" si="48"/>
        <v>00:12:00</v>
      </c>
      <c r="AC226" s="170" t="b">
        <f t="shared" si="49"/>
        <v>1</v>
      </c>
    </row>
    <row r="227" spans="1:29" ht="9.75" hidden="1" customHeight="1" x14ac:dyDescent="0.3">
      <c r="A227" s="99">
        <v>46239</v>
      </c>
      <c r="B227" s="59">
        <v>8147511</v>
      </c>
      <c r="C227" s="60" t="s">
        <v>20</v>
      </c>
      <c r="D227" s="60" t="s">
        <v>232</v>
      </c>
      <c r="E227" s="61">
        <v>0.5</v>
      </c>
      <c r="F227" s="60" t="s">
        <v>13</v>
      </c>
      <c r="G227" s="71" t="s">
        <v>21</v>
      </c>
      <c r="H227" s="62">
        <v>0.49861111111111112</v>
      </c>
      <c r="I227" s="113" t="str">
        <f t="shared" si="50"/>
        <v>05-08-2026T11:58:00</v>
      </c>
      <c r="J227" s="62">
        <v>0.74305555555555558</v>
      </c>
      <c r="K227" s="62"/>
      <c r="L227" s="63">
        <f t="shared" si="51"/>
        <v>0.24444444444444446</v>
      </c>
      <c r="M227" s="64">
        <v>0.25</v>
      </c>
      <c r="N227" s="65" t="str">
        <f t="shared" si="52"/>
        <v>00:08:00</v>
      </c>
      <c r="O227" s="66"/>
      <c r="P227" s="124"/>
      <c r="Q227" s="67"/>
      <c r="R227" s="68"/>
      <c r="S227" s="68"/>
      <c r="T227" s="69">
        <f t="shared" si="53"/>
        <v>0</v>
      </c>
      <c r="U227" s="61" t="s">
        <v>234</v>
      </c>
      <c r="V227" s="83">
        <v>0</v>
      </c>
      <c r="W227" s="61">
        <f t="shared" si="55"/>
        <v>0</v>
      </c>
      <c r="X227" s="171">
        <v>46239.498611111114</v>
      </c>
      <c r="Y227" s="171">
        <v>46239.743055555555</v>
      </c>
      <c r="Z227" s="168">
        <f t="shared" si="46"/>
        <v>0.24444444444088731</v>
      </c>
      <c r="AA227" s="169">
        <f t="shared" si="47"/>
        <v>0.25</v>
      </c>
      <c r="AB227" s="170" t="str">
        <f t="shared" si="48"/>
        <v>00:08:00</v>
      </c>
      <c r="AC227" s="170" t="b">
        <f t="shared" si="49"/>
        <v>1</v>
      </c>
    </row>
    <row r="228" spans="1:29" s="128" customFormat="1" ht="9.75" hidden="1" customHeight="1" x14ac:dyDescent="0.3">
      <c r="A228" s="99">
        <v>46239</v>
      </c>
      <c r="B228" s="59">
        <v>8147619</v>
      </c>
      <c r="C228" s="60" t="s">
        <v>34</v>
      </c>
      <c r="D228" s="60" t="s">
        <v>381</v>
      </c>
      <c r="E228" s="61">
        <v>0.54166666666666663</v>
      </c>
      <c r="F228" s="60" t="s">
        <v>103</v>
      </c>
      <c r="G228" s="71" t="s">
        <v>13</v>
      </c>
      <c r="H228" s="62">
        <v>46239.538888888892</v>
      </c>
      <c r="I228" s="113" t="str">
        <f t="shared" si="50"/>
        <v>05-08-2026T12:56:00</v>
      </c>
      <c r="J228" s="62">
        <v>46240.200694444444</v>
      </c>
      <c r="K228" s="62"/>
      <c r="L228" s="63">
        <f t="shared" ref="L228:L247" si="56">J228-H228</f>
        <v>0.66180555555183673</v>
      </c>
      <c r="M228" s="64">
        <v>0.70833333333333337</v>
      </c>
      <c r="N228" s="65" t="str">
        <f t="shared" ref="N228:N260" si="57">IF(M228-L228&gt;0,TEXT(M228-L228,"HH:MM:SS"),TEXT(ABS(M228-L228),"-HH:MM:SS"))</f>
        <v>01:07:00</v>
      </c>
      <c r="O228" s="66"/>
      <c r="P228" s="124" t="s">
        <v>461</v>
      </c>
      <c r="Q228" s="67" t="s">
        <v>13</v>
      </c>
      <c r="R228" s="68">
        <v>46240.158333333333</v>
      </c>
      <c r="S228" s="68">
        <v>46240.195833333331</v>
      </c>
      <c r="T228" s="69">
        <f t="shared" ref="T228:T260" si="58">S228-R228</f>
        <v>3.7499999998544808E-2</v>
      </c>
      <c r="U228" s="61"/>
      <c r="V228" s="83">
        <v>8.3333333333333329E-2</v>
      </c>
      <c r="W228" s="61">
        <f t="shared" si="55"/>
        <v>-4.583333333478852E-2</v>
      </c>
      <c r="X228" s="171">
        <v>46239.538888888892</v>
      </c>
      <c r="Y228" s="171">
        <v>46240.200694444444</v>
      </c>
      <c r="Z228" s="168">
        <f t="shared" si="46"/>
        <v>0.66180555555183673</v>
      </c>
      <c r="AA228" s="169">
        <f t="shared" si="47"/>
        <v>0.70833333333333337</v>
      </c>
      <c r="AB228" s="170" t="str">
        <f t="shared" si="48"/>
        <v>01:07:00</v>
      </c>
      <c r="AC228" s="170" t="b">
        <f t="shared" si="49"/>
        <v>1</v>
      </c>
    </row>
    <row r="229" spans="1:29" ht="9.75" hidden="1" customHeight="1" x14ac:dyDescent="0.3">
      <c r="A229" s="99">
        <v>46239</v>
      </c>
      <c r="B229" s="59">
        <v>8147677</v>
      </c>
      <c r="C229" s="60" t="s">
        <v>52</v>
      </c>
      <c r="D229" s="60" t="s">
        <v>616</v>
      </c>
      <c r="E229" s="61">
        <v>0.54166666666666663</v>
      </c>
      <c r="F229" s="60" t="s">
        <v>13</v>
      </c>
      <c r="G229" s="71" t="s">
        <v>15</v>
      </c>
      <c r="H229" s="62">
        <v>0.55208333333333337</v>
      </c>
      <c r="I229" s="113" t="str">
        <f t="shared" si="50"/>
        <v>05-08-2026T13:15:00</v>
      </c>
      <c r="J229" s="62">
        <v>0.75763888888888886</v>
      </c>
      <c r="K229" s="62"/>
      <c r="L229" s="63">
        <f t="shared" si="56"/>
        <v>0.20555555555555549</v>
      </c>
      <c r="M229" s="64">
        <v>0.20833333333333334</v>
      </c>
      <c r="N229" s="65" t="str">
        <f t="shared" si="57"/>
        <v>00:04:00</v>
      </c>
      <c r="O229" s="66"/>
      <c r="P229" s="124"/>
      <c r="Q229" s="67"/>
      <c r="R229" s="68"/>
      <c r="S229" s="68"/>
      <c r="T229" s="69">
        <f t="shared" si="58"/>
        <v>0</v>
      </c>
      <c r="U229" s="61" t="s">
        <v>234</v>
      </c>
      <c r="V229" s="83">
        <v>0</v>
      </c>
      <c r="W229" s="61">
        <f t="shared" si="55"/>
        <v>0</v>
      </c>
      <c r="X229" s="171">
        <v>46239.552083333336</v>
      </c>
      <c r="Y229" s="171">
        <v>46239.757638888892</v>
      </c>
      <c r="Z229" s="168">
        <f t="shared" si="46"/>
        <v>0.20555555555620231</v>
      </c>
      <c r="AA229" s="169">
        <f t="shared" si="47"/>
        <v>0.20833333333333334</v>
      </c>
      <c r="AB229" s="170" t="str">
        <f t="shared" si="48"/>
        <v>00:04:00</v>
      </c>
      <c r="AC229" s="170" t="b">
        <f t="shared" si="49"/>
        <v>1</v>
      </c>
    </row>
    <row r="230" spans="1:29" ht="9.75" hidden="1" customHeight="1" x14ac:dyDescent="0.3">
      <c r="A230" s="99">
        <v>46239</v>
      </c>
      <c r="B230" s="59">
        <v>8147932</v>
      </c>
      <c r="C230" s="60" t="s">
        <v>53</v>
      </c>
      <c r="D230" s="60" t="s">
        <v>298</v>
      </c>
      <c r="E230" s="61">
        <v>0.64583333333333337</v>
      </c>
      <c r="F230" s="60" t="s">
        <v>19</v>
      </c>
      <c r="G230" s="71" t="s">
        <v>13</v>
      </c>
      <c r="H230" s="62">
        <v>46239.645833333336</v>
      </c>
      <c r="I230" s="113" t="str">
        <f t="shared" si="50"/>
        <v>05-08-2026T15:30:00</v>
      </c>
      <c r="J230" s="62">
        <v>46240.05</v>
      </c>
      <c r="K230" s="62"/>
      <c r="L230" s="63">
        <f t="shared" si="56"/>
        <v>0.40416666666715173</v>
      </c>
      <c r="M230" s="64">
        <v>0.4375</v>
      </c>
      <c r="N230" s="65" t="str">
        <f t="shared" si="57"/>
        <v>00:48:00</v>
      </c>
      <c r="O230" s="66"/>
      <c r="P230" s="124" t="s">
        <v>462</v>
      </c>
      <c r="Q230" s="67" t="s">
        <v>229</v>
      </c>
      <c r="R230" s="68">
        <v>0.75</v>
      </c>
      <c r="S230" s="68">
        <v>0.79166666666666663</v>
      </c>
      <c r="T230" s="69">
        <f t="shared" si="58"/>
        <v>4.166666666666663E-2</v>
      </c>
      <c r="U230" s="61"/>
      <c r="V230" s="83">
        <v>8.3333333333333329E-2</v>
      </c>
      <c r="W230" s="61">
        <f t="shared" si="55"/>
        <v>-4.1666666666666699E-2</v>
      </c>
      <c r="X230" s="171">
        <v>46239.645833333336</v>
      </c>
      <c r="Y230" s="171">
        <v>46240.05</v>
      </c>
      <c r="Z230" s="168">
        <f t="shared" si="46"/>
        <v>0.40416666666715173</v>
      </c>
      <c r="AA230" s="169">
        <f t="shared" si="47"/>
        <v>0.4375</v>
      </c>
      <c r="AB230" s="170" t="str">
        <f t="shared" si="48"/>
        <v>00:48:00</v>
      </c>
      <c r="AC230" s="170" t="b">
        <f t="shared" si="49"/>
        <v>1</v>
      </c>
    </row>
    <row r="231" spans="1:29" ht="9.75" hidden="1" customHeight="1" x14ac:dyDescent="0.3">
      <c r="A231" s="99">
        <v>46239</v>
      </c>
      <c r="B231" s="59">
        <v>8148120</v>
      </c>
      <c r="C231" s="60" t="s">
        <v>57</v>
      </c>
      <c r="D231" s="60" t="s">
        <v>370</v>
      </c>
      <c r="E231" s="61">
        <v>0.70833333333333337</v>
      </c>
      <c r="F231" s="60" t="s">
        <v>13</v>
      </c>
      <c r="G231" s="71" t="s">
        <v>24</v>
      </c>
      <c r="H231" s="62">
        <v>0.70486111111111116</v>
      </c>
      <c r="I231" s="113" t="str">
        <f t="shared" si="50"/>
        <v>05-08-2026T16:55:00</v>
      </c>
      <c r="J231" s="62">
        <v>0.77777777777777779</v>
      </c>
      <c r="K231" s="62"/>
      <c r="L231" s="63">
        <f t="shared" si="56"/>
        <v>7.291666666666663E-2</v>
      </c>
      <c r="M231" s="64">
        <v>8.3333333333333329E-2</v>
      </c>
      <c r="N231" s="65" t="str">
        <f t="shared" si="57"/>
        <v>00:15:00</v>
      </c>
      <c r="O231" s="66"/>
      <c r="P231" s="124"/>
      <c r="Q231" s="67"/>
      <c r="R231" s="68"/>
      <c r="S231" s="68"/>
      <c r="T231" s="69">
        <f t="shared" si="58"/>
        <v>0</v>
      </c>
      <c r="U231" s="61" t="s">
        <v>234</v>
      </c>
      <c r="V231" s="83">
        <v>0</v>
      </c>
      <c r="W231" s="61">
        <f t="shared" si="55"/>
        <v>0</v>
      </c>
      <c r="X231" s="171">
        <v>46239.704861111109</v>
      </c>
      <c r="Y231" s="171">
        <v>46239.777777777781</v>
      </c>
      <c r="Z231" s="168">
        <f t="shared" si="46"/>
        <v>7.2916666671517305E-2</v>
      </c>
      <c r="AA231" s="169">
        <f t="shared" si="47"/>
        <v>8.3333333333333329E-2</v>
      </c>
      <c r="AB231" s="170" t="str">
        <f t="shared" si="48"/>
        <v>00:15:00</v>
      </c>
      <c r="AC231" s="170" t="b">
        <f t="shared" si="49"/>
        <v>1</v>
      </c>
    </row>
    <row r="232" spans="1:29" ht="9.75" hidden="1" customHeight="1" x14ac:dyDescent="0.3">
      <c r="A232" s="99">
        <v>46239</v>
      </c>
      <c r="B232" s="59">
        <v>8148164</v>
      </c>
      <c r="C232" s="60" t="s">
        <v>87</v>
      </c>
      <c r="D232" s="60" t="s">
        <v>367</v>
      </c>
      <c r="E232" s="61">
        <v>0.70833333333333337</v>
      </c>
      <c r="F232" s="60" t="s">
        <v>85</v>
      </c>
      <c r="G232" s="71" t="s">
        <v>13</v>
      </c>
      <c r="H232" s="62">
        <v>46239.71597222222</v>
      </c>
      <c r="I232" s="113" t="str">
        <f t="shared" si="50"/>
        <v>05-08-2026T17:11:00</v>
      </c>
      <c r="J232" s="62">
        <v>46240.035416666666</v>
      </c>
      <c r="K232" s="62"/>
      <c r="L232" s="63">
        <f t="shared" si="56"/>
        <v>0.31944444444525288</v>
      </c>
      <c r="M232" s="64">
        <v>0.33333333333333331</v>
      </c>
      <c r="N232" s="65" t="str">
        <f t="shared" si="57"/>
        <v>00:20:00</v>
      </c>
      <c r="O232" s="66"/>
      <c r="P232" s="124"/>
      <c r="Q232" s="67" t="s">
        <v>174</v>
      </c>
      <c r="R232" s="68">
        <v>0.77777777777777779</v>
      </c>
      <c r="S232" s="68">
        <v>0.79097222222222219</v>
      </c>
      <c r="T232" s="69">
        <f t="shared" si="58"/>
        <v>1.3194444444444398E-2</v>
      </c>
      <c r="U232" s="61"/>
      <c r="V232" s="83">
        <v>4.1666666666666664E-2</v>
      </c>
      <c r="W232" s="61">
        <f t="shared" si="55"/>
        <v>-2.8472222222222267E-2</v>
      </c>
      <c r="X232" s="171">
        <v>46239.71597222222</v>
      </c>
      <c r="Y232" s="171">
        <v>46240.035416666666</v>
      </c>
      <c r="Z232" s="168">
        <f t="shared" si="46"/>
        <v>0.31944444444525288</v>
      </c>
      <c r="AA232" s="169">
        <f t="shared" si="47"/>
        <v>0.33333333333333331</v>
      </c>
      <c r="AB232" s="170" t="str">
        <f t="shared" si="48"/>
        <v>00:20:00</v>
      </c>
      <c r="AC232" s="170" t="b">
        <f t="shared" si="49"/>
        <v>1</v>
      </c>
    </row>
    <row r="233" spans="1:29" ht="9.75" hidden="1" customHeight="1" x14ac:dyDescent="0.3">
      <c r="A233" s="99">
        <v>46239</v>
      </c>
      <c r="B233" s="59">
        <v>8148158</v>
      </c>
      <c r="C233" s="60" t="s">
        <v>27</v>
      </c>
      <c r="D233" s="60" t="s">
        <v>378</v>
      </c>
      <c r="E233" s="61">
        <v>0.70833333333333337</v>
      </c>
      <c r="F233" s="60" t="s">
        <v>28</v>
      </c>
      <c r="G233" s="71" t="s">
        <v>13</v>
      </c>
      <c r="H233" s="62">
        <v>0.71319444444444446</v>
      </c>
      <c r="I233" s="113" t="str">
        <f t="shared" si="50"/>
        <v>05-08-2026T17:07:00</v>
      </c>
      <c r="J233" s="62">
        <v>0.87916666666666665</v>
      </c>
      <c r="K233" s="62"/>
      <c r="L233" s="63">
        <f t="shared" si="56"/>
        <v>0.16597222222222219</v>
      </c>
      <c r="M233" s="64">
        <v>0.16666666666666666</v>
      </c>
      <c r="N233" s="65" t="str">
        <f t="shared" si="57"/>
        <v>00:01:00</v>
      </c>
      <c r="O233" s="66"/>
      <c r="P233" s="124"/>
      <c r="Q233" s="67"/>
      <c r="R233" s="68"/>
      <c r="S233" s="68"/>
      <c r="T233" s="69">
        <f t="shared" si="58"/>
        <v>0</v>
      </c>
      <c r="U233" s="61"/>
      <c r="V233" s="83">
        <v>0</v>
      </c>
      <c r="W233" s="61">
        <f t="shared" si="55"/>
        <v>0</v>
      </c>
      <c r="X233" s="171">
        <v>46239.713194444441</v>
      </c>
      <c r="Y233" s="171">
        <v>46239.879166666666</v>
      </c>
      <c r="Z233" s="168">
        <f t="shared" si="46"/>
        <v>0.16597222222480923</v>
      </c>
      <c r="AA233" s="169">
        <f t="shared" si="47"/>
        <v>0.16666666666666666</v>
      </c>
      <c r="AB233" s="170" t="str">
        <f t="shared" si="48"/>
        <v>00:01:00</v>
      </c>
      <c r="AC233" s="170" t="b">
        <f t="shared" si="49"/>
        <v>1</v>
      </c>
    </row>
    <row r="234" spans="1:29" ht="9.75" hidden="1" customHeight="1" x14ac:dyDescent="0.3">
      <c r="A234" s="99">
        <v>46239</v>
      </c>
      <c r="B234" s="59">
        <v>8148201</v>
      </c>
      <c r="C234" s="60" t="s">
        <v>89</v>
      </c>
      <c r="D234" s="60" t="s">
        <v>294</v>
      </c>
      <c r="E234" s="61">
        <v>0.75</v>
      </c>
      <c r="F234" s="60" t="s">
        <v>35</v>
      </c>
      <c r="G234" s="71" t="s">
        <v>13</v>
      </c>
      <c r="H234" s="62">
        <v>0.73124999999999996</v>
      </c>
      <c r="I234" s="113" t="str">
        <f t="shared" si="50"/>
        <v>05-08-2026T17:33:00</v>
      </c>
      <c r="J234" s="62">
        <v>0.76388888888888884</v>
      </c>
      <c r="K234" s="62"/>
      <c r="L234" s="63">
        <f t="shared" si="56"/>
        <v>3.2638888888888884E-2</v>
      </c>
      <c r="M234" s="64">
        <v>4.1666666666666664E-2</v>
      </c>
      <c r="N234" s="65" t="str">
        <f t="shared" si="57"/>
        <v>00:13:00</v>
      </c>
      <c r="O234" s="66"/>
      <c r="P234" s="124"/>
      <c r="Q234" s="67"/>
      <c r="R234" s="68"/>
      <c r="S234" s="68"/>
      <c r="T234" s="69">
        <f t="shared" si="58"/>
        <v>0</v>
      </c>
      <c r="U234" s="61"/>
      <c r="V234" s="83">
        <v>0</v>
      </c>
      <c r="W234" s="61">
        <f t="shared" si="55"/>
        <v>0</v>
      </c>
      <c r="X234" s="171">
        <v>46239.731249999997</v>
      </c>
      <c r="Y234" s="171">
        <v>46239.763888888891</v>
      </c>
      <c r="Z234" s="168">
        <f t="shared" si="46"/>
        <v>3.2638888893416151E-2</v>
      </c>
      <c r="AA234" s="169">
        <f t="shared" si="47"/>
        <v>4.1666666666666664E-2</v>
      </c>
      <c r="AB234" s="170" t="str">
        <f t="shared" si="48"/>
        <v>00:13:00</v>
      </c>
      <c r="AC234" s="170" t="b">
        <f t="shared" si="49"/>
        <v>1</v>
      </c>
    </row>
    <row r="235" spans="1:29" ht="9.75" hidden="1" customHeight="1" x14ac:dyDescent="0.3">
      <c r="A235" s="99">
        <v>46239</v>
      </c>
      <c r="B235" s="59">
        <v>8148417</v>
      </c>
      <c r="C235" s="60" t="s">
        <v>32</v>
      </c>
      <c r="D235" s="60" t="s">
        <v>390</v>
      </c>
      <c r="E235" s="61">
        <v>0.83333333333333337</v>
      </c>
      <c r="F235" s="60" t="s">
        <v>287</v>
      </c>
      <c r="G235" s="71" t="s">
        <v>13</v>
      </c>
      <c r="H235" s="62">
        <v>0.79791666666666672</v>
      </c>
      <c r="I235" s="113" t="str">
        <f t="shared" si="50"/>
        <v>05-08-2026T19:09:00</v>
      </c>
      <c r="J235" s="62">
        <v>0.93055555555555558</v>
      </c>
      <c r="K235" s="62"/>
      <c r="L235" s="63">
        <f t="shared" si="56"/>
        <v>0.13263888888888886</v>
      </c>
      <c r="M235" s="64">
        <v>0.14583333333333334</v>
      </c>
      <c r="N235" s="65" t="str">
        <f t="shared" si="57"/>
        <v>00:19:00</v>
      </c>
      <c r="O235" s="66"/>
      <c r="P235" s="124"/>
      <c r="Q235" s="67"/>
      <c r="R235" s="68"/>
      <c r="S235" s="68"/>
      <c r="T235" s="69">
        <f t="shared" si="58"/>
        <v>0</v>
      </c>
      <c r="U235" s="61"/>
      <c r="V235" s="83">
        <v>0</v>
      </c>
      <c r="W235" s="61">
        <f t="shared" si="55"/>
        <v>0</v>
      </c>
      <c r="X235" s="171">
        <v>46239.79791666667</v>
      </c>
      <c r="Y235" s="171">
        <v>46239.930555555555</v>
      </c>
      <c r="Z235" s="168">
        <f t="shared" si="46"/>
        <v>0.132638888884685</v>
      </c>
      <c r="AA235" s="169">
        <f t="shared" si="47"/>
        <v>0.14583333333333334</v>
      </c>
      <c r="AB235" s="170" t="str">
        <f t="shared" si="48"/>
        <v>00:19:00</v>
      </c>
      <c r="AC235" s="170" t="b">
        <f t="shared" si="49"/>
        <v>1</v>
      </c>
    </row>
    <row r="236" spans="1:29" ht="9.75" hidden="1" customHeight="1" x14ac:dyDescent="0.3">
      <c r="A236" s="99">
        <v>46239</v>
      </c>
      <c r="B236" s="59">
        <v>8148731</v>
      </c>
      <c r="C236" s="60" t="s">
        <v>56</v>
      </c>
      <c r="D236" s="60" t="s">
        <v>326</v>
      </c>
      <c r="E236" s="61">
        <v>0.875</v>
      </c>
      <c r="F236" s="60" t="s">
        <v>13</v>
      </c>
      <c r="G236" s="71" t="s">
        <v>15</v>
      </c>
      <c r="H236" s="62">
        <v>46239.881944444445</v>
      </c>
      <c r="I236" s="113" t="str">
        <f t="shared" si="50"/>
        <v>05-08-2026T21:10:00</v>
      </c>
      <c r="J236" s="62">
        <v>46240.086805555555</v>
      </c>
      <c r="K236" s="62"/>
      <c r="L236" s="63">
        <f t="shared" si="56"/>
        <v>0.20486111110949423</v>
      </c>
      <c r="M236" s="64">
        <v>0.20833333333333334</v>
      </c>
      <c r="N236" s="65" t="str">
        <f t="shared" si="57"/>
        <v>00:05:00</v>
      </c>
      <c r="O236" s="66"/>
      <c r="P236" s="124"/>
      <c r="Q236" s="67"/>
      <c r="R236" s="68"/>
      <c r="S236" s="68"/>
      <c r="T236" s="69">
        <f t="shared" si="58"/>
        <v>0</v>
      </c>
      <c r="U236" s="61"/>
      <c r="V236" s="83">
        <v>0</v>
      </c>
      <c r="W236" s="61">
        <f t="shared" si="55"/>
        <v>0</v>
      </c>
      <c r="X236" s="171">
        <v>46239.881944444445</v>
      </c>
      <c r="Y236" s="171">
        <v>46240.086805555555</v>
      </c>
      <c r="Z236" s="168">
        <f t="shared" si="46"/>
        <v>0.20486111110949423</v>
      </c>
      <c r="AA236" s="169">
        <f t="shared" si="47"/>
        <v>0.20833333333333334</v>
      </c>
      <c r="AB236" s="170" t="str">
        <f t="shared" si="48"/>
        <v>00:05:00</v>
      </c>
      <c r="AC236" s="170" t="b">
        <f t="shared" si="49"/>
        <v>1</v>
      </c>
    </row>
    <row r="237" spans="1:29" ht="9.75" hidden="1" customHeight="1" x14ac:dyDescent="0.3">
      <c r="A237" s="99">
        <v>46239</v>
      </c>
      <c r="B237" s="59">
        <v>8148585</v>
      </c>
      <c r="C237" s="60" t="s">
        <v>42</v>
      </c>
      <c r="D237" s="60" t="s">
        <v>181</v>
      </c>
      <c r="E237" s="61">
        <v>0.875</v>
      </c>
      <c r="F237" s="60" t="s">
        <v>55</v>
      </c>
      <c r="G237" s="71" t="s">
        <v>13</v>
      </c>
      <c r="H237" s="62">
        <v>0.84791666666666665</v>
      </c>
      <c r="I237" s="113" t="str">
        <f t="shared" si="50"/>
        <v>05-08-2026T20:21:00</v>
      </c>
      <c r="J237" s="62">
        <v>0.90763888888888888</v>
      </c>
      <c r="K237" s="62"/>
      <c r="L237" s="63">
        <f t="shared" si="56"/>
        <v>5.9722222222222232E-2</v>
      </c>
      <c r="M237" s="64">
        <v>6.25E-2</v>
      </c>
      <c r="N237" s="65" t="str">
        <f t="shared" si="57"/>
        <v>00:04:00</v>
      </c>
      <c r="O237" s="66"/>
      <c r="P237" s="124"/>
      <c r="Q237" s="67"/>
      <c r="R237" s="68"/>
      <c r="S237" s="68"/>
      <c r="T237" s="69">
        <f t="shared" si="58"/>
        <v>0</v>
      </c>
      <c r="U237" s="61"/>
      <c r="V237" s="83">
        <v>0</v>
      </c>
      <c r="W237" s="61">
        <f t="shared" si="55"/>
        <v>0</v>
      </c>
      <c r="X237" s="171">
        <v>46239.847916666666</v>
      </c>
      <c r="Y237" s="171">
        <v>46239.907638888886</v>
      </c>
      <c r="Z237" s="168">
        <f t="shared" si="46"/>
        <v>5.9722222220443655E-2</v>
      </c>
      <c r="AA237" s="169">
        <f t="shared" si="47"/>
        <v>6.25E-2</v>
      </c>
      <c r="AB237" s="170" t="str">
        <f t="shared" si="48"/>
        <v>00:04:00</v>
      </c>
      <c r="AC237" s="170" t="b">
        <f t="shared" si="49"/>
        <v>1</v>
      </c>
    </row>
    <row r="238" spans="1:29" ht="9.75" hidden="1" customHeight="1" x14ac:dyDescent="0.3">
      <c r="A238" s="99">
        <v>46239</v>
      </c>
      <c r="B238" s="59">
        <v>8148647</v>
      </c>
      <c r="C238" s="60" t="s">
        <v>41</v>
      </c>
      <c r="D238" s="60" t="s">
        <v>299</v>
      </c>
      <c r="E238" s="61">
        <v>0.875</v>
      </c>
      <c r="F238" s="60" t="s">
        <v>24</v>
      </c>
      <c r="G238" s="71" t="s">
        <v>13</v>
      </c>
      <c r="H238" s="62">
        <v>0.86527777777777781</v>
      </c>
      <c r="I238" s="113" t="str">
        <f t="shared" si="50"/>
        <v>05-08-2026T20:46:00</v>
      </c>
      <c r="J238" s="62">
        <v>0.94305555555555554</v>
      </c>
      <c r="K238" s="62"/>
      <c r="L238" s="63">
        <f t="shared" si="56"/>
        <v>7.7777777777777724E-2</v>
      </c>
      <c r="M238" s="64">
        <v>8.3333333333333329E-2</v>
      </c>
      <c r="N238" s="65" t="str">
        <f t="shared" si="57"/>
        <v>00:08:00</v>
      </c>
      <c r="O238" s="66"/>
      <c r="P238" s="124"/>
      <c r="Q238" s="67"/>
      <c r="R238" s="68"/>
      <c r="S238" s="68"/>
      <c r="T238" s="69">
        <f t="shared" si="58"/>
        <v>0</v>
      </c>
      <c r="U238" s="61"/>
      <c r="V238" s="83">
        <v>0</v>
      </c>
      <c r="W238" s="61">
        <f t="shared" si="55"/>
        <v>0</v>
      </c>
      <c r="X238" s="171">
        <v>46239.865277777775</v>
      </c>
      <c r="Y238" s="171">
        <v>46239.943055555559</v>
      </c>
      <c r="Z238" s="168">
        <f t="shared" si="46"/>
        <v>7.777777778392192E-2</v>
      </c>
      <c r="AA238" s="169">
        <f t="shared" si="47"/>
        <v>8.3333333333333329E-2</v>
      </c>
      <c r="AB238" s="170" t="str">
        <f t="shared" si="48"/>
        <v>00:08:00</v>
      </c>
      <c r="AC238" s="170" t="b">
        <f t="shared" si="49"/>
        <v>1</v>
      </c>
    </row>
    <row r="239" spans="1:29" ht="9.75" hidden="1" customHeight="1" x14ac:dyDescent="0.3">
      <c r="A239" s="99">
        <v>46239</v>
      </c>
      <c r="B239" s="59">
        <v>8148996</v>
      </c>
      <c r="C239" s="60" t="s">
        <v>54</v>
      </c>
      <c r="D239" s="60" t="s">
        <v>288</v>
      </c>
      <c r="E239" s="61">
        <v>0.99930555555555556</v>
      </c>
      <c r="F239" s="60" t="s">
        <v>24</v>
      </c>
      <c r="G239" s="71" t="s">
        <v>13</v>
      </c>
      <c r="H239" s="62">
        <v>46239.986805555556</v>
      </c>
      <c r="I239" s="113" t="str">
        <f t="shared" si="50"/>
        <v>05-08-2026T23:41:00</v>
      </c>
      <c r="J239" s="62">
        <v>46240.061805555553</v>
      </c>
      <c r="K239" s="62"/>
      <c r="L239" s="63">
        <f t="shared" si="56"/>
        <v>7.4999999997089617E-2</v>
      </c>
      <c r="M239" s="64">
        <v>8.3333333333333329E-2</v>
      </c>
      <c r="N239" s="65" t="str">
        <f t="shared" si="57"/>
        <v>00:12:00</v>
      </c>
      <c r="O239" s="66"/>
      <c r="P239" s="124"/>
      <c r="Q239" s="67"/>
      <c r="R239" s="68"/>
      <c r="S239" s="68"/>
      <c r="T239" s="69">
        <f t="shared" si="58"/>
        <v>0</v>
      </c>
      <c r="U239" s="61"/>
      <c r="V239" s="83">
        <v>0</v>
      </c>
      <c r="W239" s="61">
        <f t="shared" si="55"/>
        <v>0</v>
      </c>
      <c r="X239" s="171">
        <v>46239.986805555556</v>
      </c>
      <c r="Y239" s="171">
        <v>46240.061805555553</v>
      </c>
      <c r="Z239" s="168">
        <f t="shared" si="46"/>
        <v>7.4999999997089617E-2</v>
      </c>
      <c r="AA239" s="169">
        <f t="shared" si="47"/>
        <v>8.3333333333333329E-2</v>
      </c>
      <c r="AB239" s="170" t="str">
        <f t="shared" si="48"/>
        <v>00:12:00</v>
      </c>
      <c r="AC239" s="170" t="b">
        <f t="shared" si="49"/>
        <v>1</v>
      </c>
    </row>
    <row r="240" spans="1:29" ht="9.75" hidden="1" customHeight="1" x14ac:dyDescent="0.3">
      <c r="A240" s="99">
        <v>46239</v>
      </c>
      <c r="B240" s="59">
        <v>8148990</v>
      </c>
      <c r="C240" s="60" t="s">
        <v>20</v>
      </c>
      <c r="D240" s="60" t="s">
        <v>232</v>
      </c>
      <c r="E240" s="61">
        <v>0.95833333333333337</v>
      </c>
      <c r="F240" s="60" t="s">
        <v>21</v>
      </c>
      <c r="G240" s="71" t="s">
        <v>13</v>
      </c>
      <c r="H240" s="62">
        <v>46239.98541666667</v>
      </c>
      <c r="I240" s="113" t="str">
        <f t="shared" si="50"/>
        <v>05-08-2026T23:39:00</v>
      </c>
      <c r="J240" s="62">
        <v>46240.227083333331</v>
      </c>
      <c r="K240" s="62"/>
      <c r="L240" s="63">
        <f t="shared" si="56"/>
        <v>0.24166666666133096</v>
      </c>
      <c r="M240" s="64">
        <v>0.25</v>
      </c>
      <c r="N240" s="65" t="str">
        <f t="shared" si="57"/>
        <v>00:12:00</v>
      </c>
      <c r="O240" s="66"/>
      <c r="P240" s="124" t="s">
        <v>455</v>
      </c>
      <c r="Q240" s="67"/>
      <c r="R240" s="68"/>
      <c r="S240" s="68"/>
      <c r="T240" s="69">
        <f t="shared" si="58"/>
        <v>0</v>
      </c>
      <c r="U240" s="61"/>
      <c r="V240" s="83">
        <v>0</v>
      </c>
      <c r="W240" s="61">
        <f t="shared" si="55"/>
        <v>0</v>
      </c>
      <c r="X240" s="171">
        <v>46239.98541666667</v>
      </c>
      <c r="Y240" s="171">
        <v>46240.227083333331</v>
      </c>
      <c r="Z240" s="168">
        <f t="shared" si="46"/>
        <v>0.24166666666133096</v>
      </c>
      <c r="AA240" s="169">
        <f t="shared" si="47"/>
        <v>0.25</v>
      </c>
      <c r="AB240" s="170" t="str">
        <f t="shared" si="48"/>
        <v>00:12:00</v>
      </c>
      <c r="AC240" s="170" t="b">
        <f t="shared" si="49"/>
        <v>1</v>
      </c>
    </row>
    <row r="241" spans="1:30" ht="9.75" hidden="1" customHeight="1" x14ac:dyDescent="0.3">
      <c r="A241" s="98">
        <v>46239</v>
      </c>
      <c r="B241" s="48">
        <v>8146718</v>
      </c>
      <c r="C241" s="49" t="s">
        <v>203</v>
      </c>
      <c r="D241" s="49" t="s">
        <v>297</v>
      </c>
      <c r="E241" s="50">
        <v>0.95833333333333337</v>
      </c>
      <c r="F241" s="49" t="s">
        <v>173</v>
      </c>
      <c r="G241" s="70" t="s">
        <v>13</v>
      </c>
      <c r="H241" s="51">
        <v>46239.206944444442</v>
      </c>
      <c r="I241" s="113" t="str">
        <f t="shared" si="50"/>
        <v>05-08-2026T04:58:00</v>
      </c>
      <c r="J241" s="51">
        <v>46241.227777777778</v>
      </c>
      <c r="K241" s="51"/>
      <c r="L241" s="52">
        <f t="shared" si="56"/>
        <v>2.0208333333357587</v>
      </c>
      <c r="M241" s="53">
        <v>1.9166666666666667</v>
      </c>
      <c r="N241" s="54" t="str">
        <f t="shared" si="57"/>
        <v>-02:30:00</v>
      </c>
      <c r="O241" s="55">
        <v>400</v>
      </c>
      <c r="P241" s="125" t="s">
        <v>491</v>
      </c>
      <c r="Q241" s="56" t="s">
        <v>96</v>
      </c>
      <c r="R241" s="57">
        <v>0.33888888888888891</v>
      </c>
      <c r="S241" s="57">
        <v>0.47638888888888886</v>
      </c>
      <c r="T241" s="47">
        <f t="shared" si="58"/>
        <v>0.13749999999999996</v>
      </c>
      <c r="U241" s="50"/>
      <c r="V241" s="74">
        <v>8.3333333333333329E-2</v>
      </c>
      <c r="W241" s="50">
        <f t="shared" si="55"/>
        <v>5.4166666666666627E-2</v>
      </c>
      <c r="X241" s="171">
        <v>46239.206944444442</v>
      </c>
      <c r="Y241" s="171">
        <v>46241.227777777778</v>
      </c>
      <c r="Z241" s="168">
        <f t="shared" si="46"/>
        <v>2.0208333333357587</v>
      </c>
      <c r="AA241" s="169">
        <f t="shared" si="47"/>
        <v>1.9166666666666667</v>
      </c>
      <c r="AB241" s="170" t="str">
        <f t="shared" si="48"/>
        <v>-02:30:00</v>
      </c>
      <c r="AC241" s="170" t="b">
        <f t="shared" si="49"/>
        <v>1</v>
      </c>
    </row>
    <row r="242" spans="1:30" s="128" customFormat="1" ht="9.75" hidden="1" customHeight="1" x14ac:dyDescent="0.3">
      <c r="A242" s="99">
        <v>46239</v>
      </c>
      <c r="B242" s="59">
        <v>8148918</v>
      </c>
      <c r="C242" s="60" t="s">
        <v>104</v>
      </c>
      <c r="D242" s="60" t="s">
        <v>382</v>
      </c>
      <c r="E242" s="61">
        <v>0.95833333333333337</v>
      </c>
      <c r="F242" s="60" t="s">
        <v>173</v>
      </c>
      <c r="G242" s="71" t="s">
        <v>13</v>
      </c>
      <c r="H242" s="62">
        <v>46239.954861111109</v>
      </c>
      <c r="I242" s="113" t="str">
        <f t="shared" si="50"/>
        <v>05-08-2026T22:55:00</v>
      </c>
      <c r="J242" s="62">
        <v>46241.748611111114</v>
      </c>
      <c r="K242" s="62"/>
      <c r="L242" s="63">
        <f t="shared" si="56"/>
        <v>1.7937500000043656</v>
      </c>
      <c r="M242" s="64">
        <v>1.9166666666666667</v>
      </c>
      <c r="N242" s="65" t="str">
        <f t="shared" si="57"/>
        <v>02:57:00</v>
      </c>
      <c r="O242" s="66"/>
      <c r="P242" s="124" t="s">
        <v>463</v>
      </c>
      <c r="Q242" s="67" t="s">
        <v>96</v>
      </c>
      <c r="R242" s="68">
        <v>46240.152777777781</v>
      </c>
      <c r="S242" s="68">
        <v>46240.234722222223</v>
      </c>
      <c r="T242" s="69">
        <f t="shared" si="58"/>
        <v>8.1944444442342501E-2</v>
      </c>
      <c r="U242" s="61"/>
      <c r="V242" s="83">
        <v>8.3333333333333329E-2</v>
      </c>
      <c r="W242" s="61">
        <f t="shared" si="55"/>
        <v>-1.3888888909908276E-3</v>
      </c>
      <c r="X242" s="171">
        <v>46239.954861111109</v>
      </c>
      <c r="Y242" s="171">
        <v>46241.748611111114</v>
      </c>
      <c r="Z242" s="168">
        <f t="shared" si="46"/>
        <v>1.7937500000043656</v>
      </c>
      <c r="AA242" s="169">
        <f t="shared" si="47"/>
        <v>1.9166666666666667</v>
      </c>
      <c r="AB242" s="170" t="str">
        <f t="shared" si="48"/>
        <v>02:57:00</v>
      </c>
      <c r="AC242" s="170" t="b">
        <f t="shared" si="49"/>
        <v>1</v>
      </c>
    </row>
    <row r="243" spans="1:30" ht="9.75" customHeight="1" x14ac:dyDescent="0.3">
      <c r="A243" s="98">
        <v>46239</v>
      </c>
      <c r="B243" s="48">
        <v>8146218</v>
      </c>
      <c r="C243" s="49" t="s">
        <v>90</v>
      </c>
      <c r="D243" s="49" t="s">
        <v>290</v>
      </c>
      <c r="E243" s="50">
        <v>0.99930555555555556</v>
      </c>
      <c r="F243" s="49" t="s">
        <v>13</v>
      </c>
      <c r="G243" s="70" t="s">
        <v>15</v>
      </c>
      <c r="H243" s="51">
        <v>5.5555555555555558E-3</v>
      </c>
      <c r="I243" s="113" t="str">
        <f t="shared" si="50"/>
        <v>05-08-2026T00:08:00</v>
      </c>
      <c r="J243" s="51">
        <v>0.2986111111111111</v>
      </c>
      <c r="K243" s="113" t="str">
        <f t="shared" ref="K243:K244" si="59">TEXT(A243,"dd-mm-yyyy")&amp;"T"&amp;TEXT(J243,"hh:mm:ss")</f>
        <v>05-08-2026T07:10:00</v>
      </c>
      <c r="L243" s="52">
        <f t="shared" si="56"/>
        <v>0.29305555555555557</v>
      </c>
      <c r="M243" s="53">
        <v>0.27083333333333331</v>
      </c>
      <c r="N243" s="54" t="str">
        <f t="shared" si="57"/>
        <v>-00:32:00</v>
      </c>
      <c r="O243" s="55">
        <v>200</v>
      </c>
      <c r="P243" s="125" t="s">
        <v>437</v>
      </c>
      <c r="Q243" s="56" t="s">
        <v>13</v>
      </c>
      <c r="R243" s="57">
        <v>3.125E-2</v>
      </c>
      <c r="S243" s="57">
        <v>3.2638888888888891E-2</v>
      </c>
      <c r="T243" s="58">
        <f t="shared" si="58"/>
        <v>1.3888888888888909E-3</v>
      </c>
      <c r="U243" s="50" t="s">
        <v>234</v>
      </c>
      <c r="V243" s="74">
        <v>4.1666666666666664E-2</v>
      </c>
      <c r="W243" s="50">
        <f t="shared" si="55"/>
        <v>-4.0277777777777773E-2</v>
      </c>
      <c r="X243" s="171">
        <v>46239.005555555559</v>
      </c>
      <c r="Y243" s="171">
        <v>46239.298611111109</v>
      </c>
      <c r="Z243" s="168">
        <f t="shared" si="46"/>
        <v>0.29305555555038154</v>
      </c>
      <c r="AA243" s="169">
        <f t="shared" si="47"/>
        <v>0.27083333333333331</v>
      </c>
      <c r="AB243" s="170" t="str">
        <f t="shared" si="48"/>
        <v>-00:32:00</v>
      </c>
      <c r="AC243" s="170" t="b">
        <f t="shared" si="49"/>
        <v>1</v>
      </c>
    </row>
    <row r="244" spans="1:30" ht="9.75" hidden="1" customHeight="1" x14ac:dyDescent="0.3">
      <c r="A244" s="99">
        <v>46239</v>
      </c>
      <c r="B244" s="59">
        <v>8147493</v>
      </c>
      <c r="C244" s="60" t="s">
        <v>90</v>
      </c>
      <c r="D244" s="60" t="s">
        <v>290</v>
      </c>
      <c r="E244" s="61">
        <v>0.99930555555555556</v>
      </c>
      <c r="F244" s="60" t="s">
        <v>15</v>
      </c>
      <c r="G244" s="71" t="s">
        <v>13</v>
      </c>
      <c r="H244" s="62">
        <v>0.49444444444444446</v>
      </c>
      <c r="I244" s="113" t="str">
        <f t="shared" si="50"/>
        <v>05-08-2026T11:52:00</v>
      </c>
      <c r="J244" s="62">
        <v>0.70277777777777772</v>
      </c>
      <c r="K244" s="113" t="str">
        <f t="shared" si="59"/>
        <v>05-08-2026T16:52:00</v>
      </c>
      <c r="L244" s="63">
        <f t="shared" si="56"/>
        <v>0.20833333333333326</v>
      </c>
      <c r="M244" s="64">
        <v>0.20833333333333334</v>
      </c>
      <c r="N244" s="65" t="str">
        <f t="shared" si="57"/>
        <v>00:00:00</v>
      </c>
      <c r="O244" s="66"/>
      <c r="P244" s="124"/>
      <c r="Q244" s="67"/>
      <c r="R244" s="68"/>
      <c r="S244" s="68"/>
      <c r="T244" s="69">
        <f t="shared" si="58"/>
        <v>0</v>
      </c>
      <c r="U244" s="61"/>
      <c r="V244" s="83">
        <v>0</v>
      </c>
      <c r="W244" s="61">
        <f t="shared" si="55"/>
        <v>0</v>
      </c>
      <c r="X244" s="171">
        <v>46239.494444444441</v>
      </c>
      <c r="Y244" s="171">
        <v>46239.702777777777</v>
      </c>
      <c r="Z244" s="168">
        <f t="shared" si="46"/>
        <v>0.20833333333575865</v>
      </c>
      <c r="AA244" s="169">
        <f t="shared" si="47"/>
        <v>0.20833333333333334</v>
      </c>
      <c r="AB244" s="170" t="str">
        <f t="shared" si="48"/>
        <v>-00:00:00</v>
      </c>
      <c r="AC244" s="170" t="b">
        <f t="shared" si="49"/>
        <v>0</v>
      </c>
      <c r="AD244">
        <v>0</v>
      </c>
    </row>
    <row r="245" spans="1:30" ht="9.75" hidden="1" customHeight="1" x14ac:dyDescent="0.3">
      <c r="A245" s="99">
        <v>46239</v>
      </c>
      <c r="B245" s="59">
        <v>8149023</v>
      </c>
      <c r="C245" s="60" t="s">
        <v>52</v>
      </c>
      <c r="D245" s="60" t="s">
        <v>616</v>
      </c>
      <c r="E245" s="61">
        <v>0.99930555555555556</v>
      </c>
      <c r="F245" s="60" t="s">
        <v>15</v>
      </c>
      <c r="G245" s="71" t="s">
        <v>13</v>
      </c>
      <c r="H245" s="62">
        <v>46239.998611111114</v>
      </c>
      <c r="I245" s="113" t="str">
        <f t="shared" si="50"/>
        <v>05-08-2026T23:58:00</v>
      </c>
      <c r="J245" s="62">
        <v>46240.206944444442</v>
      </c>
      <c r="K245" s="62"/>
      <c r="L245" s="63">
        <f t="shared" si="56"/>
        <v>0.20833333332848269</v>
      </c>
      <c r="M245" s="64">
        <v>0.20833333333333334</v>
      </c>
      <c r="N245" s="65" t="str">
        <f t="shared" si="57"/>
        <v>00:00:00</v>
      </c>
      <c r="O245" s="66"/>
      <c r="P245" s="124"/>
      <c r="Q245" s="67"/>
      <c r="R245" s="68"/>
      <c r="S245" s="68"/>
      <c r="T245" s="69">
        <f t="shared" si="58"/>
        <v>0</v>
      </c>
      <c r="U245" s="61"/>
      <c r="V245" s="83">
        <v>0</v>
      </c>
      <c r="W245" s="61">
        <f t="shared" si="55"/>
        <v>0</v>
      </c>
      <c r="X245" s="171">
        <v>46239.998611111114</v>
      </c>
      <c r="Y245" s="171">
        <v>46240.206944444442</v>
      </c>
      <c r="Z245" s="168">
        <f t="shared" si="46"/>
        <v>0.20833333332848269</v>
      </c>
      <c r="AA245" s="169">
        <f t="shared" si="47"/>
        <v>0.20833333333333334</v>
      </c>
      <c r="AB245" s="170" t="str">
        <f t="shared" si="48"/>
        <v>00:00:00</v>
      </c>
      <c r="AC245" s="170" t="b">
        <f t="shared" si="49"/>
        <v>1</v>
      </c>
    </row>
    <row r="246" spans="1:30" s="127" customFormat="1" ht="9.75" hidden="1" customHeight="1" x14ac:dyDescent="0.3">
      <c r="A246" s="98">
        <v>46234</v>
      </c>
      <c r="B246" s="48">
        <v>8133510</v>
      </c>
      <c r="C246" s="49" t="s">
        <v>307</v>
      </c>
      <c r="D246" s="49" t="s">
        <v>464</v>
      </c>
      <c r="E246" s="50" t="s">
        <v>184</v>
      </c>
      <c r="F246" s="49" t="s">
        <v>13</v>
      </c>
      <c r="G246" s="70" t="s">
        <v>788</v>
      </c>
      <c r="H246" s="51">
        <v>46234.426388888889</v>
      </c>
      <c r="I246" s="113" t="str">
        <f t="shared" si="50"/>
        <v>31-07-2026T10:14:00</v>
      </c>
      <c r="J246" s="51">
        <v>46236.245833333334</v>
      </c>
      <c r="K246" s="51"/>
      <c r="L246" s="52">
        <f t="shared" si="56"/>
        <v>1.8194444444452529</v>
      </c>
      <c r="M246" s="53">
        <v>1.75</v>
      </c>
      <c r="N246" s="54" t="str">
        <f t="shared" si="57"/>
        <v>-01:40:00</v>
      </c>
      <c r="O246" s="55"/>
      <c r="P246" s="147" t="s">
        <v>789</v>
      </c>
      <c r="Q246" s="56"/>
      <c r="R246" s="57"/>
      <c r="S246" s="57"/>
      <c r="T246" s="58">
        <f t="shared" si="58"/>
        <v>0</v>
      </c>
      <c r="U246" s="50"/>
      <c r="V246" s="74">
        <v>0</v>
      </c>
      <c r="W246" s="50">
        <f t="shared" si="55"/>
        <v>0</v>
      </c>
      <c r="X246" s="171">
        <v>46234.426388888889</v>
      </c>
      <c r="Y246" s="171">
        <v>46236.245833333334</v>
      </c>
      <c r="Z246" s="168">
        <f t="shared" si="46"/>
        <v>1.8194444444452529</v>
      </c>
      <c r="AA246" s="169">
        <f t="shared" si="47"/>
        <v>1.75</v>
      </c>
      <c r="AB246" s="170" t="str">
        <f t="shared" si="48"/>
        <v>-01:40:00</v>
      </c>
      <c r="AC246" s="170" t="b">
        <f t="shared" si="49"/>
        <v>1</v>
      </c>
      <c r="AD246" s="127" t="s">
        <v>787</v>
      </c>
    </row>
    <row r="247" spans="1:30" s="127" customFormat="1" ht="9.75" hidden="1" customHeight="1" x14ac:dyDescent="0.3">
      <c r="A247" s="98">
        <v>46239</v>
      </c>
      <c r="B247" s="48">
        <v>8147253</v>
      </c>
      <c r="C247" s="49" t="s">
        <v>307</v>
      </c>
      <c r="D247" s="49" t="s">
        <v>464</v>
      </c>
      <c r="E247" s="50" t="s">
        <v>184</v>
      </c>
      <c r="F247" s="49" t="s">
        <v>376</v>
      </c>
      <c r="G247" s="70" t="s">
        <v>13</v>
      </c>
      <c r="H247" s="51">
        <v>46239.383333333331</v>
      </c>
      <c r="I247" s="113" t="str">
        <f t="shared" si="50"/>
        <v>05-08-2026T09:12:00</v>
      </c>
      <c r="J247" s="51">
        <v>46241.195138888892</v>
      </c>
      <c r="K247" s="51"/>
      <c r="L247" s="52">
        <f t="shared" si="56"/>
        <v>1.8118055555605679</v>
      </c>
      <c r="M247" s="53">
        <v>1.75</v>
      </c>
      <c r="N247" s="54" t="str">
        <f t="shared" si="57"/>
        <v>-01:29:00</v>
      </c>
      <c r="O247" s="55"/>
      <c r="P247" s="147" t="s">
        <v>405</v>
      </c>
      <c r="Q247" s="56" t="s">
        <v>13</v>
      </c>
      <c r="R247" s="57" t="s">
        <v>372</v>
      </c>
      <c r="S247" s="57" t="s">
        <v>372</v>
      </c>
      <c r="T247" s="58" t="e">
        <f t="shared" si="58"/>
        <v>#VALUE!</v>
      </c>
      <c r="U247" s="50"/>
      <c r="V247" s="74" t="s">
        <v>393</v>
      </c>
      <c r="W247" s="50" t="e">
        <f t="shared" ref="W247:W278" si="60">T247-V247</f>
        <v>#VALUE!</v>
      </c>
      <c r="X247" s="171">
        <v>46239.383333333331</v>
      </c>
      <c r="Y247" s="171">
        <v>46241.195138888892</v>
      </c>
      <c r="Z247" s="168">
        <f t="shared" si="46"/>
        <v>1.8118055555605679</v>
      </c>
      <c r="AA247" s="169">
        <f t="shared" si="47"/>
        <v>1.75</v>
      </c>
      <c r="AB247" s="170" t="str">
        <f t="shared" si="48"/>
        <v>-01:29:00</v>
      </c>
      <c r="AC247" s="170" t="b">
        <f t="shared" si="49"/>
        <v>1</v>
      </c>
    </row>
    <row r="248" spans="1:30" ht="9.75" hidden="1" customHeight="1" x14ac:dyDescent="0.3">
      <c r="A248" s="99">
        <v>46239</v>
      </c>
      <c r="B248" s="59">
        <v>8148217</v>
      </c>
      <c r="C248" s="60" t="s">
        <v>171</v>
      </c>
      <c r="D248" s="60" t="s">
        <v>296</v>
      </c>
      <c r="E248" s="61" t="s">
        <v>184</v>
      </c>
      <c r="F248" s="60" t="s">
        <v>17</v>
      </c>
      <c r="G248" s="71" t="s">
        <v>465</v>
      </c>
      <c r="H248" s="62">
        <v>46239.736805555556</v>
      </c>
      <c r="I248" s="113" t="str">
        <f t="shared" si="50"/>
        <v>05-08-2026T17:41:00</v>
      </c>
      <c r="J248" s="62">
        <v>46241.744444444441</v>
      </c>
      <c r="K248" s="62"/>
      <c r="L248" s="63">
        <v>4.1666666666666664E-2</v>
      </c>
      <c r="M248" s="64">
        <v>1.2083333333333333</v>
      </c>
      <c r="N248" s="65" t="str">
        <f t="shared" si="57"/>
        <v>04:00:00</v>
      </c>
      <c r="O248" s="66"/>
      <c r="P248" s="124" t="s">
        <v>405</v>
      </c>
      <c r="Q248" s="67"/>
      <c r="R248" s="68"/>
      <c r="S248" s="68"/>
      <c r="T248" s="69">
        <f t="shared" si="58"/>
        <v>0</v>
      </c>
      <c r="U248" s="61"/>
      <c r="V248" s="83">
        <v>0</v>
      </c>
      <c r="W248" s="61">
        <f t="shared" si="60"/>
        <v>0</v>
      </c>
      <c r="X248" s="171" t="s">
        <v>371</v>
      </c>
      <c r="Y248" s="171" t="s">
        <v>371</v>
      </c>
      <c r="Z248" s="168" t="e">
        <f t="shared" si="46"/>
        <v>#VALUE!</v>
      </c>
      <c r="AA248" s="169">
        <f t="shared" si="47"/>
        <v>1.2083333333333333</v>
      </c>
      <c r="AB248" s="170" t="e">
        <f t="shared" si="48"/>
        <v>#VALUE!</v>
      </c>
      <c r="AC248" s="170" t="e">
        <f t="shared" si="49"/>
        <v>#VALUE!</v>
      </c>
    </row>
    <row r="249" spans="1:30" ht="9.75" hidden="1" customHeight="1" x14ac:dyDescent="0.3">
      <c r="A249" s="98">
        <v>46240</v>
      </c>
      <c r="B249" s="48">
        <v>8149117</v>
      </c>
      <c r="C249" s="49" t="s">
        <v>25</v>
      </c>
      <c r="D249" s="49" t="s">
        <v>477</v>
      </c>
      <c r="E249" s="50">
        <v>6.25E-2</v>
      </c>
      <c r="F249" s="49" t="s">
        <v>13</v>
      </c>
      <c r="G249" s="70" t="s">
        <v>26</v>
      </c>
      <c r="H249" s="51">
        <v>6.25E-2</v>
      </c>
      <c r="I249" s="113" t="str">
        <f t="shared" si="50"/>
        <v>06-08-2026T01:30:00</v>
      </c>
      <c r="J249" s="51">
        <v>0.59375</v>
      </c>
      <c r="K249" s="51"/>
      <c r="L249" s="52">
        <f t="shared" ref="L249:L280" si="61">J249-H249</f>
        <v>0.53125</v>
      </c>
      <c r="M249" s="53">
        <v>0.41666666666666669</v>
      </c>
      <c r="N249" s="54" t="str">
        <f t="shared" si="57"/>
        <v>-02:45:00</v>
      </c>
      <c r="O249" s="55">
        <v>750</v>
      </c>
      <c r="P249" s="125" t="s">
        <v>492</v>
      </c>
      <c r="Q249" s="56" t="s">
        <v>312</v>
      </c>
      <c r="R249" s="57" t="s">
        <v>372</v>
      </c>
      <c r="S249" s="57" t="s">
        <v>372</v>
      </c>
      <c r="T249" s="58" t="e">
        <f t="shared" si="58"/>
        <v>#VALUE!</v>
      </c>
      <c r="U249" s="50"/>
      <c r="V249" s="74">
        <v>4.1666666666666664E-2</v>
      </c>
      <c r="W249" s="50" t="e">
        <f t="shared" si="60"/>
        <v>#VALUE!</v>
      </c>
      <c r="X249" s="171">
        <v>46240.0625</v>
      </c>
      <c r="Y249" s="171">
        <v>46240.59375</v>
      </c>
      <c r="Z249" s="168">
        <f t="shared" si="46"/>
        <v>0.53125</v>
      </c>
      <c r="AA249" s="169">
        <f t="shared" si="47"/>
        <v>0.41666666666666669</v>
      </c>
      <c r="AB249" s="170" t="str">
        <f t="shared" si="48"/>
        <v>-02:45:00</v>
      </c>
      <c r="AC249" s="170" t="b">
        <f t="shared" si="49"/>
        <v>1</v>
      </c>
    </row>
    <row r="250" spans="1:30" ht="9.75" hidden="1" customHeight="1" x14ac:dyDescent="0.3">
      <c r="A250" s="98">
        <v>46240</v>
      </c>
      <c r="B250" s="48">
        <v>8149155</v>
      </c>
      <c r="C250" s="49" t="s">
        <v>16</v>
      </c>
      <c r="D250" s="49" t="s">
        <v>285</v>
      </c>
      <c r="E250" s="50">
        <v>8.3333333333333329E-2</v>
      </c>
      <c r="F250" s="49" t="s">
        <v>15</v>
      </c>
      <c r="G250" s="70" t="s">
        <v>17</v>
      </c>
      <c r="H250" s="51">
        <v>7.9166666666666663E-2</v>
      </c>
      <c r="I250" s="113" t="str">
        <f t="shared" si="50"/>
        <v>06-08-2026T01:54:00</v>
      </c>
      <c r="J250" s="51">
        <v>46241.018750000003</v>
      </c>
      <c r="K250" s="51"/>
      <c r="L250" s="52">
        <f t="shared" si="61"/>
        <v>46240.939583333333</v>
      </c>
      <c r="M250" s="53">
        <v>0.41666666666666669</v>
      </c>
      <c r="N250" s="54" t="str">
        <f t="shared" si="57"/>
        <v>-12:33:00</v>
      </c>
      <c r="O250" s="55">
        <f>250*13</f>
        <v>3250</v>
      </c>
      <c r="P250" s="125" t="s">
        <v>493</v>
      </c>
      <c r="Q250" s="56"/>
      <c r="R250" s="57"/>
      <c r="S250" s="57"/>
      <c r="T250" s="58">
        <f t="shared" si="58"/>
        <v>0</v>
      </c>
      <c r="U250" s="50"/>
      <c r="V250" s="74">
        <v>0</v>
      </c>
      <c r="W250" s="50">
        <f t="shared" si="60"/>
        <v>0</v>
      </c>
      <c r="X250" s="171">
        <v>7.9166666666666663E-2</v>
      </c>
      <c r="Y250" s="171">
        <v>46241.018750000003</v>
      </c>
      <c r="Z250" s="168">
        <f t="shared" si="46"/>
        <v>46240.939583333333</v>
      </c>
      <c r="AA250" s="169">
        <f t="shared" si="47"/>
        <v>0.41666666666666669</v>
      </c>
      <c r="AB250" s="170" t="str">
        <f t="shared" si="48"/>
        <v>-12:33:00</v>
      </c>
      <c r="AC250" s="170" t="b">
        <f t="shared" si="49"/>
        <v>1</v>
      </c>
    </row>
    <row r="251" spans="1:30" s="128" customFormat="1" ht="9.75" hidden="1" customHeight="1" x14ac:dyDescent="0.3">
      <c r="A251" s="99">
        <v>46240</v>
      </c>
      <c r="B251" s="59">
        <v>8149286</v>
      </c>
      <c r="C251" s="60" t="s">
        <v>97</v>
      </c>
      <c r="D251" s="60" t="s">
        <v>468</v>
      </c>
      <c r="E251" s="61">
        <v>0.125</v>
      </c>
      <c r="F251" s="60" t="s">
        <v>23</v>
      </c>
      <c r="G251" s="71" t="s">
        <v>13</v>
      </c>
      <c r="H251" s="62">
        <v>46240.13958333333</v>
      </c>
      <c r="I251" s="113" t="str">
        <f t="shared" si="50"/>
        <v>06-08-2026T03:21:00</v>
      </c>
      <c r="J251" s="62">
        <v>46241.444444444445</v>
      </c>
      <c r="K251" s="62"/>
      <c r="L251" s="63">
        <f t="shared" si="61"/>
        <v>1.304861111115315</v>
      </c>
      <c r="M251" s="64">
        <v>1.0833333333333333</v>
      </c>
      <c r="N251" s="65" t="str">
        <f t="shared" si="57"/>
        <v>-05:19:00</v>
      </c>
      <c r="O251" s="66"/>
      <c r="P251" s="126" t="s">
        <v>403</v>
      </c>
      <c r="Q251" s="67" t="s">
        <v>13</v>
      </c>
      <c r="R251" s="68">
        <v>46241.28125</v>
      </c>
      <c r="S251" s="68">
        <v>46241.444444444445</v>
      </c>
      <c r="T251" s="69">
        <f t="shared" si="58"/>
        <v>0.16319444444525288</v>
      </c>
      <c r="U251" s="61"/>
      <c r="V251" s="83">
        <v>8.3333333333333329E-2</v>
      </c>
      <c r="W251" s="61">
        <f t="shared" si="60"/>
        <v>7.9861111111919555E-2</v>
      </c>
      <c r="X251" s="172">
        <v>46240.13958333333</v>
      </c>
      <c r="Y251" s="172">
        <v>46241.444444444445</v>
      </c>
      <c r="Z251" s="173">
        <f t="shared" si="46"/>
        <v>1.304861111115315</v>
      </c>
      <c r="AA251" s="174">
        <f t="shared" si="47"/>
        <v>1.0833333333333333</v>
      </c>
      <c r="AB251" s="175" t="str">
        <f t="shared" si="48"/>
        <v>-05:19:00</v>
      </c>
      <c r="AC251" s="175" t="b">
        <f t="shared" si="49"/>
        <v>1</v>
      </c>
    </row>
    <row r="252" spans="1:30" ht="9.75" hidden="1" customHeight="1" x14ac:dyDescent="0.3">
      <c r="A252" s="99">
        <v>46240</v>
      </c>
      <c r="B252" s="59">
        <v>8149262</v>
      </c>
      <c r="C252" s="60" t="s">
        <v>84</v>
      </c>
      <c r="D252" s="60" t="s">
        <v>301</v>
      </c>
      <c r="E252" s="61">
        <v>0.125</v>
      </c>
      <c r="F252" s="60" t="s">
        <v>13</v>
      </c>
      <c r="G252" s="71" t="s">
        <v>284</v>
      </c>
      <c r="H252" s="62">
        <v>0.12638888888888888</v>
      </c>
      <c r="I252" s="113" t="str">
        <f t="shared" si="50"/>
        <v>06-08-2026T03:02:00</v>
      </c>
      <c r="J252" s="62">
        <v>0.47222222222222221</v>
      </c>
      <c r="K252" s="62"/>
      <c r="L252" s="63">
        <f t="shared" si="61"/>
        <v>0.34583333333333333</v>
      </c>
      <c r="M252" s="64">
        <v>0.35416666666666669</v>
      </c>
      <c r="N252" s="65" t="str">
        <f t="shared" si="57"/>
        <v>00:12:00</v>
      </c>
      <c r="O252" s="66"/>
      <c r="P252" s="124"/>
      <c r="Q252" s="67" t="s">
        <v>174</v>
      </c>
      <c r="R252" s="68">
        <v>46240.375</v>
      </c>
      <c r="S252" s="68">
        <v>46240.397916666669</v>
      </c>
      <c r="T252" s="69">
        <f t="shared" si="58"/>
        <v>2.2916666668606922E-2</v>
      </c>
      <c r="U252" s="61" t="s">
        <v>234</v>
      </c>
      <c r="V252" s="83">
        <v>6.25E-2</v>
      </c>
      <c r="W252" s="61">
        <f t="shared" si="60"/>
        <v>-3.9583333331393078E-2</v>
      </c>
      <c r="X252" s="171">
        <v>46240.126388888886</v>
      </c>
      <c r="Y252" s="171">
        <v>46240.472222222219</v>
      </c>
      <c r="Z252" s="168">
        <f t="shared" ref="Z252:Z315" si="62">Y252-X252</f>
        <v>0.34583333333284827</v>
      </c>
      <c r="AA252" s="169">
        <f t="shared" ref="AA252:AA315" si="63">M252</f>
        <v>0.35416666666666669</v>
      </c>
      <c r="AB252" s="170" t="str">
        <f t="shared" ref="AB252:AB315" si="64">IF(AA252-Z252&gt;0,TEXT(AA252-Z252,"HH:MM:SS"),TEXT(ABS(AA252-Z252),"-HH:MM:SS"))</f>
        <v>00:12:00</v>
      </c>
      <c r="AC252" s="170" t="b">
        <f t="shared" ref="AC252:AC315" si="65">AB252=N252</f>
        <v>1</v>
      </c>
    </row>
    <row r="253" spans="1:30" ht="9.75" hidden="1" customHeight="1" x14ac:dyDescent="0.3">
      <c r="A253" s="99">
        <v>46240</v>
      </c>
      <c r="B253" s="59">
        <v>8149230</v>
      </c>
      <c r="C253" s="60" t="s">
        <v>57</v>
      </c>
      <c r="D253" s="60" t="s">
        <v>370</v>
      </c>
      <c r="E253" s="61">
        <v>0.125</v>
      </c>
      <c r="F253" s="60" t="s">
        <v>24</v>
      </c>
      <c r="G253" s="71" t="s">
        <v>13</v>
      </c>
      <c r="H253" s="62">
        <v>0.11874999999999999</v>
      </c>
      <c r="I253" s="113" t="str">
        <f t="shared" si="50"/>
        <v>06-08-2026T02:51:00</v>
      </c>
      <c r="J253" s="62">
        <v>0.18472222222222223</v>
      </c>
      <c r="K253" s="62"/>
      <c r="L253" s="63">
        <f t="shared" si="61"/>
        <v>6.5972222222222238E-2</v>
      </c>
      <c r="M253" s="64">
        <v>8.3333333333333329E-2</v>
      </c>
      <c r="N253" s="65" t="str">
        <f t="shared" si="57"/>
        <v>00:25:00</v>
      </c>
      <c r="O253" s="66"/>
      <c r="P253" s="124"/>
      <c r="Q253" s="67"/>
      <c r="R253" s="68"/>
      <c r="S253" s="68"/>
      <c r="T253" s="69">
        <f t="shared" si="58"/>
        <v>0</v>
      </c>
      <c r="U253" s="61" t="s">
        <v>234</v>
      </c>
      <c r="V253" s="83">
        <v>0</v>
      </c>
      <c r="W253" s="61">
        <f t="shared" si="60"/>
        <v>0</v>
      </c>
      <c r="X253" s="171">
        <v>46240.118750000001</v>
      </c>
      <c r="Y253" s="171">
        <v>46240.18472222222</v>
      </c>
      <c r="Z253" s="168">
        <f t="shared" si="62"/>
        <v>6.5972222218988463E-2</v>
      </c>
      <c r="AA253" s="169">
        <f t="shared" si="63"/>
        <v>8.3333333333333329E-2</v>
      </c>
      <c r="AB253" s="170" t="str">
        <f t="shared" si="64"/>
        <v>00:25:00</v>
      </c>
      <c r="AC253" s="170" t="b">
        <f t="shared" si="65"/>
        <v>1</v>
      </c>
    </row>
    <row r="254" spans="1:30" ht="9.75" hidden="1" customHeight="1" x14ac:dyDescent="0.3">
      <c r="A254" s="99">
        <v>46240</v>
      </c>
      <c r="B254" s="59">
        <v>8149380</v>
      </c>
      <c r="C254" s="60" t="s">
        <v>41</v>
      </c>
      <c r="D254" s="60" t="s">
        <v>299</v>
      </c>
      <c r="E254" s="61">
        <v>0.16666666666666666</v>
      </c>
      <c r="F254" s="60" t="s">
        <v>13</v>
      </c>
      <c r="G254" s="71" t="s">
        <v>24</v>
      </c>
      <c r="H254" s="62">
        <v>0.16527777777777777</v>
      </c>
      <c r="I254" s="113" t="str">
        <f t="shared" si="50"/>
        <v>06-08-2026T03:58:00</v>
      </c>
      <c r="J254" s="62">
        <v>0.2388888888888889</v>
      </c>
      <c r="K254" s="62"/>
      <c r="L254" s="63">
        <f t="shared" si="61"/>
        <v>7.3611111111111127E-2</v>
      </c>
      <c r="M254" s="64">
        <v>8.3333333333333329E-2</v>
      </c>
      <c r="N254" s="65" t="str">
        <f t="shared" si="57"/>
        <v>00:14:00</v>
      </c>
      <c r="O254" s="66"/>
      <c r="P254" s="124"/>
      <c r="Q254" s="67"/>
      <c r="R254" s="68"/>
      <c r="S254" s="68"/>
      <c r="T254" s="69">
        <f t="shared" si="58"/>
        <v>0</v>
      </c>
      <c r="U254" s="61" t="s">
        <v>234</v>
      </c>
      <c r="V254" s="83">
        <v>0</v>
      </c>
      <c r="W254" s="61">
        <f t="shared" si="60"/>
        <v>0</v>
      </c>
      <c r="X254" s="171">
        <v>46240.165277777778</v>
      </c>
      <c r="Y254" s="171">
        <v>46240.238888888889</v>
      </c>
      <c r="Z254" s="168">
        <f t="shared" si="62"/>
        <v>7.3611111110949423E-2</v>
      </c>
      <c r="AA254" s="169">
        <f t="shared" si="63"/>
        <v>8.3333333333333329E-2</v>
      </c>
      <c r="AB254" s="170" t="str">
        <f t="shared" si="64"/>
        <v>00:14:00</v>
      </c>
      <c r="AC254" s="170" t="b">
        <f t="shared" si="65"/>
        <v>1</v>
      </c>
    </row>
    <row r="255" spans="1:30" ht="9.75" hidden="1" customHeight="1" x14ac:dyDescent="0.3">
      <c r="A255" s="99">
        <v>46240</v>
      </c>
      <c r="B255" s="59">
        <v>8149404</v>
      </c>
      <c r="C255" s="60" t="s">
        <v>27</v>
      </c>
      <c r="D255" s="60" t="s">
        <v>378</v>
      </c>
      <c r="E255" s="61">
        <v>0.16666666666666666</v>
      </c>
      <c r="F255" s="60" t="s">
        <v>13</v>
      </c>
      <c r="G255" s="71" t="s">
        <v>28</v>
      </c>
      <c r="H255" s="62">
        <v>0.1673611111111111</v>
      </c>
      <c r="I255" s="113" t="str">
        <f t="shared" si="50"/>
        <v>06-08-2026T04:01:00</v>
      </c>
      <c r="J255" s="62">
        <v>0.33333333333333331</v>
      </c>
      <c r="K255" s="62"/>
      <c r="L255" s="63">
        <f t="shared" si="61"/>
        <v>0.16597222222222222</v>
      </c>
      <c r="M255" s="64">
        <v>0.16666666666666666</v>
      </c>
      <c r="N255" s="65" t="str">
        <f t="shared" si="57"/>
        <v>00:01:00</v>
      </c>
      <c r="O255" s="66"/>
      <c r="P255" s="124"/>
      <c r="Q255" s="67"/>
      <c r="R255" s="68"/>
      <c r="S255" s="68"/>
      <c r="T255" s="69">
        <f t="shared" si="58"/>
        <v>0</v>
      </c>
      <c r="U255" s="61" t="s">
        <v>234</v>
      </c>
      <c r="V255" s="83">
        <v>0</v>
      </c>
      <c r="W255" s="61">
        <f t="shared" si="60"/>
        <v>0</v>
      </c>
      <c r="X255" s="171">
        <v>46240.167361111111</v>
      </c>
      <c r="Y255" s="171">
        <v>46240.333333333336</v>
      </c>
      <c r="Z255" s="168">
        <f t="shared" si="62"/>
        <v>0.16597222222480923</v>
      </c>
      <c r="AA255" s="169">
        <f t="shared" si="63"/>
        <v>0.16666666666666666</v>
      </c>
      <c r="AB255" s="170" t="str">
        <f t="shared" si="64"/>
        <v>00:01:00</v>
      </c>
      <c r="AC255" s="170" t="b">
        <f t="shared" si="65"/>
        <v>1</v>
      </c>
    </row>
    <row r="256" spans="1:30" ht="9.75" hidden="1" customHeight="1" x14ac:dyDescent="0.3">
      <c r="A256" s="99">
        <v>46240</v>
      </c>
      <c r="B256" s="59">
        <v>8149372</v>
      </c>
      <c r="C256" s="60" t="s">
        <v>29</v>
      </c>
      <c r="D256" s="60" t="s">
        <v>373</v>
      </c>
      <c r="E256" s="61">
        <v>0.16666666666666666</v>
      </c>
      <c r="F256" s="60" t="s">
        <v>17</v>
      </c>
      <c r="G256" s="71" t="s">
        <v>15</v>
      </c>
      <c r="H256" s="62">
        <v>0.16458333333333333</v>
      </c>
      <c r="I256" s="113" t="str">
        <f t="shared" si="50"/>
        <v>06-08-2026T03:57:00</v>
      </c>
      <c r="J256" s="62">
        <v>0.66249999999999998</v>
      </c>
      <c r="K256" s="62"/>
      <c r="L256" s="63">
        <f t="shared" si="61"/>
        <v>0.49791666666666667</v>
      </c>
      <c r="M256" s="64">
        <v>0.5</v>
      </c>
      <c r="N256" s="65" t="str">
        <f t="shared" si="57"/>
        <v>00:03:00</v>
      </c>
      <c r="O256" s="66"/>
      <c r="P256" s="124"/>
      <c r="Q256" s="67" t="s">
        <v>98</v>
      </c>
      <c r="R256" s="68">
        <v>46240.375</v>
      </c>
      <c r="S256" s="68">
        <v>46240.472916666666</v>
      </c>
      <c r="T256" s="47">
        <f t="shared" si="58"/>
        <v>9.7916666665696539E-2</v>
      </c>
      <c r="U256" s="61"/>
      <c r="V256" s="83">
        <v>8.3333333333333329E-2</v>
      </c>
      <c r="W256" s="61">
        <f t="shared" si="60"/>
        <v>1.458333333236321E-2</v>
      </c>
      <c r="X256" s="171">
        <v>0.16458333333333333</v>
      </c>
      <c r="Y256" s="171">
        <v>0.66249999999999998</v>
      </c>
      <c r="Z256" s="168">
        <f t="shared" si="62"/>
        <v>0.49791666666666667</v>
      </c>
      <c r="AA256" s="169">
        <f t="shared" si="63"/>
        <v>0.5</v>
      </c>
      <c r="AB256" s="170" t="str">
        <f t="shared" si="64"/>
        <v>00:03:00</v>
      </c>
      <c r="AC256" s="170" t="b">
        <f t="shared" si="65"/>
        <v>1</v>
      </c>
    </row>
    <row r="257" spans="1:30" ht="9.75" hidden="1" customHeight="1" x14ac:dyDescent="0.3">
      <c r="A257" s="98">
        <v>46240</v>
      </c>
      <c r="B257" s="48">
        <v>8149351</v>
      </c>
      <c r="C257" s="49" t="s">
        <v>37</v>
      </c>
      <c r="D257" s="49" t="s">
        <v>466</v>
      </c>
      <c r="E257" s="50">
        <v>0.16666666666666666</v>
      </c>
      <c r="F257" s="49" t="s">
        <v>13</v>
      </c>
      <c r="G257" s="70" t="s">
        <v>14</v>
      </c>
      <c r="H257" s="51">
        <v>0.16041666666666668</v>
      </c>
      <c r="I257" s="113" t="str">
        <f t="shared" si="50"/>
        <v>06-08-2026T03:51:00</v>
      </c>
      <c r="J257" s="51">
        <v>0.7055555555555556</v>
      </c>
      <c r="K257" s="51"/>
      <c r="L257" s="52">
        <f t="shared" si="61"/>
        <v>0.54513888888888895</v>
      </c>
      <c r="M257" s="53">
        <v>0.54166666666666663</v>
      </c>
      <c r="N257" s="54" t="str">
        <f t="shared" si="57"/>
        <v>-00:05:00</v>
      </c>
      <c r="O257" s="55">
        <v>200</v>
      </c>
      <c r="P257" s="125" t="s">
        <v>494</v>
      </c>
      <c r="Q257" s="56"/>
      <c r="R257" s="57"/>
      <c r="S257" s="57"/>
      <c r="T257" s="58">
        <f t="shared" si="58"/>
        <v>0</v>
      </c>
      <c r="U257" s="50"/>
      <c r="V257" s="74">
        <v>0</v>
      </c>
      <c r="W257" s="50">
        <f t="shared" si="60"/>
        <v>0</v>
      </c>
      <c r="X257" s="171">
        <v>46240.160416666666</v>
      </c>
      <c r="Y257" s="171">
        <v>46240.705555555556</v>
      </c>
      <c r="Z257" s="168">
        <f t="shared" si="62"/>
        <v>0.54513888889050577</v>
      </c>
      <c r="AA257" s="169">
        <f t="shared" si="63"/>
        <v>0.54166666666666663</v>
      </c>
      <c r="AB257" s="170" t="str">
        <f t="shared" si="64"/>
        <v>-00:05:00</v>
      </c>
      <c r="AC257" s="170" t="b">
        <f t="shared" si="65"/>
        <v>1</v>
      </c>
    </row>
    <row r="258" spans="1:30" ht="9.75" hidden="1" customHeight="1" x14ac:dyDescent="0.3">
      <c r="A258" s="99">
        <v>46240</v>
      </c>
      <c r="B258" s="59">
        <v>8149554</v>
      </c>
      <c r="C258" s="60" t="s">
        <v>32</v>
      </c>
      <c r="D258" s="60" t="s">
        <v>476</v>
      </c>
      <c r="E258" s="61">
        <v>0.20833333333333334</v>
      </c>
      <c r="F258" s="60" t="s">
        <v>13</v>
      </c>
      <c r="G258" s="71" t="s">
        <v>287</v>
      </c>
      <c r="H258" s="62">
        <v>0.20972222222222223</v>
      </c>
      <c r="I258" s="113" t="str">
        <f t="shared" si="50"/>
        <v>06-08-2026T05:02:00</v>
      </c>
      <c r="J258" s="62">
        <v>0.35416666666666669</v>
      </c>
      <c r="K258" s="62"/>
      <c r="L258" s="63">
        <f t="shared" si="61"/>
        <v>0.14444444444444446</v>
      </c>
      <c r="M258" s="64">
        <v>0.14583333333333334</v>
      </c>
      <c r="N258" s="65" t="str">
        <f t="shared" si="57"/>
        <v>00:02:00</v>
      </c>
      <c r="O258" s="66"/>
      <c r="P258" s="124" t="s">
        <v>469</v>
      </c>
      <c r="Q258" s="67"/>
      <c r="R258" s="68"/>
      <c r="S258" s="68"/>
      <c r="T258" s="69">
        <f t="shared" si="58"/>
        <v>0</v>
      </c>
      <c r="U258" s="61"/>
      <c r="V258" s="83">
        <v>0</v>
      </c>
      <c r="W258" s="61">
        <f t="shared" si="60"/>
        <v>0</v>
      </c>
      <c r="X258" s="171">
        <v>46240.209722222222</v>
      </c>
      <c r="Y258" s="171">
        <v>46240.354166666664</v>
      </c>
      <c r="Z258" s="168">
        <f t="shared" si="62"/>
        <v>0.1444444444423425</v>
      </c>
      <c r="AA258" s="169">
        <f t="shared" si="63"/>
        <v>0.14583333333333334</v>
      </c>
      <c r="AB258" s="170" t="str">
        <f t="shared" si="64"/>
        <v>00:02:00</v>
      </c>
      <c r="AC258" s="170" t="b">
        <f t="shared" si="65"/>
        <v>1</v>
      </c>
    </row>
    <row r="259" spans="1:30" s="144" customFormat="1" ht="9.75" hidden="1" customHeight="1" x14ac:dyDescent="0.3">
      <c r="A259" s="129">
        <v>46240</v>
      </c>
      <c r="B259" s="130">
        <v>8149494</v>
      </c>
      <c r="C259" s="131" t="s">
        <v>82</v>
      </c>
      <c r="D259" s="131" t="s">
        <v>333</v>
      </c>
      <c r="E259" s="132">
        <v>0.20833333333333334</v>
      </c>
      <c r="F259" s="131" t="s">
        <v>26</v>
      </c>
      <c r="G259" s="133" t="s">
        <v>13</v>
      </c>
      <c r="H259" s="134">
        <v>0.20208333333333334</v>
      </c>
      <c r="I259" s="113" t="str">
        <f t="shared" si="50"/>
        <v>06-08-2026T04:51:00</v>
      </c>
      <c r="J259" s="134">
        <v>0.69861111111111107</v>
      </c>
      <c r="K259" s="134"/>
      <c r="L259" s="135">
        <f t="shared" si="61"/>
        <v>0.49652777777777773</v>
      </c>
      <c r="M259" s="136">
        <v>0.45833333333333331</v>
      </c>
      <c r="N259" s="137" t="str">
        <f t="shared" si="57"/>
        <v>-00:55:00</v>
      </c>
      <c r="O259" s="138"/>
      <c r="P259" s="145" t="s">
        <v>567</v>
      </c>
      <c r="Q259" s="140" t="s">
        <v>13</v>
      </c>
      <c r="R259" s="141">
        <v>46240.575694444444</v>
      </c>
      <c r="S259" s="141">
        <v>46240.697916666664</v>
      </c>
      <c r="T259" s="142">
        <f t="shared" si="58"/>
        <v>0.12222222222044365</v>
      </c>
      <c r="U259" s="132"/>
      <c r="V259" s="143">
        <v>8.3333333333333329E-2</v>
      </c>
      <c r="W259" s="132">
        <f t="shared" si="60"/>
        <v>3.8888888887110326E-2</v>
      </c>
      <c r="X259" s="171">
        <v>46240.20208333333</v>
      </c>
      <c r="Y259" s="171">
        <v>46240.698611111111</v>
      </c>
      <c r="Z259" s="168">
        <f t="shared" si="62"/>
        <v>0.49652777778101154</v>
      </c>
      <c r="AA259" s="169">
        <f t="shared" si="63"/>
        <v>0.45833333333333331</v>
      </c>
      <c r="AB259" s="170" t="str">
        <f t="shared" si="64"/>
        <v>-00:55:00</v>
      </c>
      <c r="AC259" s="170" t="b">
        <f t="shared" si="65"/>
        <v>1</v>
      </c>
    </row>
    <row r="260" spans="1:30" ht="9.75" hidden="1" customHeight="1" x14ac:dyDescent="0.3">
      <c r="A260" s="99">
        <v>46240</v>
      </c>
      <c r="B260" s="59">
        <v>8149713</v>
      </c>
      <c r="C260" s="60" t="s">
        <v>38</v>
      </c>
      <c r="D260" s="60" t="s">
        <v>289</v>
      </c>
      <c r="E260" s="61">
        <v>0.25</v>
      </c>
      <c r="F260" s="60" t="s">
        <v>14</v>
      </c>
      <c r="G260" s="71" t="s">
        <v>13</v>
      </c>
      <c r="H260" s="62">
        <v>0.24722222222222223</v>
      </c>
      <c r="I260" s="113" t="str">
        <f t="shared" ref="I260:I323" si="66">TEXT(A260,"dd-mm-yyyy")&amp;"T"&amp;TEXT(H260,"hh:mm:ss")</f>
        <v>06-08-2026T05:56:00</v>
      </c>
      <c r="J260" s="62">
        <v>0.77916666666666667</v>
      </c>
      <c r="K260" s="62"/>
      <c r="L260" s="63">
        <f t="shared" si="61"/>
        <v>0.53194444444444444</v>
      </c>
      <c r="M260" s="64">
        <v>0.54166666666666663</v>
      </c>
      <c r="N260" s="65" t="str">
        <f t="shared" si="57"/>
        <v>00:14:00</v>
      </c>
      <c r="O260" s="66"/>
      <c r="P260" s="124"/>
      <c r="Q260" s="67"/>
      <c r="R260" s="68"/>
      <c r="S260" s="68"/>
      <c r="T260" s="69">
        <f t="shared" si="58"/>
        <v>0</v>
      </c>
      <c r="U260" s="61"/>
      <c r="V260" s="83">
        <v>0</v>
      </c>
      <c r="W260" s="61">
        <f t="shared" si="60"/>
        <v>0</v>
      </c>
      <c r="X260" s="171">
        <v>46240.24722222222</v>
      </c>
      <c r="Y260" s="171">
        <v>46240.779166666667</v>
      </c>
      <c r="Z260" s="168">
        <f t="shared" si="62"/>
        <v>0.53194444444670808</v>
      </c>
      <c r="AA260" s="169">
        <f t="shared" si="63"/>
        <v>0.54166666666666663</v>
      </c>
      <c r="AB260" s="170" t="str">
        <f t="shared" si="64"/>
        <v>00:14:00</v>
      </c>
      <c r="AC260" s="170" t="b">
        <f t="shared" si="65"/>
        <v>1</v>
      </c>
    </row>
    <row r="261" spans="1:30" ht="9.75" hidden="1" customHeight="1" x14ac:dyDescent="0.3">
      <c r="A261" s="99">
        <v>46240</v>
      </c>
      <c r="B261" s="59">
        <v>8149766</v>
      </c>
      <c r="C261" s="60" t="s">
        <v>89</v>
      </c>
      <c r="D261" s="60" t="s">
        <v>294</v>
      </c>
      <c r="E261" s="61">
        <v>0.25</v>
      </c>
      <c r="F261" s="60" t="s">
        <v>13</v>
      </c>
      <c r="G261" s="71" t="s">
        <v>35</v>
      </c>
      <c r="H261" s="62">
        <v>0.25416666666666665</v>
      </c>
      <c r="I261" s="113" t="str">
        <f t="shared" si="66"/>
        <v>06-08-2026T06:06:00</v>
      </c>
      <c r="J261" s="62">
        <v>0.29305555555555557</v>
      </c>
      <c r="K261" s="62"/>
      <c r="L261" s="63">
        <f t="shared" si="61"/>
        <v>3.8888888888888917E-2</v>
      </c>
      <c r="M261" s="64">
        <v>4.1666666666666664E-2</v>
      </c>
      <c r="N261" s="65" t="str">
        <f t="shared" ref="N261:N292" si="67">IF(M261-L261&gt;0,TEXT(M261-L261,"HH:MM:SS"),TEXT(ABS(M261-L261),"-HH:MM:SS"))</f>
        <v>00:04:00</v>
      </c>
      <c r="O261" s="66"/>
      <c r="P261" s="124"/>
      <c r="Q261" s="67"/>
      <c r="R261" s="68"/>
      <c r="S261" s="68"/>
      <c r="T261" s="69">
        <f t="shared" ref="T261:T292" si="68">S261-R261</f>
        <v>0</v>
      </c>
      <c r="U261" s="61"/>
      <c r="V261" s="83">
        <v>0</v>
      </c>
      <c r="W261" s="61">
        <f t="shared" si="60"/>
        <v>0</v>
      </c>
      <c r="X261" s="171">
        <v>46240.254166666666</v>
      </c>
      <c r="Y261" s="171">
        <v>46240.293055555558</v>
      </c>
      <c r="Z261" s="168">
        <f t="shared" si="62"/>
        <v>3.888888889196096E-2</v>
      </c>
      <c r="AA261" s="169">
        <f t="shared" si="63"/>
        <v>4.1666666666666664E-2</v>
      </c>
      <c r="AB261" s="170" t="str">
        <f t="shared" si="64"/>
        <v>00:04:00</v>
      </c>
      <c r="AC261" s="170" t="b">
        <f t="shared" si="65"/>
        <v>1</v>
      </c>
    </row>
    <row r="262" spans="1:30" s="127" customFormat="1" ht="9.75" hidden="1" customHeight="1" x14ac:dyDescent="0.3">
      <c r="A262" s="98">
        <v>46240</v>
      </c>
      <c r="B262" s="48">
        <v>8151813</v>
      </c>
      <c r="C262" s="49" t="s">
        <v>12</v>
      </c>
      <c r="D262" s="49" t="s">
        <v>383</v>
      </c>
      <c r="E262" s="50">
        <v>0.27083333333333331</v>
      </c>
      <c r="F262" s="49" t="s">
        <v>14</v>
      </c>
      <c r="G262" s="70" t="s">
        <v>13</v>
      </c>
      <c r="H262" s="51">
        <v>46209.996527777781</v>
      </c>
      <c r="I262" s="113" t="str">
        <f t="shared" si="66"/>
        <v>06-08-2026T23:55:00</v>
      </c>
      <c r="J262" s="51">
        <v>46241.750694444447</v>
      </c>
      <c r="K262" s="51"/>
      <c r="L262" s="52">
        <f t="shared" si="61"/>
        <v>31.754166666665697</v>
      </c>
      <c r="M262" s="53">
        <v>0.66666666666666663</v>
      </c>
      <c r="N262" s="54" t="str">
        <f t="shared" si="67"/>
        <v>-02:06:00</v>
      </c>
      <c r="O262" s="55">
        <v>600</v>
      </c>
      <c r="P262" s="125" t="s">
        <v>495</v>
      </c>
      <c r="Q262" s="56" t="s">
        <v>126</v>
      </c>
      <c r="R262" s="57" t="s">
        <v>372</v>
      </c>
      <c r="S262" s="57" t="s">
        <v>372</v>
      </c>
      <c r="T262" s="58" t="e">
        <f t="shared" si="68"/>
        <v>#VALUE!</v>
      </c>
      <c r="U262" s="50"/>
      <c r="V262" s="74">
        <v>6.25E-2</v>
      </c>
      <c r="W262" s="50" t="e">
        <f t="shared" si="60"/>
        <v>#VALUE!</v>
      </c>
      <c r="X262" s="171">
        <v>46240.996527777781</v>
      </c>
      <c r="Y262" s="171">
        <v>46241.750694444447</v>
      </c>
      <c r="Z262" s="168">
        <f t="shared" si="62"/>
        <v>0.75416666666569654</v>
      </c>
      <c r="AA262" s="169">
        <f t="shared" si="63"/>
        <v>0.66666666666666663</v>
      </c>
      <c r="AB262" s="170" t="str">
        <f t="shared" si="64"/>
        <v>-02:06:00</v>
      </c>
      <c r="AC262" s="170" t="b">
        <f t="shared" si="65"/>
        <v>1</v>
      </c>
      <c r="AD262"/>
    </row>
    <row r="263" spans="1:30" ht="9.75" hidden="1" customHeight="1" x14ac:dyDescent="0.3">
      <c r="A263" s="98">
        <v>46240</v>
      </c>
      <c r="B263" s="48">
        <v>8149811</v>
      </c>
      <c r="C263" s="49" t="s">
        <v>83</v>
      </c>
      <c r="D263" s="49" t="s">
        <v>454</v>
      </c>
      <c r="E263" s="50">
        <v>0.27083333333333331</v>
      </c>
      <c r="F263" s="49" t="s">
        <v>14</v>
      </c>
      <c r="G263" s="70" t="s">
        <v>13</v>
      </c>
      <c r="H263" s="51">
        <v>0.27013888888888887</v>
      </c>
      <c r="I263" s="113" t="str">
        <f t="shared" si="66"/>
        <v>06-08-2026T06:29:00</v>
      </c>
      <c r="J263" s="51">
        <v>0.94652777777777775</v>
      </c>
      <c r="K263" s="51"/>
      <c r="L263" s="52">
        <f t="shared" si="61"/>
        <v>0.67638888888888893</v>
      </c>
      <c r="M263" s="53">
        <v>0.625</v>
      </c>
      <c r="N263" s="54" t="str">
        <f t="shared" si="67"/>
        <v>-01:14:00</v>
      </c>
      <c r="O263" s="55">
        <v>200</v>
      </c>
      <c r="P263" s="125" t="s">
        <v>437</v>
      </c>
      <c r="Q263" s="56" t="s">
        <v>126</v>
      </c>
      <c r="R263" s="57">
        <v>46240.375</v>
      </c>
      <c r="S263" s="57">
        <v>46240.46875</v>
      </c>
      <c r="T263" s="47">
        <f t="shared" si="68"/>
        <v>9.375E-2</v>
      </c>
      <c r="U263" s="50"/>
      <c r="V263" s="74">
        <v>6.25E-2</v>
      </c>
      <c r="W263" s="50">
        <f t="shared" si="60"/>
        <v>3.125E-2</v>
      </c>
      <c r="X263" s="171">
        <v>46240.270138888889</v>
      </c>
      <c r="Y263" s="171">
        <v>46240.946527777778</v>
      </c>
      <c r="Z263" s="168">
        <f t="shared" si="62"/>
        <v>0.67638888888905058</v>
      </c>
      <c r="AA263" s="169">
        <f t="shared" si="63"/>
        <v>0.625</v>
      </c>
      <c r="AB263" s="170" t="str">
        <f t="shared" si="64"/>
        <v>-01:14:00</v>
      </c>
      <c r="AC263" s="170" t="b">
        <f t="shared" si="65"/>
        <v>1</v>
      </c>
    </row>
    <row r="264" spans="1:30" ht="9.75" hidden="1" customHeight="1" x14ac:dyDescent="0.3">
      <c r="A264" s="99">
        <v>46240</v>
      </c>
      <c r="B264" s="59">
        <v>8149790</v>
      </c>
      <c r="C264" s="60" t="s">
        <v>36</v>
      </c>
      <c r="D264" s="60" t="s">
        <v>300</v>
      </c>
      <c r="E264" s="61">
        <v>0.27083333333333331</v>
      </c>
      <c r="F264" s="60" t="s">
        <v>13</v>
      </c>
      <c r="G264" s="71" t="s">
        <v>14</v>
      </c>
      <c r="H264" s="62">
        <v>0.26597222222222222</v>
      </c>
      <c r="I264" s="113" t="str">
        <f t="shared" si="66"/>
        <v>06-08-2026T06:23:00</v>
      </c>
      <c r="J264" s="62">
        <v>0.86319444444444449</v>
      </c>
      <c r="K264" s="62"/>
      <c r="L264" s="63">
        <f t="shared" si="61"/>
        <v>0.59722222222222232</v>
      </c>
      <c r="M264" s="64">
        <v>0.625</v>
      </c>
      <c r="N264" s="65" t="str">
        <f t="shared" si="67"/>
        <v>00:40:00</v>
      </c>
      <c r="O264" s="66"/>
      <c r="P264" s="124"/>
      <c r="Q264" s="67" t="s">
        <v>15</v>
      </c>
      <c r="R264" s="68">
        <v>46240.486805555556</v>
      </c>
      <c r="S264" s="68">
        <v>46240.5</v>
      </c>
      <c r="T264" s="69">
        <f t="shared" si="68"/>
        <v>1.3194444443797693E-2</v>
      </c>
      <c r="U264" s="61" t="s">
        <v>234</v>
      </c>
      <c r="V264" s="83">
        <v>6.25E-2</v>
      </c>
      <c r="W264" s="61">
        <f t="shared" si="60"/>
        <v>-4.9305555556202307E-2</v>
      </c>
      <c r="X264" s="171">
        <v>46240.265972222223</v>
      </c>
      <c r="Y264" s="171">
        <v>46240.863194444442</v>
      </c>
      <c r="Z264" s="168">
        <f t="shared" si="62"/>
        <v>0.59722222221898846</v>
      </c>
      <c r="AA264" s="169">
        <f t="shared" si="63"/>
        <v>0.625</v>
      </c>
      <c r="AB264" s="170" t="str">
        <f t="shared" si="64"/>
        <v>00:40:00</v>
      </c>
      <c r="AC264" s="170" t="b">
        <f t="shared" si="65"/>
        <v>1</v>
      </c>
    </row>
    <row r="265" spans="1:30" s="127" customFormat="1" ht="9.75" hidden="1" customHeight="1" x14ac:dyDescent="0.3">
      <c r="A265" s="98">
        <v>46240</v>
      </c>
      <c r="B265" s="48">
        <v>8149866</v>
      </c>
      <c r="C265" s="49" t="s">
        <v>39</v>
      </c>
      <c r="D265" s="49" t="s">
        <v>392</v>
      </c>
      <c r="E265" s="50">
        <v>0.29166666666666669</v>
      </c>
      <c r="F265" s="49" t="s">
        <v>13</v>
      </c>
      <c r="G265" s="70" t="s">
        <v>103</v>
      </c>
      <c r="H265" s="51">
        <v>0.2902777777777778</v>
      </c>
      <c r="I265" s="113" t="str">
        <f t="shared" si="66"/>
        <v>06-08-2026T06:58:00</v>
      </c>
      <c r="J265" s="51">
        <v>46242.007638888892</v>
      </c>
      <c r="K265" s="51"/>
      <c r="L265" s="52">
        <f t="shared" si="61"/>
        <v>46241.717361111114</v>
      </c>
      <c r="M265" s="53">
        <v>0.625</v>
      </c>
      <c r="N265" s="54" t="str">
        <f t="shared" si="67"/>
        <v>-02:13:00</v>
      </c>
      <c r="O265" s="55">
        <v>750</v>
      </c>
      <c r="P265" s="125" t="s">
        <v>496</v>
      </c>
      <c r="Q265" s="56"/>
      <c r="R265" s="57"/>
      <c r="S265" s="57"/>
      <c r="T265" s="58">
        <f t="shared" si="68"/>
        <v>0</v>
      </c>
      <c r="U265" s="50"/>
      <c r="V265" s="74">
        <v>0</v>
      </c>
      <c r="W265" s="50">
        <f t="shared" si="60"/>
        <v>0</v>
      </c>
      <c r="X265" s="171">
        <v>46240.290277777778</v>
      </c>
      <c r="Y265" s="171">
        <v>46242.007638888892</v>
      </c>
      <c r="Z265" s="168">
        <f t="shared" si="62"/>
        <v>1.7173611111138598</v>
      </c>
      <c r="AA265" s="169">
        <f t="shared" si="63"/>
        <v>0.625</v>
      </c>
      <c r="AB265" s="170" t="str">
        <f t="shared" si="64"/>
        <v>-02:13:00</v>
      </c>
      <c r="AC265" s="170" t="b">
        <f t="shared" si="65"/>
        <v>1</v>
      </c>
      <c r="AD265"/>
    </row>
    <row r="266" spans="1:30" s="144" customFormat="1" ht="9.75" hidden="1" customHeight="1" x14ac:dyDescent="0.3">
      <c r="A266" s="129">
        <v>46240</v>
      </c>
      <c r="B266" s="130">
        <v>8149922</v>
      </c>
      <c r="C266" s="131" t="s">
        <v>56</v>
      </c>
      <c r="D266" s="131" t="s">
        <v>326</v>
      </c>
      <c r="E266" s="132">
        <v>0.3125</v>
      </c>
      <c r="F266" s="131" t="s">
        <v>15</v>
      </c>
      <c r="G266" s="133" t="s">
        <v>13</v>
      </c>
      <c r="H266" s="134">
        <v>0.31041666666666667</v>
      </c>
      <c r="I266" s="113" t="str">
        <f t="shared" si="66"/>
        <v>06-08-2026T07:27:00</v>
      </c>
      <c r="J266" s="134">
        <v>0.5854166666666667</v>
      </c>
      <c r="K266" s="134"/>
      <c r="L266" s="135">
        <f t="shared" si="61"/>
        <v>0.27500000000000002</v>
      </c>
      <c r="M266" s="136">
        <v>0.25</v>
      </c>
      <c r="N266" s="137" t="str">
        <f t="shared" si="67"/>
        <v>-00:36:00</v>
      </c>
      <c r="O266" s="138"/>
      <c r="P266" s="145" t="s">
        <v>470</v>
      </c>
      <c r="Q266" s="140" t="s">
        <v>205</v>
      </c>
      <c r="R266" s="141">
        <v>46240.386111111111</v>
      </c>
      <c r="S266" s="141">
        <v>46240.458333333336</v>
      </c>
      <c r="T266" s="142">
        <f t="shared" si="68"/>
        <v>7.2222222224809229E-2</v>
      </c>
      <c r="U266" s="132"/>
      <c r="V266" s="143">
        <v>4.1666666666666664E-2</v>
      </c>
      <c r="W266" s="132">
        <f t="shared" si="60"/>
        <v>3.0555555558142565E-2</v>
      </c>
      <c r="X266" s="171">
        <v>46240.310416666667</v>
      </c>
      <c r="Y266" s="171">
        <v>46240.585416666669</v>
      </c>
      <c r="Z266" s="168">
        <f t="shared" si="62"/>
        <v>0.27500000000145519</v>
      </c>
      <c r="AA266" s="169">
        <f t="shared" si="63"/>
        <v>0.25</v>
      </c>
      <c r="AB266" s="170" t="str">
        <f t="shared" si="64"/>
        <v>-00:36:00</v>
      </c>
      <c r="AC266" s="170" t="b">
        <f t="shared" si="65"/>
        <v>1</v>
      </c>
    </row>
    <row r="267" spans="1:30" ht="9.75" hidden="1" customHeight="1" x14ac:dyDescent="0.3">
      <c r="A267" s="98">
        <v>46240</v>
      </c>
      <c r="B267" s="48">
        <v>8149869</v>
      </c>
      <c r="C267" s="49" t="s">
        <v>44</v>
      </c>
      <c r="D267" s="49" t="s">
        <v>471</v>
      </c>
      <c r="E267" s="50">
        <v>0.29166666666666669</v>
      </c>
      <c r="F267" s="49" t="s">
        <v>13</v>
      </c>
      <c r="G267" s="70" t="s">
        <v>31</v>
      </c>
      <c r="H267" s="51">
        <v>0.2902777777777778</v>
      </c>
      <c r="I267" s="113" t="str">
        <f t="shared" si="66"/>
        <v>06-08-2026T06:58:00</v>
      </c>
      <c r="J267" s="51">
        <v>0.93194444444444446</v>
      </c>
      <c r="K267" s="51"/>
      <c r="L267" s="52">
        <f t="shared" si="61"/>
        <v>0.64166666666666661</v>
      </c>
      <c r="M267" s="53">
        <v>0.625</v>
      </c>
      <c r="N267" s="54" t="str">
        <f t="shared" si="67"/>
        <v>-00:24:00</v>
      </c>
      <c r="O267" s="55">
        <v>200</v>
      </c>
      <c r="P267" s="125" t="s">
        <v>437</v>
      </c>
      <c r="Q267" s="56"/>
      <c r="R267" s="57"/>
      <c r="S267" s="57"/>
      <c r="T267" s="58">
        <f t="shared" si="68"/>
        <v>0</v>
      </c>
      <c r="U267" s="50"/>
      <c r="V267" s="74">
        <v>0</v>
      </c>
      <c r="W267" s="50">
        <f t="shared" si="60"/>
        <v>0</v>
      </c>
      <c r="X267" s="171">
        <v>46240.290277777778</v>
      </c>
      <c r="Y267" s="171">
        <v>46240.931944444441</v>
      </c>
      <c r="Z267" s="168">
        <f t="shared" si="62"/>
        <v>0.64166666666278616</v>
      </c>
      <c r="AA267" s="169">
        <f t="shared" si="63"/>
        <v>0.625</v>
      </c>
      <c r="AB267" s="170" t="str">
        <f t="shared" si="64"/>
        <v>-00:24:00</v>
      </c>
      <c r="AC267" s="170" t="b">
        <f t="shared" si="65"/>
        <v>1</v>
      </c>
    </row>
    <row r="268" spans="1:30" ht="9.75" hidden="1" customHeight="1" x14ac:dyDescent="0.3">
      <c r="A268" s="99">
        <v>46240</v>
      </c>
      <c r="B268" s="59">
        <v>8149926</v>
      </c>
      <c r="C268" s="60" t="s">
        <v>42</v>
      </c>
      <c r="D268" s="60" t="s">
        <v>181</v>
      </c>
      <c r="E268" s="61">
        <v>0.3125</v>
      </c>
      <c r="F268" s="60" t="s">
        <v>13</v>
      </c>
      <c r="G268" s="71" t="s">
        <v>55</v>
      </c>
      <c r="H268" s="62">
        <v>0.31180555555555556</v>
      </c>
      <c r="I268" s="113" t="str">
        <f t="shared" si="66"/>
        <v>06-08-2026T07:29:00</v>
      </c>
      <c r="J268" s="62">
        <v>0.37361111111111112</v>
      </c>
      <c r="K268" s="62"/>
      <c r="L268" s="63">
        <f t="shared" si="61"/>
        <v>6.1805555555555558E-2</v>
      </c>
      <c r="M268" s="64">
        <v>6.25E-2</v>
      </c>
      <c r="N268" s="65" t="str">
        <f t="shared" si="67"/>
        <v>00:01:00</v>
      </c>
      <c r="O268" s="66"/>
      <c r="P268" s="124"/>
      <c r="Q268" s="67"/>
      <c r="R268" s="68"/>
      <c r="S268" s="68"/>
      <c r="T268" s="69">
        <f t="shared" si="68"/>
        <v>0</v>
      </c>
      <c r="U268" s="61" t="s">
        <v>234</v>
      </c>
      <c r="V268" s="83">
        <v>0</v>
      </c>
      <c r="W268" s="61">
        <f t="shared" si="60"/>
        <v>0</v>
      </c>
      <c r="X268" s="171">
        <v>46240.311805555553</v>
      </c>
      <c r="Y268" s="171">
        <v>46240.373611111114</v>
      </c>
      <c r="Z268" s="168">
        <f t="shared" si="62"/>
        <v>6.1805555560567882E-2</v>
      </c>
      <c r="AA268" s="169">
        <f t="shared" si="63"/>
        <v>6.25E-2</v>
      </c>
      <c r="AB268" s="170" t="str">
        <f t="shared" si="64"/>
        <v>00:01:00</v>
      </c>
      <c r="AC268" s="170" t="b">
        <f t="shared" si="65"/>
        <v>1</v>
      </c>
    </row>
    <row r="269" spans="1:30" s="128" customFormat="1" ht="9.75" hidden="1" customHeight="1" x14ac:dyDescent="0.3">
      <c r="A269" s="99">
        <v>46240</v>
      </c>
      <c r="B269" s="59">
        <v>8150026</v>
      </c>
      <c r="C269" s="60" t="s">
        <v>50</v>
      </c>
      <c r="D269" s="60" t="s">
        <v>329</v>
      </c>
      <c r="E269" s="61">
        <v>0.375</v>
      </c>
      <c r="F269" s="60" t="s">
        <v>13</v>
      </c>
      <c r="G269" s="71" t="s">
        <v>31</v>
      </c>
      <c r="H269" s="62">
        <v>46240.365277777775</v>
      </c>
      <c r="I269" s="113" t="str">
        <f t="shared" si="66"/>
        <v>06-08-2026T08:46:00</v>
      </c>
      <c r="J269" s="62">
        <v>46241.072222222225</v>
      </c>
      <c r="K269" s="62"/>
      <c r="L269" s="63">
        <f t="shared" si="61"/>
        <v>0.70694444444961846</v>
      </c>
      <c r="M269" s="64">
        <v>0.75</v>
      </c>
      <c r="N269" s="65" t="str">
        <f t="shared" si="67"/>
        <v>01:02:00</v>
      </c>
      <c r="O269" s="66"/>
      <c r="P269" s="124"/>
      <c r="Q269" s="67" t="s">
        <v>45</v>
      </c>
      <c r="R269" s="68">
        <v>46240.875</v>
      </c>
      <c r="S269" s="68">
        <v>46240.944444444445</v>
      </c>
      <c r="T269" s="69">
        <f t="shared" si="68"/>
        <v>6.9444444445252884E-2</v>
      </c>
      <c r="U269" s="61"/>
      <c r="V269" s="83">
        <v>8.3333333333333329E-2</v>
      </c>
      <c r="W269" s="61">
        <f t="shared" si="60"/>
        <v>-1.3888888888080445E-2</v>
      </c>
      <c r="X269" s="172">
        <v>46240.365277777775</v>
      </c>
      <c r="Y269" s="172">
        <v>46241.072222222225</v>
      </c>
      <c r="Z269" s="173">
        <f t="shared" si="62"/>
        <v>0.70694444444961846</v>
      </c>
      <c r="AA269" s="174">
        <f t="shared" si="63"/>
        <v>0.75</v>
      </c>
      <c r="AB269" s="175" t="str">
        <f t="shared" si="64"/>
        <v>01:02:00</v>
      </c>
      <c r="AC269" s="175" t="b">
        <f t="shared" si="65"/>
        <v>1</v>
      </c>
    </row>
    <row r="270" spans="1:30" s="127" customFormat="1" ht="9.75" hidden="1" customHeight="1" x14ac:dyDescent="0.3">
      <c r="A270" s="98">
        <v>46240</v>
      </c>
      <c r="B270" s="48">
        <v>8150068</v>
      </c>
      <c r="C270" s="49" t="s">
        <v>105</v>
      </c>
      <c r="D270" s="49" t="s">
        <v>386</v>
      </c>
      <c r="E270" s="50">
        <v>0.375</v>
      </c>
      <c r="F270" s="49" t="s">
        <v>13</v>
      </c>
      <c r="G270" s="70" t="s">
        <v>47</v>
      </c>
      <c r="H270" s="51">
        <v>46240.375</v>
      </c>
      <c r="I270" s="113" t="str">
        <f t="shared" si="66"/>
        <v>06-08-2026T09:00:00</v>
      </c>
      <c r="J270" s="51">
        <v>46242.451388888891</v>
      </c>
      <c r="K270" s="51"/>
      <c r="L270" s="52">
        <f t="shared" si="61"/>
        <v>2.0763888888905058</v>
      </c>
      <c r="M270" s="53">
        <v>1.9166666666666667</v>
      </c>
      <c r="N270" s="54" t="str">
        <f t="shared" si="67"/>
        <v>-03:50:00</v>
      </c>
      <c r="O270" s="55">
        <v>800</v>
      </c>
      <c r="P270" s="125" t="s">
        <v>497</v>
      </c>
      <c r="Q270" s="56" t="s">
        <v>96</v>
      </c>
      <c r="R270" s="57">
        <v>46242.240972222222</v>
      </c>
      <c r="S270" s="57">
        <v>46242.305555555555</v>
      </c>
      <c r="T270" s="58">
        <f t="shared" si="68"/>
        <v>6.4583333332848269E-2</v>
      </c>
      <c r="U270" s="50"/>
      <c r="V270" s="74">
        <v>8.3333333333333329E-2</v>
      </c>
      <c r="W270" s="50">
        <f t="shared" si="60"/>
        <v>-1.8750000000485059E-2</v>
      </c>
      <c r="X270" s="171">
        <v>46240.375</v>
      </c>
      <c r="Y270" s="171">
        <v>46242.451388888891</v>
      </c>
      <c r="Z270" s="168">
        <f t="shared" si="62"/>
        <v>2.0763888888905058</v>
      </c>
      <c r="AA270" s="169">
        <f t="shared" si="63"/>
        <v>1.9166666666666667</v>
      </c>
      <c r="AB270" s="170" t="str">
        <f t="shared" si="64"/>
        <v>-03:50:00</v>
      </c>
      <c r="AC270" s="170" t="b">
        <f t="shared" si="65"/>
        <v>1</v>
      </c>
      <c r="AD270"/>
    </row>
    <row r="271" spans="1:30" ht="9.75" hidden="1" customHeight="1" x14ac:dyDescent="0.3">
      <c r="A271" s="98">
        <v>46240</v>
      </c>
      <c r="B271" s="48">
        <v>8150099</v>
      </c>
      <c r="C271" s="49" t="s">
        <v>86</v>
      </c>
      <c r="D271" s="49" t="s">
        <v>182</v>
      </c>
      <c r="E271" s="50">
        <v>0.41666666666666669</v>
      </c>
      <c r="F271" s="49" t="s">
        <v>31</v>
      </c>
      <c r="G271" s="70" t="s">
        <v>13</v>
      </c>
      <c r="H271" s="51">
        <v>46240.40347222222</v>
      </c>
      <c r="I271" s="113" t="str">
        <f t="shared" si="66"/>
        <v>06-08-2026T09:41:00</v>
      </c>
      <c r="J271" s="51">
        <v>46241.178472222222</v>
      </c>
      <c r="K271" s="51"/>
      <c r="L271" s="52">
        <f t="shared" si="61"/>
        <v>0.77500000000145519</v>
      </c>
      <c r="M271" s="53">
        <v>0.75</v>
      </c>
      <c r="N271" s="54" t="str">
        <f t="shared" si="67"/>
        <v>-00:36:00</v>
      </c>
      <c r="O271" s="55">
        <v>400</v>
      </c>
      <c r="P271" s="125" t="s">
        <v>498</v>
      </c>
      <c r="Q271" s="56" t="s">
        <v>45</v>
      </c>
      <c r="R271" s="57">
        <v>46240.535416666666</v>
      </c>
      <c r="S271" s="57">
        <v>46240.59375</v>
      </c>
      <c r="T271" s="58">
        <f t="shared" si="68"/>
        <v>5.8333333334303461E-2</v>
      </c>
      <c r="U271" s="50"/>
      <c r="V271" s="74">
        <v>8.3333333333333329E-2</v>
      </c>
      <c r="W271" s="50">
        <f t="shared" si="60"/>
        <v>-2.4999999999029868E-2</v>
      </c>
      <c r="X271" s="171">
        <v>46240.40347222222</v>
      </c>
      <c r="Y271" s="171">
        <v>46241.178472222222</v>
      </c>
      <c r="Z271" s="168">
        <f t="shared" si="62"/>
        <v>0.77500000000145519</v>
      </c>
      <c r="AA271" s="169">
        <f t="shared" si="63"/>
        <v>0.75</v>
      </c>
      <c r="AB271" s="170" t="str">
        <f t="shared" si="64"/>
        <v>-00:36:00</v>
      </c>
      <c r="AC271" s="170" t="b">
        <f t="shared" si="65"/>
        <v>1</v>
      </c>
    </row>
    <row r="272" spans="1:30" ht="9.75" hidden="1" customHeight="1" x14ac:dyDescent="0.3">
      <c r="A272" s="99">
        <v>46240</v>
      </c>
      <c r="B272" s="59">
        <v>8150296</v>
      </c>
      <c r="C272" s="60" t="s">
        <v>51</v>
      </c>
      <c r="D272" s="60" t="s">
        <v>295</v>
      </c>
      <c r="E272" s="61">
        <v>0.41666666666666669</v>
      </c>
      <c r="F272" s="60" t="s">
        <v>13</v>
      </c>
      <c r="G272" s="71" t="s">
        <v>49</v>
      </c>
      <c r="H272" s="62">
        <v>0.48472222222222222</v>
      </c>
      <c r="I272" s="113" t="str">
        <f t="shared" si="66"/>
        <v>06-08-2026T11:38:00</v>
      </c>
      <c r="J272" s="62">
        <v>0.97499999999999998</v>
      </c>
      <c r="K272" s="62"/>
      <c r="L272" s="63">
        <f t="shared" si="61"/>
        <v>0.49027777777777776</v>
      </c>
      <c r="M272" s="64">
        <v>0.5</v>
      </c>
      <c r="N272" s="65" t="str">
        <f t="shared" si="67"/>
        <v>00:14:00</v>
      </c>
      <c r="O272" s="66"/>
      <c r="P272" s="124"/>
      <c r="Q272" s="67"/>
      <c r="R272" s="68"/>
      <c r="S272" s="68"/>
      <c r="T272" s="69">
        <f t="shared" si="68"/>
        <v>0</v>
      </c>
      <c r="U272" s="61"/>
      <c r="V272" s="83">
        <v>0</v>
      </c>
      <c r="W272" s="61">
        <f t="shared" si="60"/>
        <v>0</v>
      </c>
      <c r="X272" s="171">
        <v>46240.484722222223</v>
      </c>
      <c r="Y272" s="171">
        <v>46240.974999999999</v>
      </c>
      <c r="Z272" s="168">
        <f t="shared" si="62"/>
        <v>0.49027777777519077</v>
      </c>
      <c r="AA272" s="169">
        <f t="shared" si="63"/>
        <v>0.5</v>
      </c>
      <c r="AB272" s="170" t="str">
        <f t="shared" si="64"/>
        <v>00:14:00</v>
      </c>
      <c r="AC272" s="170" t="b">
        <f t="shared" si="65"/>
        <v>1</v>
      </c>
    </row>
    <row r="273" spans="1:29" ht="9.75" customHeight="1" x14ac:dyDescent="0.3">
      <c r="A273" s="99">
        <v>46240</v>
      </c>
      <c r="B273" s="59">
        <v>8149046</v>
      </c>
      <c r="C273" s="60" t="s">
        <v>90</v>
      </c>
      <c r="D273" s="60" t="s">
        <v>290</v>
      </c>
      <c r="E273" s="61">
        <v>0.99930555555555556</v>
      </c>
      <c r="F273" s="60" t="s">
        <v>13</v>
      </c>
      <c r="G273" s="71" t="s">
        <v>15</v>
      </c>
      <c r="H273" s="62">
        <v>1.8749999999999999E-2</v>
      </c>
      <c r="I273" s="113" t="str">
        <f t="shared" si="66"/>
        <v>06-08-2026T00:27:00</v>
      </c>
      <c r="J273" s="62">
        <v>0.24652777777777779</v>
      </c>
      <c r="K273" s="113" t="str">
        <f t="shared" ref="K273:K274" si="69">TEXT(A273,"dd-mm-yyyy")&amp;"T"&amp;TEXT(J273,"hh:mm:ss")</f>
        <v>06-08-2026T05:55:00</v>
      </c>
      <c r="L273" s="63">
        <f t="shared" si="61"/>
        <v>0.2277777777777778</v>
      </c>
      <c r="M273" s="64">
        <v>0.27083333333333331</v>
      </c>
      <c r="N273" s="65" t="str">
        <f t="shared" si="67"/>
        <v>01:02:00</v>
      </c>
      <c r="O273" s="66"/>
      <c r="P273" s="124"/>
      <c r="Q273" s="67" t="s">
        <v>13</v>
      </c>
      <c r="R273" s="68">
        <v>46240.040972222225</v>
      </c>
      <c r="S273" s="68">
        <v>46240.063194444447</v>
      </c>
      <c r="T273" s="69">
        <f t="shared" si="68"/>
        <v>2.2222222221898846E-2</v>
      </c>
      <c r="U273" s="61" t="s">
        <v>234</v>
      </c>
      <c r="V273" s="83">
        <v>4.1666666666666664E-2</v>
      </c>
      <c r="W273" s="61">
        <f t="shared" si="60"/>
        <v>-1.9444444444767818E-2</v>
      </c>
      <c r="X273" s="171">
        <v>46240.018750000003</v>
      </c>
      <c r="Y273" s="171">
        <v>46240.246527777781</v>
      </c>
      <c r="Z273" s="168">
        <f t="shared" si="62"/>
        <v>0.22777777777810115</v>
      </c>
      <c r="AA273" s="169">
        <f t="shared" si="63"/>
        <v>0.27083333333333331</v>
      </c>
      <c r="AB273" s="170" t="str">
        <f t="shared" si="64"/>
        <v>01:02:00</v>
      </c>
      <c r="AC273" s="170" t="b">
        <f t="shared" si="65"/>
        <v>1</v>
      </c>
    </row>
    <row r="274" spans="1:29" ht="9.75" hidden="1" customHeight="1" x14ac:dyDescent="0.3">
      <c r="A274" s="98">
        <v>46240</v>
      </c>
      <c r="B274" s="48">
        <v>8150157</v>
      </c>
      <c r="C274" s="49" t="s">
        <v>90</v>
      </c>
      <c r="D274" s="49" t="s">
        <v>290</v>
      </c>
      <c r="E274" s="50">
        <v>0.4375</v>
      </c>
      <c r="F274" s="49" t="s">
        <v>15</v>
      </c>
      <c r="G274" s="70" t="s">
        <v>13</v>
      </c>
      <c r="H274" s="51">
        <v>0.43541666666666667</v>
      </c>
      <c r="I274" s="113" t="str">
        <f t="shared" si="66"/>
        <v>06-08-2026T10:27:00</v>
      </c>
      <c r="J274" s="51">
        <v>0.6645833333333333</v>
      </c>
      <c r="K274" s="113" t="str">
        <f t="shared" si="69"/>
        <v>06-08-2026T15:57:00</v>
      </c>
      <c r="L274" s="52">
        <f t="shared" si="61"/>
        <v>0.22916666666666663</v>
      </c>
      <c r="M274" s="53">
        <v>0.20833333333333334</v>
      </c>
      <c r="N274" s="54" t="str">
        <f t="shared" si="67"/>
        <v>-00:30:00</v>
      </c>
      <c r="O274" s="55">
        <v>200</v>
      </c>
      <c r="P274" s="125" t="s">
        <v>499</v>
      </c>
      <c r="Q274" s="56"/>
      <c r="R274" s="57"/>
      <c r="S274" s="57"/>
      <c r="T274" s="58">
        <f t="shared" si="68"/>
        <v>0</v>
      </c>
      <c r="U274" s="50"/>
      <c r="V274" s="74">
        <v>0</v>
      </c>
      <c r="W274" s="50">
        <f t="shared" si="60"/>
        <v>0</v>
      </c>
      <c r="X274" s="171">
        <v>46240.435416666667</v>
      </c>
      <c r="Y274" s="171">
        <v>46240.664583333331</v>
      </c>
      <c r="Z274" s="168">
        <f t="shared" si="62"/>
        <v>0.22916666666424135</v>
      </c>
      <c r="AA274" s="169">
        <f t="shared" si="63"/>
        <v>0.20833333333333334</v>
      </c>
      <c r="AB274" s="170" t="str">
        <f t="shared" si="64"/>
        <v>-00:30:00</v>
      </c>
      <c r="AC274" s="170" t="b">
        <f t="shared" si="65"/>
        <v>1</v>
      </c>
    </row>
    <row r="275" spans="1:29" ht="9.75" hidden="1" customHeight="1" x14ac:dyDescent="0.3">
      <c r="A275" s="99">
        <v>46240</v>
      </c>
      <c r="B275" s="59">
        <v>8150203</v>
      </c>
      <c r="C275" s="60" t="s">
        <v>54</v>
      </c>
      <c r="D275" s="60" t="s">
        <v>288</v>
      </c>
      <c r="E275" s="61">
        <v>0.45833333333333331</v>
      </c>
      <c r="F275" s="60" t="s">
        <v>13</v>
      </c>
      <c r="G275" s="71" t="s">
        <v>24</v>
      </c>
      <c r="H275" s="62">
        <v>0.45416666666666666</v>
      </c>
      <c r="I275" s="113" t="str">
        <f t="shared" si="66"/>
        <v>06-08-2026T10:54:00</v>
      </c>
      <c r="J275" s="62">
        <v>0.53125</v>
      </c>
      <c r="K275" s="62"/>
      <c r="L275" s="63">
        <f t="shared" si="61"/>
        <v>7.7083333333333337E-2</v>
      </c>
      <c r="M275" s="64">
        <v>8.3333333333333329E-2</v>
      </c>
      <c r="N275" s="65" t="str">
        <f t="shared" si="67"/>
        <v>00:09:00</v>
      </c>
      <c r="O275" s="66"/>
      <c r="P275" s="124"/>
      <c r="Q275" s="67"/>
      <c r="R275" s="68"/>
      <c r="S275" s="68"/>
      <c r="T275" s="69">
        <f t="shared" si="68"/>
        <v>0</v>
      </c>
      <c r="U275" s="61"/>
      <c r="V275" s="83">
        <v>0</v>
      </c>
      <c r="W275" s="61">
        <f t="shared" si="60"/>
        <v>0</v>
      </c>
      <c r="X275" s="171">
        <v>46240.45416666667</v>
      </c>
      <c r="Y275" s="171">
        <v>46240.53125</v>
      </c>
      <c r="Z275" s="168">
        <f t="shared" si="62"/>
        <v>7.7083333329937886E-2</v>
      </c>
      <c r="AA275" s="169">
        <f t="shared" si="63"/>
        <v>8.3333333333333329E-2</v>
      </c>
      <c r="AB275" s="170" t="str">
        <f t="shared" si="64"/>
        <v>00:09:00</v>
      </c>
      <c r="AC275" s="170" t="b">
        <f t="shared" si="65"/>
        <v>1</v>
      </c>
    </row>
    <row r="276" spans="1:29" ht="9.75" hidden="1" customHeight="1" x14ac:dyDescent="0.3">
      <c r="A276" s="98">
        <v>46240</v>
      </c>
      <c r="B276" s="48">
        <v>8150416</v>
      </c>
      <c r="C276" s="49" t="s">
        <v>34</v>
      </c>
      <c r="D276" s="49" t="s">
        <v>381</v>
      </c>
      <c r="E276" s="50">
        <v>0.5</v>
      </c>
      <c r="F276" s="49" t="s">
        <v>13</v>
      </c>
      <c r="G276" s="70" t="s">
        <v>103</v>
      </c>
      <c r="H276" s="51">
        <v>0.52013888888888893</v>
      </c>
      <c r="I276" s="113" t="str">
        <f t="shared" si="66"/>
        <v>06-08-2026T12:29:00</v>
      </c>
      <c r="J276" s="51">
        <v>46241.193055555559</v>
      </c>
      <c r="K276" s="51"/>
      <c r="L276" s="52">
        <f t="shared" si="61"/>
        <v>46240.67291666667</v>
      </c>
      <c r="M276" s="53">
        <v>0.625</v>
      </c>
      <c r="N276" s="54" t="str">
        <f t="shared" si="67"/>
        <v>-01:09:00</v>
      </c>
      <c r="O276" s="55" t="s">
        <v>778</v>
      </c>
      <c r="P276" s="125" t="s">
        <v>500</v>
      </c>
      <c r="Q276" s="56"/>
      <c r="R276" s="57"/>
      <c r="S276" s="57"/>
      <c r="T276" s="58">
        <f t="shared" si="68"/>
        <v>0</v>
      </c>
      <c r="U276" s="50" t="s">
        <v>234</v>
      </c>
      <c r="V276" s="74">
        <v>0</v>
      </c>
      <c r="W276" s="50">
        <f t="shared" si="60"/>
        <v>0</v>
      </c>
      <c r="X276" s="171">
        <v>46240.520138888889</v>
      </c>
      <c r="Y276" s="171">
        <v>46241.193055555559</v>
      </c>
      <c r="Z276" s="168">
        <f t="shared" si="62"/>
        <v>0.67291666667006211</v>
      </c>
      <c r="AA276" s="169">
        <f t="shared" si="63"/>
        <v>0.625</v>
      </c>
      <c r="AB276" s="170" t="str">
        <f t="shared" si="64"/>
        <v>-01:09:00</v>
      </c>
      <c r="AC276" s="170" t="b">
        <f t="shared" si="65"/>
        <v>1</v>
      </c>
    </row>
    <row r="277" spans="1:29" ht="9.75" hidden="1" customHeight="1" x14ac:dyDescent="0.3">
      <c r="A277" s="99">
        <v>46240</v>
      </c>
      <c r="B277" s="59">
        <v>8150334</v>
      </c>
      <c r="C277" s="60" t="s">
        <v>20</v>
      </c>
      <c r="D277" s="60" t="s">
        <v>232</v>
      </c>
      <c r="E277" s="61">
        <v>0.5</v>
      </c>
      <c r="F277" s="60" t="s">
        <v>13</v>
      </c>
      <c r="G277" s="71" t="s">
        <v>21</v>
      </c>
      <c r="H277" s="62">
        <v>0.49791666666666667</v>
      </c>
      <c r="I277" s="113" t="str">
        <f t="shared" si="66"/>
        <v>06-08-2026T11:57:00</v>
      </c>
      <c r="J277" s="62">
        <v>0.74305555555555558</v>
      </c>
      <c r="K277" s="62"/>
      <c r="L277" s="63">
        <f t="shared" si="61"/>
        <v>0.24513888888888891</v>
      </c>
      <c r="M277" s="64">
        <v>0.25</v>
      </c>
      <c r="N277" s="65" t="str">
        <f t="shared" si="67"/>
        <v>00:07:00</v>
      </c>
      <c r="O277" s="66"/>
      <c r="P277" s="124"/>
      <c r="Q277" s="67"/>
      <c r="R277" s="68"/>
      <c r="S277" s="68"/>
      <c r="T277" s="69">
        <f t="shared" si="68"/>
        <v>0</v>
      </c>
      <c r="U277" s="61"/>
      <c r="V277" s="83">
        <v>0</v>
      </c>
      <c r="W277" s="61">
        <f t="shared" si="60"/>
        <v>0</v>
      </c>
      <c r="X277" s="171">
        <v>46240.497916666667</v>
      </c>
      <c r="Y277" s="171">
        <v>46240.743055555555</v>
      </c>
      <c r="Z277" s="168">
        <f t="shared" si="62"/>
        <v>0.24513888888759539</v>
      </c>
      <c r="AA277" s="169">
        <f t="shared" si="63"/>
        <v>0.25</v>
      </c>
      <c r="AB277" s="170" t="str">
        <f t="shared" si="64"/>
        <v>00:07:00</v>
      </c>
      <c r="AC277" s="170" t="b">
        <f t="shared" si="65"/>
        <v>1</v>
      </c>
    </row>
    <row r="278" spans="1:29" ht="9.75" hidden="1" customHeight="1" x14ac:dyDescent="0.3">
      <c r="A278" s="99">
        <v>46240</v>
      </c>
      <c r="B278" s="59">
        <v>8150449</v>
      </c>
      <c r="C278" s="60" t="s">
        <v>52</v>
      </c>
      <c r="D278" s="60" t="s">
        <v>616</v>
      </c>
      <c r="E278" s="61">
        <v>0.54166666666666663</v>
      </c>
      <c r="F278" s="60" t="s">
        <v>13</v>
      </c>
      <c r="G278" s="71" t="s">
        <v>15</v>
      </c>
      <c r="H278" s="62">
        <v>0.53749999999999998</v>
      </c>
      <c r="I278" s="113" t="str">
        <f t="shared" si="66"/>
        <v>06-08-2026T12:54:00</v>
      </c>
      <c r="J278" s="62">
        <v>0.74583333333333335</v>
      </c>
      <c r="K278" s="62"/>
      <c r="L278" s="63">
        <f t="shared" si="61"/>
        <v>0.20833333333333337</v>
      </c>
      <c r="M278" s="64">
        <v>0.20833333333333334</v>
      </c>
      <c r="N278" s="65" t="str">
        <f t="shared" si="67"/>
        <v>-00:00:00</v>
      </c>
      <c r="O278" s="66"/>
      <c r="P278" s="124"/>
      <c r="Q278" s="67"/>
      <c r="R278" s="68"/>
      <c r="S278" s="68"/>
      <c r="T278" s="69">
        <f t="shared" si="68"/>
        <v>0</v>
      </c>
      <c r="U278" s="61" t="s">
        <v>234</v>
      </c>
      <c r="V278" s="83">
        <v>0</v>
      </c>
      <c r="W278" s="61">
        <f t="shared" si="60"/>
        <v>0</v>
      </c>
      <c r="X278" s="171">
        <v>46240.537499999999</v>
      </c>
      <c r="Y278" s="171">
        <v>46240.745833333334</v>
      </c>
      <c r="Z278" s="168">
        <f t="shared" si="62"/>
        <v>0.20833333333575865</v>
      </c>
      <c r="AA278" s="169">
        <f t="shared" si="63"/>
        <v>0.20833333333333334</v>
      </c>
      <c r="AB278" s="170" t="str">
        <f t="shared" si="64"/>
        <v>-00:00:00</v>
      </c>
      <c r="AC278" s="170" t="b">
        <f t="shared" si="65"/>
        <v>1</v>
      </c>
    </row>
    <row r="279" spans="1:29" s="128" customFormat="1" ht="9.75" hidden="1" customHeight="1" x14ac:dyDescent="0.3">
      <c r="A279" s="99">
        <v>46240</v>
      </c>
      <c r="B279" s="59">
        <v>8149163</v>
      </c>
      <c r="C279" s="60" t="s">
        <v>18</v>
      </c>
      <c r="D279" s="60" t="s">
        <v>389</v>
      </c>
      <c r="E279" s="61">
        <v>8.3333333333333329E-2</v>
      </c>
      <c r="F279" s="60" t="s">
        <v>13</v>
      </c>
      <c r="G279" s="71" t="s">
        <v>19</v>
      </c>
      <c r="H279" s="62">
        <v>8.4722222222222227E-2</v>
      </c>
      <c r="I279" s="113" t="str">
        <f t="shared" si="66"/>
        <v>06-08-2026T02:02:00</v>
      </c>
      <c r="J279" s="62">
        <v>0.5</v>
      </c>
      <c r="K279" s="62"/>
      <c r="L279" s="63">
        <f t="shared" si="61"/>
        <v>0.41527777777777775</v>
      </c>
      <c r="M279" s="64">
        <v>0.41666666666666669</v>
      </c>
      <c r="N279" s="65" t="str">
        <f t="shared" si="67"/>
        <v>00:02:00</v>
      </c>
      <c r="O279" s="66"/>
      <c r="P279" s="124"/>
      <c r="Q279" s="67" t="s">
        <v>229</v>
      </c>
      <c r="R279" s="68" t="s">
        <v>480</v>
      </c>
      <c r="S279" s="68" t="s">
        <v>480</v>
      </c>
      <c r="T279" s="69" t="e">
        <f t="shared" si="68"/>
        <v>#VALUE!</v>
      </c>
      <c r="U279" s="61"/>
      <c r="V279" s="83">
        <v>6.25E-2</v>
      </c>
      <c r="W279" s="61" t="e">
        <f t="shared" ref="W279:W307" si="70">T279-V279</f>
        <v>#VALUE!</v>
      </c>
      <c r="X279" s="171">
        <v>46250.084722222222</v>
      </c>
      <c r="Y279" s="171">
        <v>46250.5</v>
      </c>
      <c r="Z279" s="168">
        <f t="shared" si="62"/>
        <v>0.41527777777810115</v>
      </c>
      <c r="AA279" s="169">
        <f t="shared" si="63"/>
        <v>0.41666666666666669</v>
      </c>
      <c r="AB279" s="170" t="str">
        <f t="shared" si="64"/>
        <v>00:02:00</v>
      </c>
      <c r="AC279" s="170" t="b">
        <f t="shared" si="65"/>
        <v>1</v>
      </c>
    </row>
    <row r="280" spans="1:29" ht="9.75" hidden="1" customHeight="1" x14ac:dyDescent="0.3">
      <c r="A280" s="99">
        <v>46240</v>
      </c>
      <c r="B280" s="59">
        <v>8150720</v>
      </c>
      <c r="C280" s="60" t="s">
        <v>18</v>
      </c>
      <c r="D280" s="60" t="s">
        <v>389</v>
      </c>
      <c r="E280" s="61">
        <v>0.64583333333333337</v>
      </c>
      <c r="F280" s="60" t="s">
        <v>19</v>
      </c>
      <c r="G280" s="71" t="s">
        <v>13</v>
      </c>
      <c r="H280" s="62">
        <v>46240.636805555558</v>
      </c>
      <c r="I280" s="113" t="str">
        <f t="shared" si="66"/>
        <v>06-08-2026T15:17:00</v>
      </c>
      <c r="J280" s="62">
        <v>46241.072222222225</v>
      </c>
      <c r="K280" s="62"/>
      <c r="L280" s="63">
        <f t="shared" si="61"/>
        <v>0.43541666666715173</v>
      </c>
      <c r="M280" s="64">
        <v>0.4375</v>
      </c>
      <c r="N280" s="65" t="str">
        <f t="shared" si="67"/>
        <v>00:03:00</v>
      </c>
      <c r="O280" s="66"/>
      <c r="P280" s="124"/>
      <c r="Q280" s="67" t="s">
        <v>229</v>
      </c>
      <c r="R280" s="68">
        <v>46240.725694444445</v>
      </c>
      <c r="S280" s="68">
        <v>46240.810416666667</v>
      </c>
      <c r="T280" s="47">
        <f t="shared" si="68"/>
        <v>8.4722222221898846E-2</v>
      </c>
      <c r="U280" s="61"/>
      <c r="V280" s="83">
        <v>8.3333333333333329E-2</v>
      </c>
      <c r="W280" s="61">
        <f t="shared" si="70"/>
        <v>1.3888888885655176E-3</v>
      </c>
      <c r="X280" s="171">
        <v>46240.636805555558</v>
      </c>
      <c r="Y280" s="171">
        <v>46241.072222222225</v>
      </c>
      <c r="Z280" s="168">
        <f t="shared" si="62"/>
        <v>0.43541666666715173</v>
      </c>
      <c r="AA280" s="169">
        <f t="shared" si="63"/>
        <v>0.4375</v>
      </c>
      <c r="AB280" s="170" t="str">
        <f t="shared" si="64"/>
        <v>00:03:00</v>
      </c>
      <c r="AC280" s="170" t="b">
        <f t="shared" si="65"/>
        <v>1</v>
      </c>
    </row>
    <row r="281" spans="1:29" ht="9.75" hidden="1" customHeight="1" x14ac:dyDescent="0.3">
      <c r="A281" s="99">
        <v>46240</v>
      </c>
      <c r="B281" s="59">
        <v>8150953</v>
      </c>
      <c r="C281" s="60" t="s">
        <v>57</v>
      </c>
      <c r="D281" s="60" t="s">
        <v>370</v>
      </c>
      <c r="E281" s="61">
        <v>0.70833333333333337</v>
      </c>
      <c r="F281" s="60" t="s">
        <v>13</v>
      </c>
      <c r="G281" s="71" t="s">
        <v>24</v>
      </c>
      <c r="H281" s="62">
        <v>0.70972222222222225</v>
      </c>
      <c r="I281" s="113" t="str">
        <f t="shared" si="66"/>
        <v>06-08-2026T17:02:00</v>
      </c>
      <c r="J281" s="62">
        <v>0.79166666666666663</v>
      </c>
      <c r="K281" s="62"/>
      <c r="L281" s="63">
        <f t="shared" ref="L281:L307" si="71">J281-H281</f>
        <v>8.1944444444444375E-2</v>
      </c>
      <c r="M281" s="64">
        <v>8.3333333333333329E-2</v>
      </c>
      <c r="N281" s="65" t="str">
        <f t="shared" si="67"/>
        <v>00:02:00</v>
      </c>
      <c r="O281" s="66"/>
      <c r="P281" s="124"/>
      <c r="Q281" s="67"/>
      <c r="R281" s="68"/>
      <c r="S281" s="68"/>
      <c r="T281" s="69">
        <f t="shared" si="68"/>
        <v>0</v>
      </c>
      <c r="U281" s="61" t="s">
        <v>234</v>
      </c>
      <c r="V281" s="83">
        <v>0</v>
      </c>
      <c r="W281" s="61">
        <f t="shared" si="70"/>
        <v>0</v>
      </c>
      <c r="X281" s="171">
        <v>46240.709722222222</v>
      </c>
      <c r="Y281" s="171">
        <v>46240.791666666664</v>
      </c>
      <c r="Z281" s="168">
        <f t="shared" si="62"/>
        <v>8.1944444442342501E-2</v>
      </c>
      <c r="AA281" s="169">
        <f t="shared" si="63"/>
        <v>8.3333333333333329E-2</v>
      </c>
      <c r="AB281" s="170" t="str">
        <f t="shared" si="64"/>
        <v>00:02:00</v>
      </c>
      <c r="AC281" s="170" t="b">
        <f t="shared" si="65"/>
        <v>1</v>
      </c>
    </row>
    <row r="282" spans="1:29" ht="9.75" hidden="1" customHeight="1" x14ac:dyDescent="0.3">
      <c r="A282" s="99">
        <v>46240</v>
      </c>
      <c r="B282" s="59">
        <v>8151111</v>
      </c>
      <c r="C282" s="60" t="s">
        <v>84</v>
      </c>
      <c r="D282" s="60" t="s">
        <v>301</v>
      </c>
      <c r="E282" s="61">
        <v>0.70833333333333337</v>
      </c>
      <c r="F282" s="60" t="s">
        <v>85</v>
      </c>
      <c r="G282" s="71" t="s">
        <v>13</v>
      </c>
      <c r="H282" s="62">
        <v>46240.756249999999</v>
      </c>
      <c r="I282" s="113" t="str">
        <f t="shared" si="66"/>
        <v>06-08-2026T18:09:00</v>
      </c>
      <c r="J282" s="62">
        <v>46241.07708333333</v>
      </c>
      <c r="K282" s="62"/>
      <c r="L282" s="63">
        <f t="shared" si="71"/>
        <v>0.32083333333139308</v>
      </c>
      <c r="M282" s="64">
        <v>0.33333333333333331</v>
      </c>
      <c r="N282" s="65" t="str">
        <f t="shared" si="67"/>
        <v>00:18:00</v>
      </c>
      <c r="O282" s="66"/>
      <c r="P282" s="124"/>
      <c r="Q282" s="67" t="s">
        <v>174</v>
      </c>
      <c r="R282" s="68">
        <v>46240.8125</v>
      </c>
      <c r="S282" s="68">
        <v>46240.849305555559</v>
      </c>
      <c r="T282" s="69">
        <f t="shared" si="68"/>
        <v>3.680555555911269E-2</v>
      </c>
      <c r="U282" s="61"/>
      <c r="V282" s="83">
        <v>4.1666666666666664E-2</v>
      </c>
      <c r="W282" s="61">
        <f t="shared" si="70"/>
        <v>-4.861111107553974E-3</v>
      </c>
      <c r="X282" s="171">
        <v>46240.756249999999</v>
      </c>
      <c r="Y282" s="171">
        <v>46241.07708333333</v>
      </c>
      <c r="Z282" s="168">
        <f t="shared" si="62"/>
        <v>0.32083333333139308</v>
      </c>
      <c r="AA282" s="169">
        <f t="shared" si="63"/>
        <v>0.33333333333333331</v>
      </c>
      <c r="AB282" s="170" t="str">
        <f t="shared" si="64"/>
        <v>00:18:00</v>
      </c>
      <c r="AC282" s="170" t="b">
        <f t="shared" si="65"/>
        <v>1</v>
      </c>
    </row>
    <row r="283" spans="1:29" ht="9.75" hidden="1" customHeight="1" x14ac:dyDescent="0.3">
      <c r="A283" s="99">
        <v>46240</v>
      </c>
      <c r="B283" s="59">
        <v>8150979</v>
      </c>
      <c r="C283" s="60" t="s">
        <v>27</v>
      </c>
      <c r="D283" s="60" t="s">
        <v>378</v>
      </c>
      <c r="E283" s="61">
        <v>0.70833333333333337</v>
      </c>
      <c r="F283" s="60" t="s">
        <v>28</v>
      </c>
      <c r="G283" s="71" t="s">
        <v>13</v>
      </c>
      <c r="H283" s="62">
        <v>0.71805555555555556</v>
      </c>
      <c r="I283" s="113" t="str">
        <f t="shared" si="66"/>
        <v>06-08-2026T17:14:00</v>
      </c>
      <c r="J283" s="62">
        <v>0.88402777777777775</v>
      </c>
      <c r="K283" s="62"/>
      <c r="L283" s="63">
        <f t="shared" si="71"/>
        <v>0.16597222222222219</v>
      </c>
      <c r="M283" s="64">
        <v>0.16666666666666666</v>
      </c>
      <c r="N283" s="65" t="str">
        <f t="shared" si="67"/>
        <v>00:01:00</v>
      </c>
      <c r="O283" s="66"/>
      <c r="P283" s="124"/>
      <c r="Q283" s="67"/>
      <c r="R283" s="68"/>
      <c r="S283" s="68"/>
      <c r="T283" s="69">
        <f t="shared" si="68"/>
        <v>0</v>
      </c>
      <c r="U283" s="61"/>
      <c r="V283" s="83">
        <v>0</v>
      </c>
      <c r="W283" s="61">
        <f t="shared" si="70"/>
        <v>0</v>
      </c>
      <c r="X283" s="171">
        <v>46240.718055555553</v>
      </c>
      <c r="Y283" s="171">
        <v>46240.884027777778</v>
      </c>
      <c r="Z283" s="168">
        <f t="shared" si="62"/>
        <v>0.16597222222480923</v>
      </c>
      <c r="AA283" s="169">
        <f t="shared" si="63"/>
        <v>0.16666666666666666</v>
      </c>
      <c r="AB283" s="170" t="str">
        <f t="shared" si="64"/>
        <v>00:01:00</v>
      </c>
      <c r="AC283" s="170" t="b">
        <f t="shared" si="65"/>
        <v>1</v>
      </c>
    </row>
    <row r="284" spans="1:29" ht="9.75" hidden="1" customHeight="1" x14ac:dyDescent="0.3">
      <c r="A284" s="99">
        <v>46240</v>
      </c>
      <c r="B284" s="59">
        <v>8151016</v>
      </c>
      <c r="C284" s="60" t="s">
        <v>89</v>
      </c>
      <c r="D284" s="60" t="s">
        <v>294</v>
      </c>
      <c r="E284" s="61">
        <v>0.75</v>
      </c>
      <c r="F284" s="60" t="s">
        <v>35</v>
      </c>
      <c r="G284" s="71" t="s">
        <v>13</v>
      </c>
      <c r="H284" s="62">
        <v>0.73124999999999996</v>
      </c>
      <c r="I284" s="113" t="str">
        <f t="shared" si="66"/>
        <v>06-08-2026T17:33:00</v>
      </c>
      <c r="J284" s="62">
        <v>0.76111111111111107</v>
      </c>
      <c r="K284" s="62"/>
      <c r="L284" s="63">
        <f t="shared" si="71"/>
        <v>2.9861111111111116E-2</v>
      </c>
      <c r="M284" s="64">
        <v>4.1666666666666664E-2</v>
      </c>
      <c r="N284" s="65" t="str">
        <f t="shared" si="67"/>
        <v>00:17:00</v>
      </c>
      <c r="O284" s="66"/>
      <c r="P284" s="124"/>
      <c r="Q284" s="67"/>
      <c r="R284" s="68"/>
      <c r="S284" s="68"/>
      <c r="T284" s="69">
        <f t="shared" si="68"/>
        <v>0</v>
      </c>
      <c r="U284" s="61"/>
      <c r="V284" s="83">
        <v>0</v>
      </c>
      <c r="W284" s="61">
        <f t="shared" si="70"/>
        <v>0</v>
      </c>
      <c r="X284" s="171">
        <v>46240.731249999997</v>
      </c>
      <c r="Y284" s="171">
        <v>46240.761111111111</v>
      </c>
      <c r="Z284" s="168">
        <f t="shared" si="62"/>
        <v>2.9861111113859806E-2</v>
      </c>
      <c r="AA284" s="169">
        <f t="shared" si="63"/>
        <v>4.1666666666666664E-2</v>
      </c>
      <c r="AB284" s="170" t="str">
        <f t="shared" si="64"/>
        <v>00:17:00</v>
      </c>
      <c r="AC284" s="170" t="b">
        <f t="shared" si="65"/>
        <v>1</v>
      </c>
    </row>
    <row r="285" spans="1:29" ht="9.75" hidden="1" customHeight="1" x14ac:dyDescent="0.3">
      <c r="A285" s="99">
        <v>46240</v>
      </c>
      <c r="B285" s="59">
        <v>8151403</v>
      </c>
      <c r="C285" s="60" t="s">
        <v>32</v>
      </c>
      <c r="D285" s="60" t="s">
        <v>476</v>
      </c>
      <c r="E285" s="61">
        <v>0.83333333333333337</v>
      </c>
      <c r="F285" s="60" t="s">
        <v>287</v>
      </c>
      <c r="G285" s="71" t="s">
        <v>13</v>
      </c>
      <c r="H285" s="62">
        <v>0.84722222222222221</v>
      </c>
      <c r="I285" s="113" t="str">
        <f t="shared" si="66"/>
        <v>06-08-2026T20:20:00</v>
      </c>
      <c r="J285" s="62">
        <v>0.98958333333333337</v>
      </c>
      <c r="K285" s="62"/>
      <c r="L285" s="63">
        <f t="shared" si="71"/>
        <v>0.14236111111111116</v>
      </c>
      <c r="M285" s="64">
        <v>0.14583333333333334</v>
      </c>
      <c r="N285" s="65" t="str">
        <f t="shared" si="67"/>
        <v>00:05:00</v>
      </c>
      <c r="O285" s="66"/>
      <c r="P285" s="124"/>
      <c r="Q285" s="67"/>
      <c r="R285" s="68"/>
      <c r="S285" s="68"/>
      <c r="T285" s="69">
        <f t="shared" si="68"/>
        <v>0</v>
      </c>
      <c r="U285" s="61"/>
      <c r="V285" s="83">
        <v>0</v>
      </c>
      <c r="W285" s="61">
        <f t="shared" si="70"/>
        <v>0</v>
      </c>
      <c r="X285" s="171">
        <v>46240.847222222219</v>
      </c>
      <c r="Y285" s="171">
        <v>46240.989583333336</v>
      </c>
      <c r="Z285" s="168">
        <f t="shared" si="62"/>
        <v>0.14236111111677019</v>
      </c>
      <c r="AA285" s="169">
        <f t="shared" si="63"/>
        <v>0.14583333333333334</v>
      </c>
      <c r="AB285" s="170" t="str">
        <f t="shared" si="64"/>
        <v>00:05:00</v>
      </c>
      <c r="AC285" s="170" t="b">
        <f t="shared" si="65"/>
        <v>1</v>
      </c>
    </row>
    <row r="286" spans="1:29" ht="9.75" hidden="1" customHeight="1" x14ac:dyDescent="0.3">
      <c r="A286" s="98">
        <v>46240</v>
      </c>
      <c r="B286" s="48">
        <v>8151511</v>
      </c>
      <c r="C286" s="49" t="s">
        <v>56</v>
      </c>
      <c r="D286" s="49" t="s">
        <v>472</v>
      </c>
      <c r="E286" s="50">
        <v>0.875</v>
      </c>
      <c r="F286" s="49" t="s">
        <v>13</v>
      </c>
      <c r="G286" s="70" t="s">
        <v>15</v>
      </c>
      <c r="H286" s="51">
        <v>0.87430555555555556</v>
      </c>
      <c r="I286" s="113" t="str">
        <f t="shared" si="66"/>
        <v>06-08-2026T20:59:00</v>
      </c>
      <c r="J286" s="51">
        <v>46241.150694444441</v>
      </c>
      <c r="K286" s="51"/>
      <c r="L286" s="52">
        <f t="shared" si="71"/>
        <v>46240.276388888888</v>
      </c>
      <c r="M286" s="53">
        <v>0.20833333333333334</v>
      </c>
      <c r="N286" s="54" t="str">
        <f t="shared" si="67"/>
        <v>-01:38:00</v>
      </c>
      <c r="O286" s="55">
        <v>500</v>
      </c>
      <c r="P286" s="125" t="s">
        <v>501</v>
      </c>
      <c r="Q286" s="56"/>
      <c r="R286" s="57"/>
      <c r="S286" s="57"/>
      <c r="T286" s="58">
        <f t="shared" si="68"/>
        <v>0</v>
      </c>
      <c r="U286" s="50"/>
      <c r="V286" s="74">
        <v>0</v>
      </c>
      <c r="W286" s="50">
        <f t="shared" si="70"/>
        <v>0</v>
      </c>
      <c r="X286" s="171">
        <v>46240.874305555553</v>
      </c>
      <c r="Y286" s="171">
        <v>46241.150694444441</v>
      </c>
      <c r="Z286" s="168">
        <f t="shared" si="62"/>
        <v>0.27638888888759539</v>
      </c>
      <c r="AA286" s="169">
        <f t="shared" si="63"/>
        <v>0.20833333333333334</v>
      </c>
      <c r="AB286" s="170" t="str">
        <f t="shared" si="64"/>
        <v>-01:38:00</v>
      </c>
      <c r="AC286" s="170" t="b">
        <f t="shared" si="65"/>
        <v>1</v>
      </c>
    </row>
    <row r="287" spans="1:29" ht="9.75" hidden="1" customHeight="1" x14ac:dyDescent="0.3">
      <c r="A287" s="99">
        <v>46240</v>
      </c>
      <c r="B287" s="59">
        <v>8151274</v>
      </c>
      <c r="C287" s="60" t="s">
        <v>42</v>
      </c>
      <c r="D287" s="60" t="s">
        <v>181</v>
      </c>
      <c r="E287" s="61">
        <v>0.875</v>
      </c>
      <c r="F287" s="60" t="s">
        <v>55</v>
      </c>
      <c r="G287" s="71" t="s">
        <v>13</v>
      </c>
      <c r="H287" s="62">
        <v>0.81458333333333333</v>
      </c>
      <c r="I287" s="113" t="str">
        <f t="shared" si="66"/>
        <v>06-08-2026T19:33:00</v>
      </c>
      <c r="J287" s="62">
        <v>0.86319444444444449</v>
      </c>
      <c r="K287" s="62"/>
      <c r="L287" s="63">
        <f t="shared" si="71"/>
        <v>4.861111111111116E-2</v>
      </c>
      <c r="M287" s="64">
        <v>6.25E-2</v>
      </c>
      <c r="N287" s="65" t="str">
        <f t="shared" si="67"/>
        <v>00:20:00</v>
      </c>
      <c r="O287" s="66"/>
      <c r="P287" s="124"/>
      <c r="Q287" s="67"/>
      <c r="R287" s="68"/>
      <c r="S287" s="68"/>
      <c r="T287" s="69">
        <f t="shared" si="68"/>
        <v>0</v>
      </c>
      <c r="U287" s="61"/>
      <c r="V287" s="83">
        <v>0</v>
      </c>
      <c r="W287" s="61">
        <f t="shared" si="70"/>
        <v>0</v>
      </c>
      <c r="X287" s="171">
        <v>46240.814583333333</v>
      </c>
      <c r="Y287" s="171">
        <v>46240.863194444442</v>
      </c>
      <c r="Z287" s="168">
        <f t="shared" si="62"/>
        <v>4.8611111109494232E-2</v>
      </c>
      <c r="AA287" s="169">
        <f t="shared" si="63"/>
        <v>6.25E-2</v>
      </c>
      <c r="AB287" s="170" t="str">
        <f t="shared" si="64"/>
        <v>00:20:00</v>
      </c>
      <c r="AC287" s="170" t="b">
        <f t="shared" si="65"/>
        <v>1</v>
      </c>
    </row>
    <row r="288" spans="1:29" s="128" customFormat="1" ht="9.75" hidden="1" customHeight="1" x14ac:dyDescent="0.3">
      <c r="A288" s="99">
        <v>46240</v>
      </c>
      <c r="B288" s="59">
        <v>8150894</v>
      </c>
      <c r="C288" s="60" t="s">
        <v>102</v>
      </c>
      <c r="D288" s="60" t="s">
        <v>384</v>
      </c>
      <c r="E288" s="61">
        <v>0.875</v>
      </c>
      <c r="F288" s="60" t="s">
        <v>13</v>
      </c>
      <c r="G288" s="71" t="s">
        <v>23</v>
      </c>
      <c r="H288" s="62">
        <v>46240.689583333333</v>
      </c>
      <c r="I288" s="113" t="str">
        <f t="shared" si="66"/>
        <v>06-08-2026T16:33:00</v>
      </c>
      <c r="J288" s="62">
        <v>46241.819444444445</v>
      </c>
      <c r="K288" s="62"/>
      <c r="L288" s="63">
        <f t="shared" si="71"/>
        <v>1.1298611111124046</v>
      </c>
      <c r="M288" s="64">
        <v>1</v>
      </c>
      <c r="N288" s="65" t="str">
        <f t="shared" si="67"/>
        <v>-03:07:00</v>
      </c>
      <c r="O288" s="66"/>
      <c r="P288" s="126" t="s">
        <v>403</v>
      </c>
      <c r="Q288" s="67"/>
      <c r="R288" s="68"/>
      <c r="S288" s="68"/>
      <c r="T288" s="69">
        <f t="shared" si="68"/>
        <v>0</v>
      </c>
      <c r="U288" s="61"/>
      <c r="V288" s="83">
        <v>0</v>
      </c>
      <c r="W288" s="61">
        <f t="shared" si="70"/>
        <v>0</v>
      </c>
      <c r="X288" s="172">
        <v>46240.689583333333</v>
      </c>
      <c r="Y288" s="172">
        <v>46241.819444444445</v>
      </c>
      <c r="Z288" s="173">
        <f t="shared" si="62"/>
        <v>1.1298611111124046</v>
      </c>
      <c r="AA288" s="174">
        <f t="shared" si="63"/>
        <v>1</v>
      </c>
      <c r="AB288" s="175" t="str">
        <f t="shared" si="64"/>
        <v>-03:07:00</v>
      </c>
      <c r="AC288" s="175" t="b">
        <f t="shared" si="65"/>
        <v>1</v>
      </c>
    </row>
    <row r="289" spans="1:30" ht="9.75" hidden="1" customHeight="1" x14ac:dyDescent="0.3">
      <c r="A289" s="99">
        <v>46240</v>
      </c>
      <c r="B289" s="59">
        <v>8151491</v>
      </c>
      <c r="C289" s="60" t="s">
        <v>41</v>
      </c>
      <c r="D289" s="60" t="s">
        <v>299</v>
      </c>
      <c r="E289" s="61">
        <v>0.875</v>
      </c>
      <c r="F289" s="60" t="s">
        <v>24</v>
      </c>
      <c r="G289" s="71" t="s">
        <v>13</v>
      </c>
      <c r="H289" s="62">
        <v>0.87152777777777779</v>
      </c>
      <c r="I289" s="113" t="str">
        <f t="shared" si="66"/>
        <v>06-08-2026T20:55:00</v>
      </c>
      <c r="J289" s="62">
        <v>0.94722222222222219</v>
      </c>
      <c r="K289" s="62"/>
      <c r="L289" s="63">
        <f t="shared" si="71"/>
        <v>7.5694444444444398E-2</v>
      </c>
      <c r="M289" s="64">
        <v>8.3333333333333329E-2</v>
      </c>
      <c r="N289" s="65" t="str">
        <f t="shared" si="67"/>
        <v>00:11:00</v>
      </c>
      <c r="O289" s="66"/>
      <c r="P289" s="124"/>
      <c r="Q289" s="67"/>
      <c r="R289" s="68"/>
      <c r="S289" s="68"/>
      <c r="T289" s="69">
        <f t="shared" si="68"/>
        <v>0</v>
      </c>
      <c r="U289" s="61"/>
      <c r="V289" s="83">
        <v>0</v>
      </c>
      <c r="W289" s="61">
        <f t="shared" si="70"/>
        <v>0</v>
      </c>
      <c r="X289" s="171">
        <v>46240.871527777781</v>
      </c>
      <c r="Y289" s="171">
        <v>46240.947222222225</v>
      </c>
      <c r="Z289" s="168">
        <f t="shared" si="62"/>
        <v>7.5694444443797693E-2</v>
      </c>
      <c r="AA289" s="169">
        <f t="shared" si="63"/>
        <v>8.3333333333333329E-2</v>
      </c>
      <c r="AB289" s="170" t="str">
        <f t="shared" si="64"/>
        <v>00:11:00</v>
      </c>
      <c r="AC289" s="170" t="b">
        <f t="shared" si="65"/>
        <v>1</v>
      </c>
    </row>
    <row r="290" spans="1:30" s="128" customFormat="1" ht="9.75" hidden="1" customHeight="1" x14ac:dyDescent="0.3">
      <c r="A290" s="99">
        <v>46240</v>
      </c>
      <c r="B290" s="59">
        <v>8151731</v>
      </c>
      <c r="C290" s="60" t="s">
        <v>175</v>
      </c>
      <c r="D290" s="60" t="s">
        <v>306</v>
      </c>
      <c r="E290" s="61">
        <v>0.95833333333333337</v>
      </c>
      <c r="F290" s="60" t="s">
        <v>173</v>
      </c>
      <c r="G290" s="71" t="s">
        <v>13</v>
      </c>
      <c r="H290" s="62">
        <v>46240.953472222223</v>
      </c>
      <c r="I290" s="113" t="str">
        <f t="shared" si="66"/>
        <v>06-08-2026T22:53:00</v>
      </c>
      <c r="J290" s="62">
        <v>46242.77847222222</v>
      </c>
      <c r="K290" s="62"/>
      <c r="L290" s="63">
        <f t="shared" si="71"/>
        <v>1.8249999999970896</v>
      </c>
      <c r="M290" s="64">
        <v>1.9166666666666667</v>
      </c>
      <c r="N290" s="65" t="str">
        <f t="shared" si="67"/>
        <v>02:12:00</v>
      </c>
      <c r="O290" s="66"/>
      <c r="P290" s="124" t="s">
        <v>479</v>
      </c>
      <c r="Q290" s="67" t="s">
        <v>96</v>
      </c>
      <c r="R290" s="68">
        <v>46241.084027777775</v>
      </c>
      <c r="S290" s="68">
        <v>46241.152777777781</v>
      </c>
      <c r="T290" s="69">
        <f t="shared" si="68"/>
        <v>6.8750000005820766E-2</v>
      </c>
      <c r="U290" s="61"/>
      <c r="V290" s="83">
        <v>8.3333333333333329E-2</v>
      </c>
      <c r="W290" s="61">
        <f t="shared" si="70"/>
        <v>-1.4583333327512563E-2</v>
      </c>
      <c r="X290" s="171">
        <v>46240.953472222223</v>
      </c>
      <c r="Y290" s="171">
        <v>46242.77847222222</v>
      </c>
      <c r="Z290" s="168">
        <f t="shared" si="62"/>
        <v>1.8249999999970896</v>
      </c>
      <c r="AA290" s="169">
        <f t="shared" si="63"/>
        <v>1.9166666666666667</v>
      </c>
      <c r="AB290" s="170" t="str">
        <f t="shared" si="64"/>
        <v>02:12:00</v>
      </c>
      <c r="AC290" s="170" t="b">
        <f t="shared" si="65"/>
        <v>1</v>
      </c>
    </row>
    <row r="291" spans="1:30" ht="9.75" hidden="1" customHeight="1" x14ac:dyDescent="0.3">
      <c r="A291" s="99">
        <v>46240</v>
      </c>
      <c r="B291" s="59">
        <v>8151817</v>
      </c>
      <c r="C291" s="60" t="s">
        <v>52</v>
      </c>
      <c r="D291" s="60" t="s">
        <v>616</v>
      </c>
      <c r="E291" s="61">
        <v>0.99930555555555556</v>
      </c>
      <c r="F291" s="60" t="s">
        <v>15</v>
      </c>
      <c r="G291" s="71" t="s">
        <v>13</v>
      </c>
      <c r="H291" s="62">
        <v>46240.99722222222</v>
      </c>
      <c r="I291" s="113" t="str">
        <f t="shared" si="66"/>
        <v>06-08-2026T23:56:00</v>
      </c>
      <c r="J291" s="62">
        <v>46241.20208333333</v>
      </c>
      <c r="K291" s="62"/>
      <c r="L291" s="63">
        <f t="shared" si="71"/>
        <v>0.20486111110949423</v>
      </c>
      <c r="M291" s="64">
        <v>0.20833333333333334</v>
      </c>
      <c r="N291" s="65" t="str">
        <f t="shared" si="67"/>
        <v>00:05:00</v>
      </c>
      <c r="O291" s="66"/>
      <c r="P291" s="124"/>
      <c r="Q291" s="67"/>
      <c r="R291" s="68"/>
      <c r="S291" s="68"/>
      <c r="T291" s="69">
        <f t="shared" si="68"/>
        <v>0</v>
      </c>
      <c r="U291" s="61"/>
      <c r="V291" s="83">
        <v>0</v>
      </c>
      <c r="W291" s="61">
        <f t="shared" si="70"/>
        <v>0</v>
      </c>
      <c r="X291" s="171">
        <v>46240.99722222222</v>
      </c>
      <c r="Y291" s="171">
        <v>46241.20208333333</v>
      </c>
      <c r="Z291" s="168">
        <f t="shared" si="62"/>
        <v>0.20486111110949423</v>
      </c>
      <c r="AA291" s="169">
        <f t="shared" si="63"/>
        <v>0.20833333333333334</v>
      </c>
      <c r="AB291" s="170" t="str">
        <f t="shared" si="64"/>
        <v>00:05:00</v>
      </c>
      <c r="AC291" s="170" t="b">
        <f t="shared" si="65"/>
        <v>1</v>
      </c>
    </row>
    <row r="292" spans="1:30" ht="9.75" hidden="1" customHeight="1" x14ac:dyDescent="0.3">
      <c r="A292" s="99">
        <v>46240</v>
      </c>
      <c r="B292" s="59">
        <v>8151819</v>
      </c>
      <c r="C292" s="60" t="s">
        <v>54</v>
      </c>
      <c r="D292" s="60" t="s">
        <v>288</v>
      </c>
      <c r="E292" s="61">
        <v>0.99930555555555556</v>
      </c>
      <c r="F292" s="60" t="s">
        <v>24</v>
      </c>
      <c r="G292" s="71" t="s">
        <v>13</v>
      </c>
      <c r="H292" s="62">
        <v>46240.997916666667</v>
      </c>
      <c r="I292" s="113" t="str">
        <f t="shared" si="66"/>
        <v>06-08-2026T23:57:00</v>
      </c>
      <c r="J292" s="62">
        <v>46241.071527777778</v>
      </c>
      <c r="K292" s="62"/>
      <c r="L292" s="63">
        <f t="shared" si="71"/>
        <v>7.3611111110949423E-2</v>
      </c>
      <c r="M292" s="64">
        <v>8.3333333333333329E-2</v>
      </c>
      <c r="N292" s="65" t="str">
        <f t="shared" si="67"/>
        <v>00:14:00</v>
      </c>
      <c r="O292" s="66"/>
      <c r="P292" s="124"/>
      <c r="Q292" s="67"/>
      <c r="R292" s="68"/>
      <c r="S292" s="68"/>
      <c r="T292" s="69">
        <f t="shared" si="68"/>
        <v>0</v>
      </c>
      <c r="U292" s="61"/>
      <c r="V292" s="83">
        <v>0</v>
      </c>
      <c r="W292" s="61">
        <f t="shared" si="70"/>
        <v>0</v>
      </c>
      <c r="X292" s="171">
        <v>46240.997916666667</v>
      </c>
      <c r="Y292" s="171">
        <v>46241.071527777778</v>
      </c>
      <c r="Z292" s="168">
        <f t="shared" si="62"/>
        <v>7.3611111110949423E-2</v>
      </c>
      <c r="AA292" s="169">
        <f t="shared" si="63"/>
        <v>8.3333333333333329E-2</v>
      </c>
      <c r="AB292" s="170" t="str">
        <f t="shared" si="64"/>
        <v>00:14:00</v>
      </c>
      <c r="AC292" s="170" t="b">
        <f t="shared" si="65"/>
        <v>1</v>
      </c>
    </row>
    <row r="293" spans="1:30" s="144" customFormat="1" ht="9.75" hidden="1" customHeight="1" x14ac:dyDescent="0.3">
      <c r="A293" s="129">
        <v>46241</v>
      </c>
      <c r="B293" s="130">
        <v>8151910</v>
      </c>
      <c r="C293" s="131" t="s">
        <v>82</v>
      </c>
      <c r="D293" s="131" t="s">
        <v>333</v>
      </c>
      <c r="E293" s="132">
        <v>6.25E-2</v>
      </c>
      <c r="F293" s="131" t="s">
        <v>13</v>
      </c>
      <c r="G293" s="133" t="s">
        <v>26</v>
      </c>
      <c r="H293" s="134">
        <v>6.25E-2</v>
      </c>
      <c r="I293" s="113" t="str">
        <f t="shared" si="66"/>
        <v>07-08-2026T01:30:00</v>
      </c>
      <c r="J293" s="134">
        <v>0.53819444444444442</v>
      </c>
      <c r="K293" s="134"/>
      <c r="L293" s="135">
        <f t="shared" si="71"/>
        <v>0.47569444444444442</v>
      </c>
      <c r="M293" s="136">
        <v>0.41666666666666669</v>
      </c>
      <c r="N293" s="137" t="str">
        <f t="shared" ref="N293:N307" si="72">IF(M293-L293&gt;0,TEXT(M293-L293,"HH:MM:SS"),TEXT(ABS(M293-L293),"-HH:MM:SS"))</f>
        <v>-01:25:00</v>
      </c>
      <c r="O293" s="138"/>
      <c r="P293" s="145" t="s">
        <v>475</v>
      </c>
      <c r="Q293" s="140" t="s">
        <v>312</v>
      </c>
      <c r="R293" s="141">
        <v>46241.25</v>
      </c>
      <c r="S293" s="141">
        <v>46241.381944444445</v>
      </c>
      <c r="T293" s="142">
        <f t="shared" ref="T293:T307" si="73">S293-R293</f>
        <v>0.13194444444525288</v>
      </c>
      <c r="U293" s="132"/>
      <c r="V293" s="143">
        <v>4.1666666666666664E-2</v>
      </c>
      <c r="W293" s="132">
        <f t="shared" si="70"/>
        <v>9.0277777778586227E-2</v>
      </c>
      <c r="X293" s="171">
        <v>46241.0625</v>
      </c>
      <c r="Y293" s="171">
        <v>46241.538194444445</v>
      </c>
      <c r="Z293" s="168">
        <f t="shared" si="62"/>
        <v>0.47569444444525288</v>
      </c>
      <c r="AA293" s="169">
        <f t="shared" si="63"/>
        <v>0.41666666666666669</v>
      </c>
      <c r="AB293" s="170" t="str">
        <f t="shared" si="64"/>
        <v>-01:25:00</v>
      </c>
      <c r="AC293" s="170" t="b">
        <f t="shared" si="65"/>
        <v>1</v>
      </c>
    </row>
    <row r="294" spans="1:30" s="127" customFormat="1" ht="9.75" hidden="1" customHeight="1" x14ac:dyDescent="0.3">
      <c r="A294" s="98">
        <v>46241</v>
      </c>
      <c r="B294" s="48">
        <v>8151960</v>
      </c>
      <c r="C294" s="49" t="s">
        <v>53</v>
      </c>
      <c r="D294" s="49" t="s">
        <v>380</v>
      </c>
      <c r="E294" s="50">
        <v>8.3333333333333329E-2</v>
      </c>
      <c r="F294" s="49" t="s">
        <v>13</v>
      </c>
      <c r="G294" s="70" t="s">
        <v>19</v>
      </c>
      <c r="H294" s="51">
        <v>8.4027777777777785E-2</v>
      </c>
      <c r="I294" s="113" t="str">
        <f t="shared" si="66"/>
        <v>07-08-2026T02:01:00</v>
      </c>
      <c r="J294" s="51">
        <v>0.64513888888888893</v>
      </c>
      <c r="K294" s="51"/>
      <c r="L294" s="52">
        <f t="shared" si="71"/>
        <v>0.56111111111111112</v>
      </c>
      <c r="M294" s="53">
        <v>0.41666666666666669</v>
      </c>
      <c r="N294" s="54" t="str">
        <f t="shared" si="72"/>
        <v>-03:28:00</v>
      </c>
      <c r="O294" s="55">
        <v>800</v>
      </c>
      <c r="P294" s="125" t="s">
        <v>411</v>
      </c>
      <c r="Q294" s="56" t="s">
        <v>229</v>
      </c>
      <c r="R294" s="57">
        <v>46241.489583333336</v>
      </c>
      <c r="S294" s="57">
        <v>46241.53125</v>
      </c>
      <c r="T294" s="58">
        <f t="shared" si="73"/>
        <v>4.1666666664241347E-2</v>
      </c>
      <c r="U294" s="50"/>
      <c r="V294" s="74">
        <v>6.25E-2</v>
      </c>
      <c r="W294" s="50">
        <f t="shared" si="70"/>
        <v>-2.0833333335758653E-2</v>
      </c>
      <c r="X294" s="171">
        <v>46241.084027777775</v>
      </c>
      <c r="Y294" s="171">
        <v>46241.645138888889</v>
      </c>
      <c r="Z294" s="168">
        <f t="shared" si="62"/>
        <v>0.56111111111385981</v>
      </c>
      <c r="AA294" s="169">
        <f t="shared" si="63"/>
        <v>0.41666666666666669</v>
      </c>
      <c r="AB294" s="170" t="str">
        <f t="shared" si="64"/>
        <v>-03:28:00</v>
      </c>
      <c r="AC294" s="170" t="b">
        <f t="shared" si="65"/>
        <v>1</v>
      </c>
      <c r="AD294"/>
    </row>
    <row r="295" spans="1:30" s="127" customFormat="1" ht="9.75" hidden="1" customHeight="1" x14ac:dyDescent="0.3">
      <c r="A295" s="98">
        <v>46241</v>
      </c>
      <c r="B295" s="48">
        <v>8151940</v>
      </c>
      <c r="C295" s="49" t="s">
        <v>29</v>
      </c>
      <c r="D295" s="49" t="s">
        <v>373</v>
      </c>
      <c r="E295" s="50">
        <v>8.3333333333333329E-2</v>
      </c>
      <c r="F295" s="49" t="s">
        <v>15</v>
      </c>
      <c r="G295" s="70" t="s">
        <v>17</v>
      </c>
      <c r="H295" s="51">
        <v>46241.07916666667</v>
      </c>
      <c r="I295" s="113" t="str">
        <f t="shared" si="66"/>
        <v>07-08-2026T01:54:00</v>
      </c>
      <c r="J295" s="51">
        <v>46242.045138888891</v>
      </c>
      <c r="K295" s="51"/>
      <c r="L295" s="52">
        <f t="shared" si="71"/>
        <v>0.96597222222044365</v>
      </c>
      <c r="M295" s="53">
        <v>0.41666666666666669</v>
      </c>
      <c r="N295" s="54" t="str">
        <f t="shared" si="72"/>
        <v>-13:11:00</v>
      </c>
      <c r="O295" s="55">
        <f>250*14</f>
        <v>3500</v>
      </c>
      <c r="P295" s="125" t="s">
        <v>502</v>
      </c>
      <c r="Q295" s="56"/>
      <c r="R295" s="57"/>
      <c r="S295" s="57"/>
      <c r="T295" s="58">
        <f t="shared" si="73"/>
        <v>0</v>
      </c>
      <c r="U295" s="50"/>
      <c r="V295" s="74">
        <v>0</v>
      </c>
      <c r="W295" s="50">
        <f t="shared" si="70"/>
        <v>0</v>
      </c>
      <c r="X295" s="171">
        <v>46241.07916666667</v>
      </c>
      <c r="Y295" s="171">
        <v>46242.045138888891</v>
      </c>
      <c r="Z295" s="168">
        <f t="shared" si="62"/>
        <v>0.96597222222044365</v>
      </c>
      <c r="AA295" s="169">
        <f t="shared" si="63"/>
        <v>0.41666666666666669</v>
      </c>
      <c r="AB295" s="170" t="str">
        <f t="shared" si="64"/>
        <v>-13:11:00</v>
      </c>
      <c r="AC295" s="170" t="b">
        <f t="shared" si="65"/>
        <v>1</v>
      </c>
      <c r="AD295"/>
    </row>
    <row r="296" spans="1:30" s="128" customFormat="1" ht="9.75" hidden="1" customHeight="1" x14ac:dyDescent="0.3">
      <c r="A296" s="99">
        <v>46241</v>
      </c>
      <c r="B296" s="59">
        <v>8152057</v>
      </c>
      <c r="C296" s="60" t="s">
        <v>87</v>
      </c>
      <c r="D296" s="60" t="s">
        <v>367</v>
      </c>
      <c r="E296" s="61">
        <v>0.125</v>
      </c>
      <c r="F296" s="60" t="s">
        <v>13</v>
      </c>
      <c r="G296" s="71" t="s">
        <v>284</v>
      </c>
      <c r="H296" s="62">
        <v>0.12708333333333333</v>
      </c>
      <c r="I296" s="113" t="str">
        <f t="shared" si="66"/>
        <v>07-08-2026T03:03:00</v>
      </c>
      <c r="J296" s="62">
        <v>0.47013888888888888</v>
      </c>
      <c r="K296" s="62"/>
      <c r="L296" s="63">
        <f t="shared" si="71"/>
        <v>0.34305555555555556</v>
      </c>
      <c r="M296" s="64">
        <v>0.35416666666666669</v>
      </c>
      <c r="N296" s="65" t="str">
        <f t="shared" si="72"/>
        <v>00:16:00</v>
      </c>
      <c r="O296" s="66"/>
      <c r="P296" s="124"/>
      <c r="Q296" s="67" t="s">
        <v>174</v>
      </c>
      <c r="R296" s="68">
        <v>46241.375</v>
      </c>
      <c r="S296" s="68">
        <v>46241.394444444442</v>
      </c>
      <c r="T296" s="69">
        <f t="shared" si="73"/>
        <v>1.9444444442342501E-2</v>
      </c>
      <c r="U296" s="61" t="s">
        <v>234</v>
      </c>
      <c r="V296" s="83">
        <v>6.25E-2</v>
      </c>
      <c r="W296" s="61">
        <f t="shared" si="70"/>
        <v>-4.3055555557657499E-2</v>
      </c>
      <c r="X296" s="171">
        <v>46241.127083333333</v>
      </c>
      <c r="Y296" s="171">
        <v>46241.470138888886</v>
      </c>
      <c r="Z296" s="168">
        <f t="shared" si="62"/>
        <v>0.34305555555329192</v>
      </c>
      <c r="AA296" s="169">
        <f t="shared" si="63"/>
        <v>0.35416666666666669</v>
      </c>
      <c r="AB296" s="170" t="str">
        <f t="shared" si="64"/>
        <v>00:16:00</v>
      </c>
      <c r="AC296" s="170" t="b">
        <f t="shared" si="65"/>
        <v>1</v>
      </c>
    </row>
    <row r="297" spans="1:30" s="128" customFormat="1" ht="9.75" hidden="1" customHeight="1" x14ac:dyDescent="0.3">
      <c r="A297" s="99">
        <v>46241</v>
      </c>
      <c r="B297" s="59">
        <v>8152035</v>
      </c>
      <c r="C297" s="60" t="s">
        <v>57</v>
      </c>
      <c r="D297" s="60" t="s">
        <v>370</v>
      </c>
      <c r="E297" s="61">
        <v>0.125</v>
      </c>
      <c r="F297" s="60" t="s">
        <v>24</v>
      </c>
      <c r="G297" s="71" t="s">
        <v>13</v>
      </c>
      <c r="H297" s="62">
        <v>0.12291666666666666</v>
      </c>
      <c r="I297" s="113" t="str">
        <f t="shared" si="66"/>
        <v>07-08-2026T02:57:00</v>
      </c>
      <c r="J297" s="62">
        <v>0.19236111111111112</v>
      </c>
      <c r="K297" s="62"/>
      <c r="L297" s="63">
        <f t="shared" si="71"/>
        <v>6.9444444444444461E-2</v>
      </c>
      <c r="M297" s="64">
        <v>8.3333333333333329E-2</v>
      </c>
      <c r="N297" s="65" t="str">
        <f t="shared" si="72"/>
        <v>00:20:00</v>
      </c>
      <c r="O297" s="66"/>
      <c r="P297" s="124"/>
      <c r="Q297" s="67"/>
      <c r="R297" s="68"/>
      <c r="S297" s="68"/>
      <c r="T297" s="69">
        <f t="shared" si="73"/>
        <v>0</v>
      </c>
      <c r="U297" s="61"/>
      <c r="V297" s="83">
        <v>0</v>
      </c>
      <c r="W297" s="61">
        <f t="shared" si="70"/>
        <v>0</v>
      </c>
      <c r="X297" s="171">
        <v>46241.122916666667</v>
      </c>
      <c r="Y297" s="171">
        <v>46241.192361111112</v>
      </c>
      <c r="Z297" s="168">
        <f t="shared" si="62"/>
        <v>6.9444444445252884E-2</v>
      </c>
      <c r="AA297" s="169">
        <f t="shared" si="63"/>
        <v>8.3333333333333329E-2</v>
      </c>
      <c r="AB297" s="170" t="str">
        <f t="shared" si="64"/>
        <v>00:20:00</v>
      </c>
      <c r="AC297" s="170" t="b">
        <f t="shared" si="65"/>
        <v>1</v>
      </c>
    </row>
    <row r="298" spans="1:30" s="128" customFormat="1" ht="9.75" hidden="1" customHeight="1" x14ac:dyDescent="0.3">
      <c r="A298" s="99">
        <v>46241</v>
      </c>
      <c r="B298" s="59">
        <v>8152154</v>
      </c>
      <c r="C298" s="60" t="s">
        <v>41</v>
      </c>
      <c r="D298" s="60" t="s">
        <v>299</v>
      </c>
      <c r="E298" s="61">
        <v>0.16666666666666666</v>
      </c>
      <c r="F298" s="60" t="s">
        <v>13</v>
      </c>
      <c r="G298" s="71" t="s">
        <v>24</v>
      </c>
      <c r="H298" s="62">
        <v>0.16388888888888889</v>
      </c>
      <c r="I298" s="113" t="str">
        <f t="shared" si="66"/>
        <v>07-08-2026T03:56:00</v>
      </c>
      <c r="J298" s="62">
        <v>0.24305555555555555</v>
      </c>
      <c r="K298" s="62"/>
      <c r="L298" s="63">
        <f t="shared" si="71"/>
        <v>7.9166666666666663E-2</v>
      </c>
      <c r="M298" s="64">
        <v>8.3333333333333329E-2</v>
      </c>
      <c r="N298" s="65" t="str">
        <f t="shared" si="72"/>
        <v>00:06:00</v>
      </c>
      <c r="O298" s="66"/>
      <c r="P298" s="124"/>
      <c r="Q298" s="67"/>
      <c r="R298" s="68"/>
      <c r="S298" s="68"/>
      <c r="T298" s="69">
        <f t="shared" si="73"/>
        <v>0</v>
      </c>
      <c r="U298" s="61" t="s">
        <v>234</v>
      </c>
      <c r="V298" s="83">
        <v>0</v>
      </c>
      <c r="W298" s="61">
        <f t="shared" si="70"/>
        <v>0</v>
      </c>
      <c r="X298" s="171">
        <v>46241.163888888892</v>
      </c>
      <c r="Y298" s="171">
        <v>46241.243055555555</v>
      </c>
      <c r="Z298" s="168">
        <f t="shared" si="62"/>
        <v>7.9166666662786156E-2</v>
      </c>
      <c r="AA298" s="169">
        <f t="shared" si="63"/>
        <v>8.3333333333333329E-2</v>
      </c>
      <c r="AB298" s="170" t="str">
        <f t="shared" si="64"/>
        <v>00:06:00</v>
      </c>
      <c r="AC298" s="170" t="b">
        <f t="shared" si="65"/>
        <v>1</v>
      </c>
    </row>
    <row r="299" spans="1:30" s="128" customFormat="1" ht="9.75" hidden="1" customHeight="1" x14ac:dyDescent="0.3">
      <c r="A299" s="99">
        <v>46241</v>
      </c>
      <c r="B299" s="59">
        <v>8152197</v>
      </c>
      <c r="C299" s="60" t="s">
        <v>27</v>
      </c>
      <c r="D299" s="60" t="s">
        <v>378</v>
      </c>
      <c r="E299" s="61">
        <v>0.16666666666666666</v>
      </c>
      <c r="F299" s="60" t="s">
        <v>13</v>
      </c>
      <c r="G299" s="71" t="s">
        <v>28</v>
      </c>
      <c r="H299" s="62">
        <v>0.1701388888888889</v>
      </c>
      <c r="I299" s="113" t="str">
        <f t="shared" si="66"/>
        <v>07-08-2026T04:05:00</v>
      </c>
      <c r="J299" s="62">
        <v>0.33333333333333331</v>
      </c>
      <c r="K299" s="62"/>
      <c r="L299" s="63">
        <f t="shared" si="71"/>
        <v>0.16319444444444442</v>
      </c>
      <c r="M299" s="64">
        <v>0.16666666666666666</v>
      </c>
      <c r="N299" s="65" t="str">
        <f t="shared" si="72"/>
        <v>00:05:00</v>
      </c>
      <c r="O299" s="66"/>
      <c r="P299" s="124"/>
      <c r="Q299" s="67"/>
      <c r="R299" s="68"/>
      <c r="S299" s="68"/>
      <c r="T299" s="69">
        <f t="shared" si="73"/>
        <v>0</v>
      </c>
      <c r="U299" s="61" t="s">
        <v>234</v>
      </c>
      <c r="V299" s="83">
        <v>0</v>
      </c>
      <c r="W299" s="61">
        <f t="shared" si="70"/>
        <v>0</v>
      </c>
      <c r="X299" s="171">
        <v>46241.170138888891</v>
      </c>
      <c r="Y299" s="171">
        <v>46241.333333333336</v>
      </c>
      <c r="Z299" s="168">
        <f t="shared" si="62"/>
        <v>0.16319444444525288</v>
      </c>
      <c r="AA299" s="169">
        <f t="shared" si="63"/>
        <v>0.16666666666666666</v>
      </c>
      <c r="AB299" s="170" t="str">
        <f t="shared" si="64"/>
        <v>00:05:00</v>
      </c>
      <c r="AC299" s="170" t="b">
        <f t="shared" si="65"/>
        <v>1</v>
      </c>
    </row>
    <row r="300" spans="1:30" s="127" customFormat="1" ht="9.75" hidden="1" customHeight="1" x14ac:dyDescent="0.3">
      <c r="A300" s="98">
        <v>46241</v>
      </c>
      <c r="B300" s="48">
        <v>8152152</v>
      </c>
      <c r="C300" s="49" t="s">
        <v>44</v>
      </c>
      <c r="D300" s="49" t="s">
        <v>471</v>
      </c>
      <c r="E300" s="50">
        <v>0.16666666666666666</v>
      </c>
      <c r="F300" s="49" t="s">
        <v>31</v>
      </c>
      <c r="G300" s="70" t="s">
        <v>13</v>
      </c>
      <c r="H300" s="51">
        <v>46241.163888888892</v>
      </c>
      <c r="I300" s="113" t="str">
        <f t="shared" si="66"/>
        <v>07-08-2026T03:56:00</v>
      </c>
      <c r="J300" s="51">
        <v>46242.177083333336</v>
      </c>
      <c r="K300" s="51"/>
      <c r="L300" s="52">
        <f t="shared" si="71"/>
        <v>1.0131944444437977</v>
      </c>
      <c r="M300" s="53">
        <v>0.70833333333333337</v>
      </c>
      <c r="N300" s="54" t="str">
        <f t="shared" si="72"/>
        <v>-07:19:00</v>
      </c>
      <c r="O300" s="55">
        <v>1600</v>
      </c>
      <c r="P300" s="125" t="s">
        <v>437</v>
      </c>
      <c r="Q300" s="56" t="s">
        <v>13</v>
      </c>
      <c r="R300" s="57">
        <v>46242.13958333333</v>
      </c>
      <c r="S300" s="57">
        <v>46242.170138888891</v>
      </c>
      <c r="T300" s="58">
        <f t="shared" si="73"/>
        <v>3.0555555560567882E-2</v>
      </c>
      <c r="U300" s="50"/>
      <c r="V300" s="74">
        <v>8.3333333333333329E-2</v>
      </c>
      <c r="W300" s="50">
        <f t="shared" si="70"/>
        <v>-5.2777777772765447E-2</v>
      </c>
      <c r="X300" s="171">
        <v>46241.163888888892</v>
      </c>
      <c r="Y300" s="171">
        <v>46242.177083333336</v>
      </c>
      <c r="Z300" s="168">
        <f t="shared" si="62"/>
        <v>1.0131944444437977</v>
      </c>
      <c r="AA300" s="169">
        <f t="shared" si="63"/>
        <v>0.70833333333333337</v>
      </c>
      <c r="AB300" s="170" t="str">
        <f t="shared" si="64"/>
        <v>-07:19:00</v>
      </c>
      <c r="AC300" s="170" t="b">
        <f t="shared" si="65"/>
        <v>1</v>
      </c>
      <c r="AD300"/>
    </row>
    <row r="301" spans="1:30" s="127" customFormat="1" ht="9.75" hidden="1" customHeight="1" x14ac:dyDescent="0.3">
      <c r="A301" s="98">
        <v>46241</v>
      </c>
      <c r="B301" s="48">
        <v>8152180</v>
      </c>
      <c r="C301" s="49" t="s">
        <v>83</v>
      </c>
      <c r="D301" s="49" t="s">
        <v>454</v>
      </c>
      <c r="E301" s="50">
        <v>0.16666666666666666</v>
      </c>
      <c r="F301" s="49" t="s">
        <v>13</v>
      </c>
      <c r="G301" s="70" t="s">
        <v>14</v>
      </c>
      <c r="H301" s="51">
        <v>0.16666666666666666</v>
      </c>
      <c r="I301" s="113" t="str">
        <f t="shared" si="66"/>
        <v>07-08-2026T04:00:00</v>
      </c>
      <c r="J301" s="51">
        <v>0.72152777777777777</v>
      </c>
      <c r="K301" s="51"/>
      <c r="L301" s="52">
        <f t="shared" si="71"/>
        <v>0.55486111111111114</v>
      </c>
      <c r="M301" s="53">
        <v>0.54166666666666663</v>
      </c>
      <c r="N301" s="54" t="str">
        <f t="shared" si="72"/>
        <v>-00:19:00</v>
      </c>
      <c r="O301" s="55">
        <v>200</v>
      </c>
      <c r="P301" s="125" t="s">
        <v>437</v>
      </c>
      <c r="Q301" s="56"/>
      <c r="R301" s="57"/>
      <c r="S301" s="57"/>
      <c r="T301" s="58">
        <f t="shared" si="73"/>
        <v>0</v>
      </c>
      <c r="U301" s="50"/>
      <c r="V301" s="74">
        <v>0</v>
      </c>
      <c r="W301" s="50">
        <f t="shared" si="70"/>
        <v>0</v>
      </c>
      <c r="X301" s="171">
        <v>46241.166666666664</v>
      </c>
      <c r="Y301" s="171">
        <v>46241.72152777778</v>
      </c>
      <c r="Z301" s="168">
        <f t="shared" si="62"/>
        <v>0.554861111115315</v>
      </c>
      <c r="AA301" s="169">
        <f t="shared" si="63"/>
        <v>0.54166666666666663</v>
      </c>
      <c r="AB301" s="170" t="str">
        <f t="shared" si="64"/>
        <v>-00:19:00</v>
      </c>
      <c r="AC301" s="170" t="b">
        <f t="shared" si="65"/>
        <v>1</v>
      </c>
      <c r="AD301"/>
    </row>
    <row r="302" spans="1:30" s="128" customFormat="1" ht="9.75" hidden="1" customHeight="1" x14ac:dyDescent="0.3">
      <c r="A302" s="99">
        <v>46241</v>
      </c>
      <c r="B302" s="59">
        <v>8152385</v>
      </c>
      <c r="C302" s="60" t="s">
        <v>32</v>
      </c>
      <c r="D302" s="60" t="s">
        <v>476</v>
      </c>
      <c r="E302" s="61">
        <v>0.20833333333333334</v>
      </c>
      <c r="F302" s="60" t="s">
        <v>13</v>
      </c>
      <c r="G302" s="71" t="s">
        <v>287</v>
      </c>
      <c r="H302" s="62">
        <v>0.22013888888888888</v>
      </c>
      <c r="I302" s="113" t="str">
        <f t="shared" si="66"/>
        <v>07-08-2026T05:17:00</v>
      </c>
      <c r="J302" s="62">
        <v>0.3611111111111111</v>
      </c>
      <c r="K302" s="62"/>
      <c r="L302" s="63">
        <f t="shared" si="71"/>
        <v>0.14097222222222222</v>
      </c>
      <c r="M302" s="64">
        <v>0.14583333333333334</v>
      </c>
      <c r="N302" s="65" t="str">
        <f t="shared" si="72"/>
        <v>00:07:00</v>
      </c>
      <c r="O302" s="66"/>
      <c r="P302" s="124"/>
      <c r="Q302" s="67"/>
      <c r="R302" s="68"/>
      <c r="S302" s="68"/>
      <c r="T302" s="69">
        <f t="shared" si="73"/>
        <v>0</v>
      </c>
      <c r="U302" s="61" t="s">
        <v>234</v>
      </c>
      <c r="V302" s="83">
        <v>0</v>
      </c>
      <c r="W302" s="61">
        <f t="shared" si="70"/>
        <v>0</v>
      </c>
      <c r="X302" s="171">
        <v>46241.220138888886</v>
      </c>
      <c r="Y302" s="171">
        <v>46241.361111111109</v>
      </c>
      <c r="Z302" s="168">
        <f t="shared" si="62"/>
        <v>0.14097222222335404</v>
      </c>
      <c r="AA302" s="169">
        <f t="shared" si="63"/>
        <v>0.14583333333333334</v>
      </c>
      <c r="AB302" s="170" t="str">
        <f t="shared" si="64"/>
        <v>00:07:00</v>
      </c>
      <c r="AC302" s="170" t="b">
        <f t="shared" si="65"/>
        <v>1</v>
      </c>
    </row>
    <row r="303" spans="1:30" s="127" customFormat="1" ht="9.75" hidden="1" customHeight="1" x14ac:dyDescent="0.3">
      <c r="A303" s="98">
        <v>46241</v>
      </c>
      <c r="B303" s="48">
        <v>8152432</v>
      </c>
      <c r="C303" s="49" t="s">
        <v>25</v>
      </c>
      <c r="D303" s="49" t="s">
        <v>477</v>
      </c>
      <c r="E303" s="50">
        <v>0.20833333333333334</v>
      </c>
      <c r="F303" s="49" t="s">
        <v>26</v>
      </c>
      <c r="G303" s="70" t="s">
        <v>13</v>
      </c>
      <c r="H303" s="51">
        <v>46241.229861111111</v>
      </c>
      <c r="I303" s="113" t="str">
        <f t="shared" si="66"/>
        <v>07-08-2026T05:31:00</v>
      </c>
      <c r="J303" s="51">
        <v>46242.963888888888</v>
      </c>
      <c r="K303" s="51"/>
      <c r="L303" s="52">
        <f t="shared" si="71"/>
        <v>1.734027777776646</v>
      </c>
      <c r="M303" s="53">
        <v>0.45833333333333331</v>
      </c>
      <c r="N303" s="54" t="str">
        <f t="shared" si="72"/>
        <v>-06:37:00</v>
      </c>
      <c r="O303" s="55">
        <f>250*7</f>
        <v>1750</v>
      </c>
      <c r="P303" s="125" t="s">
        <v>503</v>
      </c>
      <c r="Q303" s="56" t="s">
        <v>13</v>
      </c>
      <c r="R303" s="57">
        <v>46241.936111111114</v>
      </c>
      <c r="S303" s="57">
        <v>46241.952777777777</v>
      </c>
      <c r="T303" s="58">
        <f t="shared" si="73"/>
        <v>1.6666666662786156E-2</v>
      </c>
      <c r="U303" s="50"/>
      <c r="V303" s="74">
        <v>8.3333333333333329E-2</v>
      </c>
      <c r="W303" s="50">
        <f t="shared" si="70"/>
        <v>-6.6666666670547173E-2</v>
      </c>
      <c r="X303" s="171">
        <v>46241.229861111111</v>
      </c>
      <c r="Y303" s="171">
        <v>46241.963888888888</v>
      </c>
      <c r="Z303" s="168">
        <f t="shared" si="62"/>
        <v>0.73402777777664596</v>
      </c>
      <c r="AA303" s="169">
        <f t="shared" si="63"/>
        <v>0.45833333333333331</v>
      </c>
      <c r="AB303" s="170" t="str">
        <f t="shared" si="64"/>
        <v>-06:37:00</v>
      </c>
      <c r="AC303" s="170" t="b">
        <f t="shared" si="65"/>
        <v>1</v>
      </c>
      <c r="AD303"/>
    </row>
    <row r="304" spans="1:30" s="128" customFormat="1" ht="9.75" hidden="1" customHeight="1" x14ac:dyDescent="0.3">
      <c r="A304" s="99">
        <v>46241</v>
      </c>
      <c r="B304" s="59">
        <v>8152514</v>
      </c>
      <c r="C304" s="60" t="s">
        <v>36</v>
      </c>
      <c r="D304" s="60" t="s">
        <v>300</v>
      </c>
      <c r="E304" s="61">
        <v>0.25</v>
      </c>
      <c r="F304" s="60" t="s">
        <v>14</v>
      </c>
      <c r="G304" s="71" t="s">
        <v>13</v>
      </c>
      <c r="H304" s="62">
        <v>0.24861111111111112</v>
      </c>
      <c r="I304" s="113" t="str">
        <f t="shared" si="66"/>
        <v>07-08-2026T05:58:00</v>
      </c>
      <c r="J304" s="62">
        <v>0.78402777777777777</v>
      </c>
      <c r="K304" s="62"/>
      <c r="L304" s="63">
        <f t="shared" si="71"/>
        <v>0.53541666666666665</v>
      </c>
      <c r="M304" s="64">
        <v>0.54166666666666663</v>
      </c>
      <c r="N304" s="65" t="str">
        <f t="shared" si="72"/>
        <v>00:09:00</v>
      </c>
      <c r="O304" s="66"/>
      <c r="P304" s="124"/>
      <c r="Q304" s="67"/>
      <c r="R304" s="68"/>
      <c r="S304" s="68"/>
      <c r="T304" s="69">
        <f t="shared" si="73"/>
        <v>0</v>
      </c>
      <c r="U304" s="61"/>
      <c r="V304" s="83">
        <v>0</v>
      </c>
      <c r="W304" s="61">
        <f t="shared" si="70"/>
        <v>0</v>
      </c>
      <c r="X304" s="171">
        <v>46241.248611111114</v>
      </c>
      <c r="Y304" s="171">
        <v>46241.78402777778</v>
      </c>
      <c r="Z304" s="168">
        <f t="shared" si="62"/>
        <v>0.53541666666569654</v>
      </c>
      <c r="AA304" s="169">
        <f t="shared" si="63"/>
        <v>0.54166666666666663</v>
      </c>
      <c r="AB304" s="170" t="str">
        <f t="shared" si="64"/>
        <v>00:09:00</v>
      </c>
      <c r="AC304" s="170" t="b">
        <f t="shared" si="65"/>
        <v>1</v>
      </c>
    </row>
    <row r="305" spans="1:30" s="128" customFormat="1" ht="9.75" hidden="1" customHeight="1" x14ac:dyDescent="0.3">
      <c r="A305" s="99">
        <v>46241</v>
      </c>
      <c r="B305" s="59">
        <v>8152547</v>
      </c>
      <c r="C305" s="60" t="s">
        <v>89</v>
      </c>
      <c r="D305" s="60" t="s">
        <v>294</v>
      </c>
      <c r="E305" s="61">
        <v>0.25</v>
      </c>
      <c r="F305" s="60" t="s">
        <v>13</v>
      </c>
      <c r="G305" s="71" t="s">
        <v>35</v>
      </c>
      <c r="H305" s="62">
        <v>0.25277777777777777</v>
      </c>
      <c r="I305" s="113" t="str">
        <f t="shared" si="66"/>
        <v>07-08-2026T06:04:00</v>
      </c>
      <c r="J305" s="62">
        <v>0.28472222222222221</v>
      </c>
      <c r="K305" s="62"/>
      <c r="L305" s="63">
        <f t="shared" si="71"/>
        <v>3.1944444444444442E-2</v>
      </c>
      <c r="M305" s="64">
        <v>4.1666666666666664E-2</v>
      </c>
      <c r="N305" s="65" t="str">
        <f t="shared" si="72"/>
        <v>00:14:00</v>
      </c>
      <c r="O305" s="66"/>
      <c r="P305" s="124"/>
      <c r="Q305" s="67"/>
      <c r="R305" s="68"/>
      <c r="S305" s="68"/>
      <c r="T305" s="69">
        <f t="shared" si="73"/>
        <v>0</v>
      </c>
      <c r="U305" s="61" t="s">
        <v>234</v>
      </c>
      <c r="V305" s="83">
        <v>0</v>
      </c>
      <c r="W305" s="61">
        <f t="shared" si="70"/>
        <v>0</v>
      </c>
      <c r="X305" s="171">
        <v>46241.25277777778</v>
      </c>
      <c r="Y305" s="171">
        <v>46241.284722222219</v>
      </c>
      <c r="Z305" s="168">
        <f t="shared" si="62"/>
        <v>3.1944444439432118E-2</v>
      </c>
      <c r="AA305" s="169">
        <f t="shared" si="63"/>
        <v>4.1666666666666664E-2</v>
      </c>
      <c r="AB305" s="170" t="str">
        <f t="shared" si="64"/>
        <v>00:14:00</v>
      </c>
      <c r="AC305" s="170" t="b">
        <f t="shared" si="65"/>
        <v>1</v>
      </c>
    </row>
    <row r="306" spans="1:30" s="144" customFormat="1" ht="9.75" hidden="1" customHeight="1" x14ac:dyDescent="0.3">
      <c r="A306" s="129">
        <v>46241</v>
      </c>
      <c r="B306" s="130">
        <v>8152597</v>
      </c>
      <c r="C306" s="131" t="s">
        <v>37</v>
      </c>
      <c r="D306" s="131" t="s">
        <v>466</v>
      </c>
      <c r="E306" s="132">
        <v>0.27083333333333331</v>
      </c>
      <c r="F306" s="131" t="s">
        <v>14</v>
      </c>
      <c r="G306" s="133" t="s">
        <v>13</v>
      </c>
      <c r="H306" s="134">
        <v>0.26944444444444443</v>
      </c>
      <c r="I306" s="113" t="str">
        <f t="shared" si="66"/>
        <v>07-08-2026T06:28:00</v>
      </c>
      <c r="J306" s="134">
        <v>0.92777777777777781</v>
      </c>
      <c r="K306" s="134"/>
      <c r="L306" s="135">
        <f t="shared" si="71"/>
        <v>0.65833333333333344</v>
      </c>
      <c r="M306" s="136">
        <v>0.625</v>
      </c>
      <c r="N306" s="137" t="str">
        <f t="shared" si="72"/>
        <v>-00:48:00</v>
      </c>
      <c r="O306" s="138"/>
      <c r="P306" s="145" t="s">
        <v>478</v>
      </c>
      <c r="Q306" s="140" t="s">
        <v>126</v>
      </c>
      <c r="R306" s="141">
        <v>46241.375</v>
      </c>
      <c r="S306" s="141">
        <v>46241.479166666664</v>
      </c>
      <c r="T306" s="142">
        <f t="shared" si="73"/>
        <v>0.10416666666424135</v>
      </c>
      <c r="U306" s="132"/>
      <c r="V306" s="143">
        <v>6.25E-2</v>
      </c>
      <c r="W306" s="132">
        <f t="shared" si="70"/>
        <v>4.1666666664241347E-2</v>
      </c>
      <c r="X306" s="171">
        <v>46241.269444444442</v>
      </c>
      <c r="Y306" s="171">
        <v>46241.927777777775</v>
      </c>
      <c r="Z306" s="168">
        <f t="shared" si="62"/>
        <v>0.65833333333284827</v>
      </c>
      <c r="AA306" s="169">
        <f t="shared" si="63"/>
        <v>0.625</v>
      </c>
      <c r="AB306" s="170" t="str">
        <f t="shared" si="64"/>
        <v>-00:48:00</v>
      </c>
      <c r="AC306" s="170" t="b">
        <f t="shared" si="65"/>
        <v>1</v>
      </c>
    </row>
    <row r="307" spans="1:30" s="127" customFormat="1" ht="9.75" hidden="1" customHeight="1" x14ac:dyDescent="0.3">
      <c r="A307" s="98">
        <v>46241</v>
      </c>
      <c r="B307" s="48">
        <v>8152619</v>
      </c>
      <c r="C307" s="49" t="s">
        <v>58</v>
      </c>
      <c r="D307" s="49" t="s">
        <v>368</v>
      </c>
      <c r="E307" s="50">
        <v>0.27083333333333331</v>
      </c>
      <c r="F307" s="49" t="s">
        <v>13</v>
      </c>
      <c r="G307" s="70" t="s">
        <v>14</v>
      </c>
      <c r="H307" s="51">
        <v>0.27638888888888891</v>
      </c>
      <c r="I307" s="113" t="str">
        <f t="shared" si="66"/>
        <v>07-08-2026T06:38:00</v>
      </c>
      <c r="J307" s="51">
        <v>0.90486111111111112</v>
      </c>
      <c r="K307" s="51"/>
      <c r="L307" s="52">
        <f t="shared" si="71"/>
        <v>0.62847222222222221</v>
      </c>
      <c r="M307" s="53">
        <v>0.625</v>
      </c>
      <c r="N307" s="54" t="str">
        <f t="shared" si="72"/>
        <v>-00:05:00</v>
      </c>
      <c r="O307" s="55">
        <v>250</v>
      </c>
      <c r="P307" s="125" t="s">
        <v>504</v>
      </c>
      <c r="Q307" s="56" t="s">
        <v>15</v>
      </c>
      <c r="R307" s="57">
        <v>46241.520833333336</v>
      </c>
      <c r="S307" s="57">
        <v>46241.557638888888</v>
      </c>
      <c r="T307" s="58">
        <f t="shared" si="73"/>
        <v>3.6805555551836733E-2</v>
      </c>
      <c r="U307" s="50"/>
      <c r="V307" s="74">
        <v>6.25E-2</v>
      </c>
      <c r="W307" s="50">
        <f t="shared" si="70"/>
        <v>-2.5694444448163267E-2</v>
      </c>
      <c r="X307" s="171">
        <v>46241.276388888888</v>
      </c>
      <c r="Y307" s="171">
        <v>46241.904861111114</v>
      </c>
      <c r="Z307" s="168">
        <f t="shared" si="62"/>
        <v>0.62847222222626442</v>
      </c>
      <c r="AA307" s="169">
        <f t="shared" si="63"/>
        <v>0.625</v>
      </c>
      <c r="AB307" s="170" t="str">
        <f t="shared" si="64"/>
        <v>-00:05:00</v>
      </c>
      <c r="AC307" s="170" t="b">
        <f t="shared" si="65"/>
        <v>1</v>
      </c>
      <c r="AD307"/>
    </row>
    <row r="308" spans="1:30" ht="9.75" hidden="1" customHeight="1" x14ac:dyDescent="0.3">
      <c r="A308" s="149">
        <v>46239</v>
      </c>
      <c r="B308" s="150" t="s">
        <v>687</v>
      </c>
      <c r="C308" s="151" t="s">
        <v>99</v>
      </c>
      <c r="D308" s="151" t="s">
        <v>375</v>
      </c>
      <c r="E308" s="152">
        <v>0</v>
      </c>
      <c r="F308" s="151"/>
      <c r="G308" s="153"/>
      <c r="H308" s="154">
        <v>0</v>
      </c>
      <c r="I308" s="113" t="str">
        <f t="shared" si="66"/>
        <v>05-08-2026T00:00:00</v>
      </c>
      <c r="J308" s="154">
        <v>0</v>
      </c>
      <c r="K308" s="154"/>
      <c r="L308" s="155">
        <v>0</v>
      </c>
      <c r="M308" s="160">
        <v>0</v>
      </c>
      <c r="N308" s="156">
        <v>0</v>
      </c>
      <c r="O308" s="157"/>
      <c r="P308" s="158" t="s">
        <v>480</v>
      </c>
      <c r="Q308" s="159" t="s">
        <v>480</v>
      </c>
      <c r="R308" s="148" t="s">
        <v>480</v>
      </c>
      <c r="S308" s="148" t="s">
        <v>480</v>
      </c>
      <c r="T308" s="161" t="s">
        <v>480</v>
      </c>
      <c r="U308" s="152" t="s">
        <v>480</v>
      </c>
      <c r="V308" s="146" t="s">
        <v>480</v>
      </c>
      <c r="W308" s="152" t="s">
        <v>480</v>
      </c>
      <c r="X308" s="171" t="s">
        <v>668</v>
      </c>
      <c r="Y308" s="171" t="s">
        <v>668</v>
      </c>
      <c r="Z308" s="168" t="e">
        <f t="shared" si="62"/>
        <v>#VALUE!</v>
      </c>
      <c r="AA308" s="169">
        <f t="shared" si="63"/>
        <v>0</v>
      </c>
      <c r="AB308" s="170" t="e">
        <f t="shared" si="64"/>
        <v>#VALUE!</v>
      </c>
      <c r="AC308" s="170" t="e">
        <f t="shared" si="65"/>
        <v>#VALUE!</v>
      </c>
    </row>
    <row r="309" spans="1:30" ht="9.75" hidden="1" customHeight="1" x14ac:dyDescent="0.3">
      <c r="A309" s="149">
        <v>46240</v>
      </c>
      <c r="B309" s="150" t="s">
        <v>687</v>
      </c>
      <c r="C309" s="151" t="s">
        <v>99</v>
      </c>
      <c r="D309" s="151" t="s">
        <v>375</v>
      </c>
      <c r="E309" s="152">
        <v>0</v>
      </c>
      <c r="F309" s="151"/>
      <c r="G309" s="153"/>
      <c r="H309" s="154">
        <v>0</v>
      </c>
      <c r="I309" s="113" t="str">
        <f t="shared" si="66"/>
        <v>06-08-2026T00:00:00</v>
      </c>
      <c r="J309" s="154">
        <v>0</v>
      </c>
      <c r="K309" s="154"/>
      <c r="L309" s="155">
        <v>0</v>
      </c>
      <c r="M309" s="160">
        <v>0</v>
      </c>
      <c r="N309" s="156">
        <v>0</v>
      </c>
      <c r="O309" s="157"/>
      <c r="P309" s="158" t="s">
        <v>480</v>
      </c>
      <c r="Q309" s="159" t="s">
        <v>480</v>
      </c>
      <c r="R309" s="148" t="s">
        <v>480</v>
      </c>
      <c r="S309" s="148" t="s">
        <v>480</v>
      </c>
      <c r="T309" s="161" t="s">
        <v>480</v>
      </c>
      <c r="U309" s="152" t="s">
        <v>480</v>
      </c>
      <c r="V309" s="146" t="s">
        <v>480</v>
      </c>
      <c r="W309" s="152" t="s">
        <v>480</v>
      </c>
      <c r="X309" s="171" t="s">
        <v>668</v>
      </c>
      <c r="Y309" s="171" t="s">
        <v>668</v>
      </c>
      <c r="Z309" s="168" t="e">
        <f t="shared" si="62"/>
        <v>#VALUE!</v>
      </c>
      <c r="AA309" s="169">
        <f t="shared" si="63"/>
        <v>0</v>
      </c>
      <c r="AB309" s="170" t="e">
        <f t="shared" si="64"/>
        <v>#VALUE!</v>
      </c>
      <c r="AC309" s="170" t="e">
        <f t="shared" si="65"/>
        <v>#VALUE!</v>
      </c>
    </row>
    <row r="310" spans="1:30" s="128" customFormat="1" ht="9.75" hidden="1" customHeight="1" x14ac:dyDescent="0.3">
      <c r="A310" s="99">
        <v>46241</v>
      </c>
      <c r="B310" s="59">
        <v>8152658</v>
      </c>
      <c r="C310" s="60" t="s">
        <v>99</v>
      </c>
      <c r="D310" s="60" t="s">
        <v>375</v>
      </c>
      <c r="E310" s="61">
        <v>0.29166666666666669</v>
      </c>
      <c r="F310" s="60" t="s">
        <v>13</v>
      </c>
      <c r="G310" s="71" t="s">
        <v>103</v>
      </c>
      <c r="H310" s="62">
        <v>0.2902777777777778</v>
      </c>
      <c r="I310" s="113" t="str">
        <f t="shared" si="66"/>
        <v>07-08-2026T06:58:00</v>
      </c>
      <c r="J310" s="62">
        <v>0.90208333333333335</v>
      </c>
      <c r="K310" s="62"/>
      <c r="L310" s="63">
        <f t="shared" ref="L310:L341" si="74">J310-H310</f>
        <v>0.61180555555555549</v>
      </c>
      <c r="M310" s="64">
        <v>0.625</v>
      </c>
      <c r="N310" s="65" t="str">
        <f t="shared" ref="N310:N341" si="75">IF(M310-L310&gt;0,TEXT(M310-L310,"HH:MM:SS"),TEXT(ABS(M310-L310),"-HH:MM:SS"))</f>
        <v>00:19:00</v>
      </c>
      <c r="O310" s="66"/>
      <c r="P310" s="124"/>
      <c r="Q310" s="67"/>
      <c r="R310" s="68"/>
      <c r="S310" s="68"/>
      <c r="T310" s="69">
        <f t="shared" ref="T310:T341" si="76">S310-R310</f>
        <v>0</v>
      </c>
      <c r="U310" s="61" t="s">
        <v>234</v>
      </c>
      <c r="V310" s="83">
        <v>0</v>
      </c>
      <c r="W310" s="61">
        <f t="shared" ref="W310:W341" si="77">T310-V310</f>
        <v>0</v>
      </c>
      <c r="X310" s="171">
        <v>46241.290277777778</v>
      </c>
      <c r="Y310" s="171">
        <v>46241.902083333334</v>
      </c>
      <c r="Z310" s="168">
        <f t="shared" si="62"/>
        <v>0.61180555555620231</v>
      </c>
      <c r="AA310" s="169">
        <f t="shared" si="63"/>
        <v>0.625</v>
      </c>
      <c r="AB310" s="170" t="str">
        <f t="shared" si="64"/>
        <v>00:19:00</v>
      </c>
      <c r="AC310" s="170" t="b">
        <f t="shared" si="65"/>
        <v>1</v>
      </c>
    </row>
    <row r="311" spans="1:30" s="128" customFormat="1" ht="9.75" hidden="1" customHeight="1" x14ac:dyDescent="0.3">
      <c r="A311" s="99">
        <v>46241</v>
      </c>
      <c r="B311" s="59">
        <v>8152721</v>
      </c>
      <c r="C311" s="60" t="s">
        <v>56</v>
      </c>
      <c r="D311" s="60" t="s">
        <v>472</v>
      </c>
      <c r="E311" s="61">
        <v>0.3125</v>
      </c>
      <c r="F311" s="60" t="s">
        <v>15</v>
      </c>
      <c r="G311" s="71" t="s">
        <v>13</v>
      </c>
      <c r="H311" s="62">
        <v>0.31041666666666667</v>
      </c>
      <c r="I311" s="113" t="str">
        <f t="shared" si="66"/>
        <v>07-08-2026T07:27:00</v>
      </c>
      <c r="J311" s="62">
        <v>0.55555555555555558</v>
      </c>
      <c r="K311" s="62"/>
      <c r="L311" s="63">
        <f t="shared" si="74"/>
        <v>0.24513888888888891</v>
      </c>
      <c r="M311" s="64">
        <v>0.25</v>
      </c>
      <c r="N311" s="65" t="str">
        <f t="shared" si="75"/>
        <v>00:07:00</v>
      </c>
      <c r="O311" s="66"/>
      <c r="P311" s="124"/>
      <c r="Q311" s="67" t="s">
        <v>205</v>
      </c>
      <c r="R311" s="68">
        <v>46241.381944444445</v>
      </c>
      <c r="S311" s="68">
        <v>46241.423611111109</v>
      </c>
      <c r="T311" s="69">
        <f t="shared" si="76"/>
        <v>4.1666666664241347E-2</v>
      </c>
      <c r="U311" s="61"/>
      <c r="V311" s="83">
        <v>4.1666666666666664E-2</v>
      </c>
      <c r="W311" s="61">
        <f t="shared" si="77"/>
        <v>-2.425316891763174E-12</v>
      </c>
      <c r="X311" s="171">
        <v>46241.310416666667</v>
      </c>
      <c r="Y311" s="171">
        <v>46241.555555555555</v>
      </c>
      <c r="Z311" s="168">
        <f t="shared" si="62"/>
        <v>0.24513888888759539</v>
      </c>
      <c r="AA311" s="169">
        <f t="shared" si="63"/>
        <v>0.25</v>
      </c>
      <c r="AB311" s="170" t="str">
        <f t="shared" si="64"/>
        <v>00:07:00</v>
      </c>
      <c r="AC311" s="170" t="b">
        <f t="shared" si="65"/>
        <v>1</v>
      </c>
    </row>
    <row r="312" spans="1:30" s="127" customFormat="1" ht="9.75" hidden="1" customHeight="1" x14ac:dyDescent="0.3">
      <c r="A312" s="98">
        <v>46241</v>
      </c>
      <c r="B312" s="48">
        <v>8152656</v>
      </c>
      <c r="C312" s="49" t="s">
        <v>30</v>
      </c>
      <c r="D312" s="49" t="s">
        <v>286</v>
      </c>
      <c r="E312" s="50">
        <v>0.29166666666666669</v>
      </c>
      <c r="F312" s="49" t="s">
        <v>13</v>
      </c>
      <c r="G312" s="70" t="s">
        <v>31</v>
      </c>
      <c r="H312" s="51">
        <v>0.2902777777777778</v>
      </c>
      <c r="I312" s="113" t="str">
        <f t="shared" si="66"/>
        <v>07-08-2026T06:58:00</v>
      </c>
      <c r="J312" s="51">
        <v>0.89652777777777781</v>
      </c>
      <c r="K312" s="51"/>
      <c r="L312" s="52">
        <f t="shared" si="74"/>
        <v>0.60624999999999996</v>
      </c>
      <c r="M312" s="53">
        <v>0.625</v>
      </c>
      <c r="N312" s="54" t="str">
        <f t="shared" si="75"/>
        <v>00:27:00</v>
      </c>
      <c r="O312" s="55">
        <v>200</v>
      </c>
      <c r="P312" s="125" t="s">
        <v>437</v>
      </c>
      <c r="Q312" s="56"/>
      <c r="R312" s="57"/>
      <c r="S312" s="57"/>
      <c r="T312" s="58">
        <f t="shared" si="76"/>
        <v>0</v>
      </c>
      <c r="U312" s="50"/>
      <c r="V312" s="74">
        <v>0</v>
      </c>
      <c r="W312" s="50">
        <f t="shared" si="77"/>
        <v>0</v>
      </c>
      <c r="X312" s="171">
        <v>46241.290277777778</v>
      </c>
      <c r="Y312" s="171">
        <v>46241.896527777775</v>
      </c>
      <c r="Z312" s="168">
        <f t="shared" si="62"/>
        <v>0.60624999999708962</v>
      </c>
      <c r="AA312" s="169">
        <f t="shared" si="63"/>
        <v>0.625</v>
      </c>
      <c r="AB312" s="170" t="str">
        <f t="shared" si="64"/>
        <v>00:27:00</v>
      </c>
      <c r="AC312" s="170" t="b">
        <f t="shared" si="65"/>
        <v>1</v>
      </c>
      <c r="AD312"/>
    </row>
    <row r="313" spans="1:30" s="128" customFormat="1" ht="9.75" hidden="1" customHeight="1" x14ac:dyDescent="0.3">
      <c r="A313" s="99">
        <v>46241</v>
      </c>
      <c r="B313" s="59">
        <v>8152738</v>
      </c>
      <c r="C313" s="60" t="s">
        <v>42</v>
      </c>
      <c r="D313" s="60" t="s">
        <v>181</v>
      </c>
      <c r="E313" s="61">
        <v>0.3125</v>
      </c>
      <c r="F313" s="60" t="s">
        <v>13</v>
      </c>
      <c r="G313" s="71" t="s">
        <v>55</v>
      </c>
      <c r="H313" s="62">
        <v>0.32430555555555557</v>
      </c>
      <c r="I313" s="113" t="str">
        <f t="shared" si="66"/>
        <v>07-08-2026T07:47:00</v>
      </c>
      <c r="J313" s="62">
        <v>0.38194444444444442</v>
      </c>
      <c r="K313" s="62"/>
      <c r="L313" s="63">
        <f t="shared" si="74"/>
        <v>5.7638888888888851E-2</v>
      </c>
      <c r="M313" s="64">
        <v>6.25E-2</v>
      </c>
      <c r="N313" s="65" t="str">
        <f t="shared" si="75"/>
        <v>00:07:00</v>
      </c>
      <c r="O313" s="66"/>
      <c r="P313" s="124"/>
      <c r="Q313" s="67"/>
      <c r="R313" s="68"/>
      <c r="S313" s="68"/>
      <c r="T313" s="69">
        <f t="shared" si="76"/>
        <v>0</v>
      </c>
      <c r="U313" s="61" t="s">
        <v>234</v>
      </c>
      <c r="V313" s="83">
        <v>0</v>
      </c>
      <c r="W313" s="61">
        <f t="shared" si="77"/>
        <v>0</v>
      </c>
      <c r="X313" s="171">
        <v>46241.324305555558</v>
      </c>
      <c r="Y313" s="171">
        <v>46241.381944444445</v>
      </c>
      <c r="Z313" s="168">
        <f t="shared" si="62"/>
        <v>5.7638888887595385E-2</v>
      </c>
      <c r="AA313" s="169">
        <f t="shared" si="63"/>
        <v>6.25E-2</v>
      </c>
      <c r="AB313" s="170" t="str">
        <f t="shared" si="64"/>
        <v>00:07:00</v>
      </c>
      <c r="AC313" s="170" t="b">
        <f t="shared" si="65"/>
        <v>1</v>
      </c>
    </row>
    <row r="314" spans="1:30" s="127" customFormat="1" ht="9.75" hidden="1" customHeight="1" x14ac:dyDescent="0.3">
      <c r="A314" s="98">
        <v>46241</v>
      </c>
      <c r="B314" s="48">
        <v>8152845</v>
      </c>
      <c r="C314" s="49" t="s">
        <v>40</v>
      </c>
      <c r="D314" s="49" t="s">
        <v>460</v>
      </c>
      <c r="E314" s="50">
        <v>0.375</v>
      </c>
      <c r="F314" s="49" t="s">
        <v>13</v>
      </c>
      <c r="G314" s="70" t="s">
        <v>31</v>
      </c>
      <c r="H314" s="51">
        <v>46241.371527777781</v>
      </c>
      <c r="I314" s="113" t="str">
        <f t="shared" si="66"/>
        <v>07-08-2026T08:55:00</v>
      </c>
      <c r="J314" s="51">
        <v>46242.351388888892</v>
      </c>
      <c r="K314" s="51"/>
      <c r="L314" s="52">
        <f t="shared" si="74"/>
        <v>0.97986111111094942</v>
      </c>
      <c r="M314" s="53">
        <v>0.75</v>
      </c>
      <c r="N314" s="54" t="str">
        <f t="shared" si="75"/>
        <v>-05:31:00</v>
      </c>
      <c r="O314" s="55">
        <v>1200</v>
      </c>
      <c r="P314" s="125" t="s">
        <v>505</v>
      </c>
      <c r="Q314" s="56" t="s">
        <v>45</v>
      </c>
      <c r="R314" s="57">
        <v>46242.159722222219</v>
      </c>
      <c r="S314" s="57">
        <v>46242.208333333336</v>
      </c>
      <c r="T314" s="58">
        <f t="shared" si="76"/>
        <v>4.8611111116770189E-2</v>
      </c>
      <c r="U314" s="50"/>
      <c r="V314" s="74">
        <v>8.3333333333333329E-2</v>
      </c>
      <c r="W314" s="50">
        <f t="shared" si="77"/>
        <v>-3.4722222216563139E-2</v>
      </c>
      <c r="X314" s="171">
        <v>46241.371527777781</v>
      </c>
      <c r="Y314" s="171">
        <v>46242.351388888892</v>
      </c>
      <c r="Z314" s="168">
        <f t="shared" si="62"/>
        <v>0.97986111111094942</v>
      </c>
      <c r="AA314" s="169">
        <f t="shared" si="63"/>
        <v>0.75</v>
      </c>
      <c r="AB314" s="170" t="str">
        <f t="shared" si="64"/>
        <v>-05:31:00</v>
      </c>
      <c r="AC314" s="170" t="b">
        <f t="shared" si="65"/>
        <v>1</v>
      </c>
      <c r="AD314"/>
    </row>
    <row r="315" spans="1:30" s="127" customFormat="1" ht="9.75" hidden="1" customHeight="1" x14ac:dyDescent="0.3">
      <c r="A315" s="98">
        <v>46241</v>
      </c>
      <c r="B315" s="48">
        <v>8152841</v>
      </c>
      <c r="C315" s="49" t="s">
        <v>46</v>
      </c>
      <c r="D315" s="49" t="s">
        <v>374</v>
      </c>
      <c r="E315" s="50">
        <v>0.375</v>
      </c>
      <c r="F315" s="49" t="s">
        <v>13</v>
      </c>
      <c r="G315" s="70" t="s">
        <v>47</v>
      </c>
      <c r="H315" s="51">
        <v>46241.371527777781</v>
      </c>
      <c r="I315" s="113" t="str">
        <f t="shared" si="66"/>
        <v>07-08-2026T08:55:00</v>
      </c>
      <c r="J315" s="51">
        <v>46243.605555555558</v>
      </c>
      <c r="K315" s="51"/>
      <c r="L315" s="52">
        <f t="shared" si="74"/>
        <v>2.234027777776646</v>
      </c>
      <c r="M315" s="53">
        <v>1.9166666666666667</v>
      </c>
      <c r="N315" s="54" t="str">
        <f t="shared" si="75"/>
        <v>-07:37:00</v>
      </c>
      <c r="O315" s="55">
        <f>200*8</f>
        <v>1600</v>
      </c>
      <c r="P315" s="147" t="s">
        <v>535</v>
      </c>
      <c r="Q315" s="56" t="s">
        <v>96</v>
      </c>
      <c r="R315" s="57">
        <v>46243.373611111114</v>
      </c>
      <c r="S315" s="57">
        <v>46243.465277777781</v>
      </c>
      <c r="T315" s="47">
        <f t="shared" si="76"/>
        <v>9.1666666667151731E-2</v>
      </c>
      <c r="U315" s="50"/>
      <c r="V315" s="74">
        <v>8.3333333333333329E-2</v>
      </c>
      <c r="W315" s="50">
        <f t="shared" si="77"/>
        <v>8.3333333338184018E-3</v>
      </c>
      <c r="X315" s="171">
        <v>46241.371527777781</v>
      </c>
      <c r="Y315" s="171">
        <v>46243.605555555558</v>
      </c>
      <c r="Z315" s="168">
        <f t="shared" si="62"/>
        <v>2.234027777776646</v>
      </c>
      <c r="AA315" s="169">
        <f t="shared" si="63"/>
        <v>1.9166666666666667</v>
      </c>
      <c r="AB315" s="170" t="str">
        <f t="shared" si="64"/>
        <v>-07:37:00</v>
      </c>
      <c r="AC315" s="170" t="b">
        <f t="shared" si="65"/>
        <v>1</v>
      </c>
    </row>
    <row r="316" spans="1:30" s="144" customFormat="1" ht="9.75" hidden="1" customHeight="1" x14ac:dyDescent="0.3">
      <c r="A316" s="129">
        <v>46241</v>
      </c>
      <c r="B316" s="130">
        <v>8153320</v>
      </c>
      <c r="C316" s="131" t="s">
        <v>51</v>
      </c>
      <c r="D316" s="131" t="s">
        <v>295</v>
      </c>
      <c r="E316" s="132">
        <v>0.375</v>
      </c>
      <c r="F316" s="131" t="s">
        <v>49</v>
      </c>
      <c r="G316" s="133" t="s">
        <v>13</v>
      </c>
      <c r="H316" s="134">
        <v>46241.560416666667</v>
      </c>
      <c r="I316" s="113" t="str">
        <f t="shared" si="66"/>
        <v>07-08-2026T13:27:00</v>
      </c>
      <c r="J316" s="134">
        <v>46242.15902777778</v>
      </c>
      <c r="K316" s="134"/>
      <c r="L316" s="135">
        <f t="shared" si="74"/>
        <v>0.59861111111240461</v>
      </c>
      <c r="M316" s="136">
        <v>0.58333333333333337</v>
      </c>
      <c r="N316" s="137" t="str">
        <f t="shared" si="75"/>
        <v>-00:22:00</v>
      </c>
      <c r="O316" s="138"/>
      <c r="P316" s="145" t="s">
        <v>567</v>
      </c>
      <c r="Q316" s="140" t="s">
        <v>13</v>
      </c>
      <c r="R316" s="141">
        <v>46242.054861111108</v>
      </c>
      <c r="S316" s="141">
        <v>46242.154166666667</v>
      </c>
      <c r="T316" s="142">
        <f t="shared" si="76"/>
        <v>9.930555555911269E-2</v>
      </c>
      <c r="U316" s="132"/>
      <c r="V316" s="143">
        <v>8.3333333333333329E-2</v>
      </c>
      <c r="W316" s="132">
        <f t="shared" si="77"/>
        <v>1.5972222225779362E-2</v>
      </c>
      <c r="X316" s="171">
        <v>46241.560416666667</v>
      </c>
      <c r="Y316" s="171">
        <v>46242.15902777778</v>
      </c>
      <c r="Z316" s="168">
        <f t="shared" ref="Z316:Z379" si="78">Y316-X316</f>
        <v>0.59861111111240461</v>
      </c>
      <c r="AA316" s="169">
        <f t="shared" ref="AA316:AA379" si="79">M316</f>
        <v>0.58333333333333337</v>
      </c>
      <c r="AB316" s="170" t="str">
        <f t="shared" ref="AB316:AB379" si="80">IF(AA316-Z316&gt;0,TEXT(AA316-Z316,"HH:MM:SS"),TEXT(ABS(AA316-Z316),"-HH:MM:SS"))</f>
        <v>-00:22:00</v>
      </c>
      <c r="AC316" s="170" t="b">
        <f t="shared" ref="AC316:AC379" si="81">AB316=N316</f>
        <v>1</v>
      </c>
    </row>
    <row r="317" spans="1:30" s="128" customFormat="1" ht="9.75" hidden="1" customHeight="1" x14ac:dyDescent="0.3">
      <c r="A317" s="99">
        <v>46241</v>
      </c>
      <c r="B317" s="59">
        <v>8152956</v>
      </c>
      <c r="C317" s="60" t="s">
        <v>50</v>
      </c>
      <c r="D317" s="60" t="s">
        <v>329</v>
      </c>
      <c r="E317" s="61">
        <v>0.41666666666666669</v>
      </c>
      <c r="F317" s="60" t="s">
        <v>31</v>
      </c>
      <c r="G317" s="71" t="s">
        <v>13</v>
      </c>
      <c r="H317" s="62">
        <v>46241.434027777781</v>
      </c>
      <c r="I317" s="113" t="str">
        <f t="shared" si="66"/>
        <v>07-08-2026T10:25:00</v>
      </c>
      <c r="J317" s="62">
        <v>46242.163888888892</v>
      </c>
      <c r="K317" s="62"/>
      <c r="L317" s="63">
        <f t="shared" si="74"/>
        <v>0.72986111111094942</v>
      </c>
      <c r="M317" s="64">
        <v>0.75</v>
      </c>
      <c r="N317" s="65" t="str">
        <f t="shared" si="75"/>
        <v>00:29:00</v>
      </c>
      <c r="O317" s="66"/>
      <c r="P317" s="126" t="s">
        <v>506</v>
      </c>
      <c r="Q317" s="67" t="s">
        <v>45</v>
      </c>
      <c r="R317" s="68">
        <v>46241.587500000001</v>
      </c>
      <c r="S317" s="68">
        <v>46241.621527777781</v>
      </c>
      <c r="T317" s="69">
        <f t="shared" si="76"/>
        <v>3.4027777779556345E-2</v>
      </c>
      <c r="U317" s="61"/>
      <c r="V317" s="83">
        <v>8.3333333333333329E-2</v>
      </c>
      <c r="W317" s="61">
        <f t="shared" si="77"/>
        <v>-4.9305555553776984E-2</v>
      </c>
      <c r="X317" s="172">
        <v>46241.434027777781</v>
      </c>
      <c r="Y317" s="172">
        <v>46242.163888888892</v>
      </c>
      <c r="Z317" s="173">
        <f t="shared" si="78"/>
        <v>0.72986111111094942</v>
      </c>
      <c r="AA317" s="174">
        <f t="shared" si="79"/>
        <v>0.75</v>
      </c>
      <c r="AB317" s="175" t="str">
        <f t="shared" si="80"/>
        <v>00:29:00</v>
      </c>
      <c r="AC317" s="175" t="b">
        <f t="shared" si="81"/>
        <v>1</v>
      </c>
    </row>
    <row r="318" spans="1:30" s="128" customFormat="1" ht="9.75" hidden="1" customHeight="1" x14ac:dyDescent="0.3">
      <c r="A318" s="99">
        <v>46241</v>
      </c>
      <c r="B318" s="59">
        <v>8152931</v>
      </c>
      <c r="C318" s="60" t="s">
        <v>48</v>
      </c>
      <c r="D318" s="60" t="s">
        <v>183</v>
      </c>
      <c r="E318" s="61">
        <v>0.41666666666666669</v>
      </c>
      <c r="F318" s="60" t="s">
        <v>13</v>
      </c>
      <c r="G318" s="71" t="s">
        <v>49</v>
      </c>
      <c r="H318" s="62">
        <v>0.41597222222222224</v>
      </c>
      <c r="I318" s="113" t="str">
        <f t="shared" si="66"/>
        <v>07-08-2026T09:59:00</v>
      </c>
      <c r="J318" s="62">
        <v>0.91041666666666665</v>
      </c>
      <c r="K318" s="62"/>
      <c r="L318" s="63">
        <f t="shared" si="74"/>
        <v>0.49444444444444441</v>
      </c>
      <c r="M318" s="64">
        <v>0.5</v>
      </c>
      <c r="N318" s="65" t="str">
        <f t="shared" si="75"/>
        <v>00:08:00</v>
      </c>
      <c r="O318" s="66"/>
      <c r="P318" s="124"/>
      <c r="Q318" s="67"/>
      <c r="R318" s="68"/>
      <c r="S318" s="68"/>
      <c r="T318" s="69">
        <f t="shared" si="76"/>
        <v>0</v>
      </c>
      <c r="U318" s="61" t="s">
        <v>234</v>
      </c>
      <c r="V318" s="83">
        <v>0</v>
      </c>
      <c r="W318" s="61">
        <f t="shared" si="77"/>
        <v>0</v>
      </c>
      <c r="X318" s="171">
        <v>46241.415972222225</v>
      </c>
      <c r="Y318" s="171">
        <v>46241.910416666666</v>
      </c>
      <c r="Z318" s="168">
        <f t="shared" si="78"/>
        <v>0.49444444444088731</v>
      </c>
      <c r="AA318" s="169">
        <f t="shared" si="79"/>
        <v>0.5</v>
      </c>
      <c r="AB318" s="170" t="str">
        <f t="shared" si="80"/>
        <v>00:08:00</v>
      </c>
      <c r="AC318" s="170" t="b">
        <f t="shared" si="81"/>
        <v>1</v>
      </c>
    </row>
    <row r="319" spans="1:30" s="128" customFormat="1" ht="9.75" customHeight="1" x14ac:dyDescent="0.3">
      <c r="A319" s="99">
        <v>46241</v>
      </c>
      <c r="B319" s="59">
        <v>8151856</v>
      </c>
      <c r="C319" s="60" t="s">
        <v>90</v>
      </c>
      <c r="D319" s="60" t="s">
        <v>290</v>
      </c>
      <c r="E319" s="61">
        <v>0.99930555555555556</v>
      </c>
      <c r="F319" s="60" t="s">
        <v>13</v>
      </c>
      <c r="G319" s="71" t="s">
        <v>15</v>
      </c>
      <c r="H319" s="62">
        <v>3.3333333333333333E-2</v>
      </c>
      <c r="I319" s="113" t="str">
        <f t="shared" si="66"/>
        <v>07-08-2026T00:48:00</v>
      </c>
      <c r="J319" s="62">
        <v>0.30208333333333331</v>
      </c>
      <c r="K319" s="113" t="str">
        <f t="shared" ref="K319:K320" si="82">TEXT(A319,"dd-mm-yyyy")&amp;"T"&amp;TEXT(J319,"hh:mm:ss")</f>
        <v>07-08-2026T07:15:00</v>
      </c>
      <c r="L319" s="63">
        <f t="shared" si="74"/>
        <v>0.26874999999999999</v>
      </c>
      <c r="M319" s="64">
        <v>0.27083333333333331</v>
      </c>
      <c r="N319" s="65" t="str">
        <f t="shared" si="75"/>
        <v>00:03:00</v>
      </c>
      <c r="O319" s="66"/>
      <c r="P319" s="124"/>
      <c r="Q319" s="67" t="s">
        <v>13</v>
      </c>
      <c r="R319" s="68">
        <v>46241.054166666669</v>
      </c>
      <c r="S319" s="68">
        <v>46241.083333333336</v>
      </c>
      <c r="T319" s="69">
        <f t="shared" si="76"/>
        <v>2.9166666667151731E-2</v>
      </c>
      <c r="U319" s="61"/>
      <c r="V319" s="83">
        <v>4.1666666666666664E-2</v>
      </c>
      <c r="W319" s="61">
        <f t="shared" si="77"/>
        <v>-1.2499999999514934E-2</v>
      </c>
      <c r="X319" s="171">
        <v>46241.033333333333</v>
      </c>
      <c r="Y319" s="171">
        <v>46241.302083333336</v>
      </c>
      <c r="Z319" s="168">
        <f t="shared" si="78"/>
        <v>0.26875000000291038</v>
      </c>
      <c r="AA319" s="169">
        <f t="shared" si="79"/>
        <v>0.27083333333333331</v>
      </c>
      <c r="AB319" s="170" t="str">
        <f t="shared" si="80"/>
        <v>00:03:00</v>
      </c>
      <c r="AC319" s="170" t="b">
        <f t="shared" si="81"/>
        <v>1</v>
      </c>
    </row>
    <row r="320" spans="1:30" s="127" customFormat="1" ht="9.75" hidden="1" customHeight="1" x14ac:dyDescent="0.3">
      <c r="A320" s="98">
        <v>46241</v>
      </c>
      <c r="B320" s="48">
        <v>8153102</v>
      </c>
      <c r="C320" s="49" t="s">
        <v>90</v>
      </c>
      <c r="D320" s="49" t="s">
        <v>290</v>
      </c>
      <c r="E320" s="50">
        <v>0.4375</v>
      </c>
      <c r="F320" s="49" t="s">
        <v>15</v>
      </c>
      <c r="G320" s="70" t="s">
        <v>13</v>
      </c>
      <c r="H320" s="51">
        <v>0.49166666666666664</v>
      </c>
      <c r="I320" s="113" t="str">
        <f t="shared" si="66"/>
        <v>07-08-2026T11:48:00</v>
      </c>
      <c r="J320" s="51">
        <v>0.70486111111111116</v>
      </c>
      <c r="K320" s="113" t="str">
        <f t="shared" si="82"/>
        <v>07-08-2026T16:55:00</v>
      </c>
      <c r="L320" s="52">
        <f t="shared" si="74"/>
        <v>0.21319444444444452</v>
      </c>
      <c r="M320" s="53">
        <v>0.20833333333333334</v>
      </c>
      <c r="N320" s="54" t="str">
        <f t="shared" si="75"/>
        <v>-00:07:00</v>
      </c>
      <c r="O320" s="55">
        <v>200</v>
      </c>
      <c r="P320" s="125" t="s">
        <v>507</v>
      </c>
      <c r="Q320" s="56"/>
      <c r="R320" s="57"/>
      <c r="S320" s="57"/>
      <c r="T320" s="58">
        <f t="shared" si="76"/>
        <v>0</v>
      </c>
      <c r="U320" s="50"/>
      <c r="V320" s="74">
        <v>0</v>
      </c>
      <c r="W320" s="50">
        <f t="shared" si="77"/>
        <v>0</v>
      </c>
      <c r="X320" s="171">
        <v>46241.491666666669</v>
      </c>
      <c r="Y320" s="171">
        <v>46241.704861111109</v>
      </c>
      <c r="Z320" s="168">
        <f t="shared" si="78"/>
        <v>0.21319444444088731</v>
      </c>
      <c r="AA320" s="169">
        <f t="shared" si="79"/>
        <v>0.20833333333333334</v>
      </c>
      <c r="AB320" s="170" t="str">
        <f t="shared" si="80"/>
        <v>-00:07:00</v>
      </c>
      <c r="AC320" s="170" t="b">
        <f t="shared" si="81"/>
        <v>1</v>
      </c>
      <c r="AD320"/>
    </row>
    <row r="321" spans="1:29" s="128" customFormat="1" ht="9.75" hidden="1" customHeight="1" x14ac:dyDescent="0.3">
      <c r="A321" s="99">
        <v>46241</v>
      </c>
      <c r="B321" s="59">
        <v>8153009</v>
      </c>
      <c r="C321" s="60" t="s">
        <v>54</v>
      </c>
      <c r="D321" s="60" t="s">
        <v>288</v>
      </c>
      <c r="E321" s="61">
        <v>0.45833333333333331</v>
      </c>
      <c r="F321" s="60" t="s">
        <v>13</v>
      </c>
      <c r="G321" s="71" t="s">
        <v>24</v>
      </c>
      <c r="H321" s="62">
        <v>0.45763888888888887</v>
      </c>
      <c r="I321" s="113" t="str">
        <f t="shared" si="66"/>
        <v>07-08-2026T10:59:00</v>
      </c>
      <c r="J321" s="62">
        <v>0.53125</v>
      </c>
      <c r="K321" s="62"/>
      <c r="L321" s="63">
        <f t="shared" si="74"/>
        <v>7.3611111111111127E-2</v>
      </c>
      <c r="M321" s="64">
        <v>8.3333333333333329E-2</v>
      </c>
      <c r="N321" s="65" t="str">
        <f t="shared" si="75"/>
        <v>00:14:00</v>
      </c>
      <c r="O321" s="66"/>
      <c r="P321" s="124"/>
      <c r="Q321" s="67"/>
      <c r="R321" s="68"/>
      <c r="S321" s="68"/>
      <c r="T321" s="69">
        <f t="shared" si="76"/>
        <v>0</v>
      </c>
      <c r="U321" s="61" t="s">
        <v>234</v>
      </c>
      <c r="V321" s="83">
        <v>0</v>
      </c>
      <c r="W321" s="61">
        <f t="shared" si="77"/>
        <v>0</v>
      </c>
      <c r="X321" s="171">
        <v>46241.457638888889</v>
      </c>
      <c r="Y321" s="171">
        <v>46241.53125</v>
      </c>
      <c r="Z321" s="168">
        <f t="shared" si="78"/>
        <v>7.3611111110949423E-2</v>
      </c>
      <c r="AA321" s="169">
        <f t="shared" si="79"/>
        <v>8.3333333333333329E-2</v>
      </c>
      <c r="AB321" s="170" t="str">
        <f t="shared" si="80"/>
        <v>00:14:00</v>
      </c>
      <c r="AC321" s="170" t="b">
        <f t="shared" si="81"/>
        <v>1</v>
      </c>
    </row>
    <row r="322" spans="1:29" s="128" customFormat="1" ht="9.75" hidden="1" customHeight="1" x14ac:dyDescent="0.3">
      <c r="A322" s="99">
        <v>46241</v>
      </c>
      <c r="B322" s="59">
        <v>8151828</v>
      </c>
      <c r="C322" s="60" t="s">
        <v>20</v>
      </c>
      <c r="D322" s="60" t="s">
        <v>232</v>
      </c>
      <c r="E322" s="61">
        <v>0.95833333333333337</v>
      </c>
      <c r="F322" s="60" t="s">
        <v>21</v>
      </c>
      <c r="G322" s="71" t="s">
        <v>13</v>
      </c>
      <c r="H322" s="62">
        <v>2.0833333333333333E-3</v>
      </c>
      <c r="I322" s="113" t="str">
        <f t="shared" si="66"/>
        <v>07-08-2026T00:03:00</v>
      </c>
      <c r="J322" s="62">
        <v>0.25</v>
      </c>
      <c r="K322" s="62"/>
      <c r="L322" s="63">
        <f t="shared" si="74"/>
        <v>0.24791666666666667</v>
      </c>
      <c r="M322" s="64">
        <v>0.25</v>
      </c>
      <c r="N322" s="65" t="str">
        <f t="shared" si="75"/>
        <v>00:03:00</v>
      </c>
      <c r="O322" s="66"/>
      <c r="P322" s="124"/>
      <c r="Q322" s="67"/>
      <c r="R322" s="68"/>
      <c r="S322" s="68"/>
      <c r="T322" s="69">
        <f t="shared" si="76"/>
        <v>0</v>
      </c>
      <c r="U322" s="61" t="s">
        <v>234</v>
      </c>
      <c r="V322" s="83">
        <v>0</v>
      </c>
      <c r="W322" s="61">
        <f t="shared" si="77"/>
        <v>0</v>
      </c>
      <c r="X322" s="171">
        <v>46241.002083333333</v>
      </c>
      <c r="Y322" s="171">
        <v>46241.25</v>
      </c>
      <c r="Z322" s="168">
        <f t="shared" si="78"/>
        <v>0.24791666666715173</v>
      </c>
      <c r="AA322" s="169">
        <f t="shared" si="79"/>
        <v>0.25</v>
      </c>
      <c r="AB322" s="170" t="str">
        <f t="shared" si="80"/>
        <v>00:03:00</v>
      </c>
      <c r="AC322" s="170" t="b">
        <f t="shared" si="81"/>
        <v>1</v>
      </c>
    </row>
    <row r="323" spans="1:29" s="128" customFormat="1" ht="9.75" hidden="1" customHeight="1" x14ac:dyDescent="0.3">
      <c r="A323" s="99">
        <v>46241</v>
      </c>
      <c r="B323" s="59">
        <v>8153175</v>
      </c>
      <c r="C323" s="60" t="s">
        <v>20</v>
      </c>
      <c r="D323" s="60" t="s">
        <v>232</v>
      </c>
      <c r="E323" s="61">
        <v>0.5</v>
      </c>
      <c r="F323" s="60" t="s">
        <v>13</v>
      </c>
      <c r="G323" s="71" t="s">
        <v>21</v>
      </c>
      <c r="H323" s="62">
        <v>0.5083333333333333</v>
      </c>
      <c r="I323" s="113" t="str">
        <f t="shared" si="66"/>
        <v>07-08-2026T12:12:00</v>
      </c>
      <c r="J323" s="62">
        <v>0.75</v>
      </c>
      <c r="K323" s="62"/>
      <c r="L323" s="63">
        <f t="shared" si="74"/>
        <v>0.2416666666666667</v>
      </c>
      <c r="M323" s="64">
        <v>0.25</v>
      </c>
      <c r="N323" s="65" t="str">
        <f t="shared" si="75"/>
        <v>00:12:00</v>
      </c>
      <c r="O323" s="66"/>
      <c r="P323" s="124"/>
      <c r="Q323" s="67"/>
      <c r="R323" s="68"/>
      <c r="S323" s="68"/>
      <c r="T323" s="69">
        <f t="shared" si="76"/>
        <v>0</v>
      </c>
      <c r="U323" s="61"/>
      <c r="V323" s="83">
        <v>0</v>
      </c>
      <c r="W323" s="61">
        <f t="shared" si="77"/>
        <v>0</v>
      </c>
      <c r="X323" s="171">
        <v>46241.508333333331</v>
      </c>
      <c r="Y323" s="171">
        <v>46241.75</v>
      </c>
      <c r="Z323" s="168">
        <f t="shared" si="78"/>
        <v>0.24166666666860692</v>
      </c>
      <c r="AA323" s="169">
        <f t="shared" si="79"/>
        <v>0.25</v>
      </c>
      <c r="AB323" s="170" t="str">
        <f t="shared" si="80"/>
        <v>00:12:00</v>
      </c>
      <c r="AC323" s="170" t="b">
        <f t="shared" si="81"/>
        <v>1</v>
      </c>
    </row>
    <row r="324" spans="1:29" s="128" customFormat="1" ht="9.75" hidden="1" customHeight="1" x14ac:dyDescent="0.3">
      <c r="A324" s="99">
        <v>46241</v>
      </c>
      <c r="B324" s="59">
        <v>8153273</v>
      </c>
      <c r="C324" s="60" t="s">
        <v>52</v>
      </c>
      <c r="D324" s="60" t="s">
        <v>616</v>
      </c>
      <c r="E324" s="61">
        <v>0.54166666666666663</v>
      </c>
      <c r="F324" s="60" t="s">
        <v>13</v>
      </c>
      <c r="G324" s="71" t="s">
        <v>15</v>
      </c>
      <c r="H324" s="62">
        <v>0.54236111111111107</v>
      </c>
      <c r="I324" s="113" t="str">
        <f t="shared" ref="I324:I387" si="83">TEXT(A324,"dd-mm-yyyy")&amp;"T"&amp;TEXT(H324,"hh:mm:ss")</f>
        <v>07-08-2026T13:01:00</v>
      </c>
      <c r="J324" s="62">
        <v>0.74652777777777779</v>
      </c>
      <c r="K324" s="62"/>
      <c r="L324" s="63">
        <f t="shared" si="74"/>
        <v>0.20416666666666672</v>
      </c>
      <c r="M324" s="64">
        <v>0.20833333333333334</v>
      </c>
      <c r="N324" s="65" t="str">
        <f t="shared" si="75"/>
        <v>00:06:00</v>
      </c>
      <c r="O324" s="66"/>
      <c r="P324" s="124"/>
      <c r="Q324" s="67"/>
      <c r="R324" s="68"/>
      <c r="S324" s="68"/>
      <c r="T324" s="69">
        <f t="shared" si="76"/>
        <v>0</v>
      </c>
      <c r="U324" s="61" t="s">
        <v>234</v>
      </c>
      <c r="V324" s="83">
        <v>0</v>
      </c>
      <c r="W324" s="61">
        <f t="shared" si="77"/>
        <v>0</v>
      </c>
      <c r="X324" s="171">
        <v>46241.542361111111</v>
      </c>
      <c r="Y324" s="171">
        <v>46241.746527777781</v>
      </c>
      <c r="Z324" s="168">
        <f t="shared" si="78"/>
        <v>0.20416666667006211</v>
      </c>
      <c r="AA324" s="169">
        <f t="shared" si="79"/>
        <v>0.20833333333333334</v>
      </c>
      <c r="AB324" s="170" t="str">
        <f t="shared" si="80"/>
        <v>00:06:00</v>
      </c>
      <c r="AC324" s="170" t="b">
        <f t="shared" si="81"/>
        <v>1</v>
      </c>
    </row>
    <row r="325" spans="1:29" s="128" customFormat="1" ht="9.75" hidden="1" customHeight="1" x14ac:dyDescent="0.3">
      <c r="A325" s="99">
        <v>46241</v>
      </c>
      <c r="B325" s="59">
        <v>8153757</v>
      </c>
      <c r="C325" s="60" t="s">
        <v>53</v>
      </c>
      <c r="D325" s="60" t="s">
        <v>380</v>
      </c>
      <c r="E325" s="61">
        <v>0.64583333333333337</v>
      </c>
      <c r="F325" s="60" t="s">
        <v>19</v>
      </c>
      <c r="G325" s="71" t="s">
        <v>13</v>
      </c>
      <c r="H325" s="62">
        <v>46241.711111111108</v>
      </c>
      <c r="I325" s="113" t="str">
        <f t="shared" si="83"/>
        <v>07-08-2026T17:04:00</v>
      </c>
      <c r="J325" s="62">
        <v>46242.129861111112</v>
      </c>
      <c r="K325" s="62"/>
      <c r="L325" s="63">
        <f t="shared" si="74"/>
        <v>0.41875000000436557</v>
      </c>
      <c r="M325" s="64">
        <v>0.4375</v>
      </c>
      <c r="N325" s="65" t="str">
        <f t="shared" si="75"/>
        <v>00:27:00</v>
      </c>
      <c r="O325" s="66"/>
      <c r="P325" s="124"/>
      <c r="Q325" s="67" t="s">
        <v>229</v>
      </c>
      <c r="R325" s="68">
        <v>46241.822916666664</v>
      </c>
      <c r="S325" s="68">
        <v>46241.864583333336</v>
      </c>
      <c r="T325" s="69">
        <f t="shared" si="76"/>
        <v>4.1666666671517305E-2</v>
      </c>
      <c r="U325" s="61"/>
      <c r="V325" s="83">
        <v>8.3333333333333329E-2</v>
      </c>
      <c r="W325" s="61">
        <f t="shared" si="77"/>
        <v>-4.1666666661816024E-2</v>
      </c>
      <c r="X325" s="171">
        <v>46241.711111111108</v>
      </c>
      <c r="Y325" s="171">
        <v>46242.129861111112</v>
      </c>
      <c r="Z325" s="168">
        <f t="shared" si="78"/>
        <v>0.41875000000436557</v>
      </c>
      <c r="AA325" s="169">
        <f t="shared" si="79"/>
        <v>0.4375</v>
      </c>
      <c r="AB325" s="170" t="str">
        <f t="shared" si="80"/>
        <v>00:27:00</v>
      </c>
      <c r="AC325" s="170" t="b">
        <f t="shared" si="81"/>
        <v>1</v>
      </c>
    </row>
    <row r="326" spans="1:29" s="128" customFormat="1" ht="9.75" hidden="1" customHeight="1" x14ac:dyDescent="0.3">
      <c r="A326" s="99">
        <v>46241</v>
      </c>
      <c r="B326" s="59">
        <v>8153731</v>
      </c>
      <c r="C326" s="60" t="s">
        <v>57</v>
      </c>
      <c r="D326" s="60" t="s">
        <v>370</v>
      </c>
      <c r="E326" s="61">
        <v>0.70833333333333337</v>
      </c>
      <c r="F326" s="60" t="s">
        <v>13</v>
      </c>
      <c r="G326" s="71" t="s">
        <v>24</v>
      </c>
      <c r="H326" s="62">
        <v>0.70486111111111116</v>
      </c>
      <c r="I326" s="113" t="str">
        <f t="shared" si="83"/>
        <v>07-08-2026T16:55:00</v>
      </c>
      <c r="J326" s="62">
        <v>0.77777777777777779</v>
      </c>
      <c r="K326" s="62"/>
      <c r="L326" s="63">
        <f t="shared" si="74"/>
        <v>7.291666666666663E-2</v>
      </c>
      <c r="M326" s="64">
        <v>8.3333333333333329E-2</v>
      </c>
      <c r="N326" s="65" t="str">
        <f t="shared" si="75"/>
        <v>00:15:00</v>
      </c>
      <c r="O326" s="66"/>
      <c r="P326" s="124"/>
      <c r="Q326" s="67"/>
      <c r="R326" s="68"/>
      <c r="S326" s="68"/>
      <c r="T326" s="69">
        <f t="shared" si="76"/>
        <v>0</v>
      </c>
      <c r="U326" s="61" t="s">
        <v>234</v>
      </c>
      <c r="V326" s="83">
        <v>0</v>
      </c>
      <c r="W326" s="61">
        <f t="shared" si="77"/>
        <v>0</v>
      </c>
      <c r="X326" s="171">
        <v>46241.704861111109</v>
      </c>
      <c r="Y326" s="171">
        <v>46241.777777777781</v>
      </c>
      <c r="Z326" s="168">
        <f t="shared" si="78"/>
        <v>7.2916666671517305E-2</v>
      </c>
      <c r="AA326" s="169">
        <f t="shared" si="79"/>
        <v>8.3333333333333329E-2</v>
      </c>
      <c r="AB326" s="170" t="str">
        <f t="shared" si="80"/>
        <v>00:15:00</v>
      </c>
      <c r="AC326" s="170" t="b">
        <f t="shared" si="81"/>
        <v>1</v>
      </c>
    </row>
    <row r="327" spans="1:29" s="128" customFormat="1" ht="9.75" hidden="1" customHeight="1" x14ac:dyDescent="0.3">
      <c r="A327" s="99">
        <v>46241</v>
      </c>
      <c r="B327" s="59">
        <v>8153787</v>
      </c>
      <c r="C327" s="60" t="s">
        <v>87</v>
      </c>
      <c r="D327" s="60" t="s">
        <v>367</v>
      </c>
      <c r="E327" s="61">
        <v>0.70833333333333337</v>
      </c>
      <c r="F327" s="60" t="s">
        <v>85</v>
      </c>
      <c r="G327" s="71" t="s">
        <v>13</v>
      </c>
      <c r="H327" s="62">
        <v>46241.720833333333</v>
      </c>
      <c r="I327" s="113" t="str">
        <f t="shared" si="83"/>
        <v>07-08-2026T17:18:00</v>
      </c>
      <c r="J327" s="62">
        <v>46242.023611111108</v>
      </c>
      <c r="K327" s="62"/>
      <c r="L327" s="63">
        <f t="shared" si="74"/>
        <v>0.30277777777519077</v>
      </c>
      <c r="M327" s="64">
        <v>0.33333333333333331</v>
      </c>
      <c r="N327" s="65" t="str">
        <f t="shared" si="75"/>
        <v>00:44:00</v>
      </c>
      <c r="O327" s="66"/>
      <c r="P327" s="124"/>
      <c r="Q327" s="67" t="s">
        <v>174</v>
      </c>
      <c r="R327" s="68">
        <v>46241.782638888886</v>
      </c>
      <c r="S327" s="68">
        <v>46241.796527777777</v>
      </c>
      <c r="T327" s="69">
        <f t="shared" si="76"/>
        <v>1.3888888890505768E-2</v>
      </c>
      <c r="U327" s="61"/>
      <c r="V327" s="83">
        <v>4.1666666666666664E-2</v>
      </c>
      <c r="W327" s="61">
        <f t="shared" si="77"/>
        <v>-2.7777777776160896E-2</v>
      </c>
      <c r="X327" s="171">
        <v>46241.720833333333</v>
      </c>
      <c r="Y327" s="171">
        <v>46242.023611111108</v>
      </c>
      <c r="Z327" s="168">
        <f t="shared" si="78"/>
        <v>0.30277777777519077</v>
      </c>
      <c r="AA327" s="169">
        <f t="shared" si="79"/>
        <v>0.33333333333333331</v>
      </c>
      <c r="AB327" s="170" t="str">
        <f t="shared" si="80"/>
        <v>00:44:00</v>
      </c>
      <c r="AC327" s="170" t="b">
        <f t="shared" si="81"/>
        <v>1</v>
      </c>
    </row>
    <row r="328" spans="1:29" s="128" customFormat="1" ht="9.75" hidden="1" customHeight="1" x14ac:dyDescent="0.3">
      <c r="A328" s="99">
        <v>46241</v>
      </c>
      <c r="B328" s="59">
        <v>8153773</v>
      </c>
      <c r="C328" s="60" t="s">
        <v>27</v>
      </c>
      <c r="D328" s="60" t="s">
        <v>378</v>
      </c>
      <c r="E328" s="61">
        <v>0.70833333333333337</v>
      </c>
      <c r="F328" s="60" t="s">
        <v>28</v>
      </c>
      <c r="G328" s="71" t="s">
        <v>13</v>
      </c>
      <c r="H328" s="62">
        <v>0.71527777777777779</v>
      </c>
      <c r="I328" s="113" t="str">
        <f t="shared" si="83"/>
        <v>07-08-2026T17:10:00</v>
      </c>
      <c r="J328" s="62">
        <v>0.88055555555555554</v>
      </c>
      <c r="K328" s="62"/>
      <c r="L328" s="63">
        <f t="shared" si="74"/>
        <v>0.16527777777777775</v>
      </c>
      <c r="M328" s="64">
        <v>0.16666666666666666</v>
      </c>
      <c r="N328" s="65" t="str">
        <f t="shared" si="75"/>
        <v>00:02:00</v>
      </c>
      <c r="O328" s="66"/>
      <c r="P328" s="124"/>
      <c r="Q328" s="67"/>
      <c r="R328" s="68"/>
      <c r="S328" s="68"/>
      <c r="T328" s="69">
        <f t="shared" si="76"/>
        <v>0</v>
      </c>
      <c r="U328" s="61"/>
      <c r="V328" s="83">
        <v>0</v>
      </c>
      <c r="W328" s="61">
        <f t="shared" si="77"/>
        <v>0</v>
      </c>
      <c r="X328" s="171">
        <v>46241.715277777781</v>
      </c>
      <c r="Y328" s="171">
        <v>46241.880555555559</v>
      </c>
      <c r="Z328" s="168">
        <f t="shared" si="78"/>
        <v>0.16527777777810115</v>
      </c>
      <c r="AA328" s="169">
        <f t="shared" si="79"/>
        <v>0.16666666666666666</v>
      </c>
      <c r="AB328" s="170" t="str">
        <f t="shared" si="80"/>
        <v>00:02:00</v>
      </c>
      <c r="AC328" s="170" t="b">
        <f t="shared" si="81"/>
        <v>1</v>
      </c>
    </row>
    <row r="329" spans="1:29" s="128" customFormat="1" ht="9.75" hidden="1" customHeight="1" x14ac:dyDescent="0.3">
      <c r="A329" s="99">
        <v>46241</v>
      </c>
      <c r="B329" s="59">
        <v>8153819</v>
      </c>
      <c r="C329" s="60" t="s">
        <v>89</v>
      </c>
      <c r="D329" s="60" t="s">
        <v>294</v>
      </c>
      <c r="E329" s="61">
        <v>0.75</v>
      </c>
      <c r="F329" s="60" t="s">
        <v>35</v>
      </c>
      <c r="G329" s="71" t="s">
        <v>13</v>
      </c>
      <c r="H329" s="62">
        <v>0.73263888888888884</v>
      </c>
      <c r="I329" s="113" t="str">
        <f t="shared" si="83"/>
        <v>07-08-2026T17:35:00</v>
      </c>
      <c r="J329" s="62">
        <v>0.76111111111111107</v>
      </c>
      <c r="K329" s="62"/>
      <c r="L329" s="63">
        <f t="shared" si="74"/>
        <v>2.8472222222222232E-2</v>
      </c>
      <c r="M329" s="64">
        <v>4.1666666666666664E-2</v>
      </c>
      <c r="N329" s="65" t="str">
        <f t="shared" si="75"/>
        <v>00:19:00</v>
      </c>
      <c r="O329" s="66"/>
      <c r="P329" s="124"/>
      <c r="Q329" s="67"/>
      <c r="R329" s="68"/>
      <c r="S329" s="68"/>
      <c r="T329" s="69">
        <f t="shared" si="76"/>
        <v>0</v>
      </c>
      <c r="U329" s="61"/>
      <c r="V329" s="83">
        <v>0</v>
      </c>
      <c r="W329" s="61">
        <f t="shared" si="77"/>
        <v>0</v>
      </c>
      <c r="X329" s="171">
        <v>46241.732638888891</v>
      </c>
      <c r="Y329" s="171">
        <v>46241.761111111111</v>
      </c>
      <c r="Z329" s="168">
        <f t="shared" si="78"/>
        <v>2.8472222220443655E-2</v>
      </c>
      <c r="AA329" s="169">
        <f t="shared" si="79"/>
        <v>4.1666666666666664E-2</v>
      </c>
      <c r="AB329" s="170" t="str">
        <f t="shared" si="80"/>
        <v>00:19:00</v>
      </c>
      <c r="AC329" s="170" t="b">
        <f t="shared" si="81"/>
        <v>1</v>
      </c>
    </row>
    <row r="330" spans="1:29" s="128" customFormat="1" ht="9.75" hidden="1" customHeight="1" x14ac:dyDescent="0.3">
      <c r="A330" s="99">
        <v>46241</v>
      </c>
      <c r="B330" s="59">
        <v>8154017</v>
      </c>
      <c r="C330" s="60" t="s">
        <v>32</v>
      </c>
      <c r="D330" s="60" t="s">
        <v>476</v>
      </c>
      <c r="E330" s="61">
        <v>0.83333333333333337</v>
      </c>
      <c r="F330" s="60" t="s">
        <v>287</v>
      </c>
      <c r="G330" s="71" t="s">
        <v>13</v>
      </c>
      <c r="H330" s="62">
        <v>0.79374999999999996</v>
      </c>
      <c r="I330" s="113" t="str">
        <f t="shared" si="83"/>
        <v>07-08-2026T19:03:00</v>
      </c>
      <c r="J330" s="62">
        <v>0.92291666666666672</v>
      </c>
      <c r="K330" s="62"/>
      <c r="L330" s="63">
        <f t="shared" si="74"/>
        <v>0.12916666666666676</v>
      </c>
      <c r="M330" s="64">
        <v>0.14583333333333334</v>
      </c>
      <c r="N330" s="65" t="str">
        <f t="shared" si="75"/>
        <v>00:24:00</v>
      </c>
      <c r="O330" s="66"/>
      <c r="P330" s="124"/>
      <c r="Q330" s="67"/>
      <c r="R330" s="68"/>
      <c r="S330" s="68"/>
      <c r="T330" s="69">
        <f t="shared" si="76"/>
        <v>0</v>
      </c>
      <c r="U330" s="61"/>
      <c r="V330" s="83">
        <v>0</v>
      </c>
      <c r="W330" s="61">
        <f t="shared" si="77"/>
        <v>0</v>
      </c>
      <c r="X330" s="171">
        <v>46241.793749999997</v>
      </c>
      <c r="Y330" s="171">
        <v>46241.92291666667</v>
      </c>
      <c r="Z330" s="168">
        <f t="shared" si="78"/>
        <v>0.1291666666729725</v>
      </c>
      <c r="AA330" s="169">
        <f t="shared" si="79"/>
        <v>0.14583333333333334</v>
      </c>
      <c r="AB330" s="170" t="str">
        <f t="shared" si="80"/>
        <v>00:24:00</v>
      </c>
      <c r="AC330" s="170" t="b">
        <f t="shared" si="81"/>
        <v>1</v>
      </c>
    </row>
    <row r="331" spans="1:29" s="128" customFormat="1" ht="9.75" hidden="1" customHeight="1" x14ac:dyDescent="0.3">
      <c r="A331" s="99">
        <v>46241</v>
      </c>
      <c r="B331" s="59">
        <v>8154279</v>
      </c>
      <c r="C331" s="60" t="s">
        <v>56</v>
      </c>
      <c r="D331" s="60" t="s">
        <v>472</v>
      </c>
      <c r="E331" s="61">
        <v>0.875</v>
      </c>
      <c r="F331" s="60" t="s">
        <v>13</v>
      </c>
      <c r="G331" s="71" t="s">
        <v>15</v>
      </c>
      <c r="H331" s="62">
        <v>46241.873611111114</v>
      </c>
      <c r="I331" s="113" t="str">
        <f t="shared" si="83"/>
        <v>07-08-2026T20:58:00</v>
      </c>
      <c r="J331" s="62">
        <v>46242.07916666667</v>
      </c>
      <c r="K331" s="62"/>
      <c r="L331" s="63">
        <f t="shared" si="74"/>
        <v>0.20555555555620231</v>
      </c>
      <c r="M331" s="64">
        <v>0.20833333333333334</v>
      </c>
      <c r="N331" s="65" t="str">
        <f t="shared" si="75"/>
        <v>00:04:00</v>
      </c>
      <c r="O331" s="66"/>
      <c r="P331" s="124"/>
      <c r="Q331" s="67"/>
      <c r="R331" s="68"/>
      <c r="S331" s="68"/>
      <c r="T331" s="69">
        <f t="shared" si="76"/>
        <v>0</v>
      </c>
      <c r="U331" s="61" t="s">
        <v>234</v>
      </c>
      <c r="V331" s="83">
        <v>0</v>
      </c>
      <c r="W331" s="61">
        <f t="shared" si="77"/>
        <v>0</v>
      </c>
      <c r="X331" s="171">
        <v>46241.873611111114</v>
      </c>
      <c r="Y331" s="171">
        <v>46242.07916666667</v>
      </c>
      <c r="Z331" s="168">
        <f t="shared" si="78"/>
        <v>0.20555555555620231</v>
      </c>
      <c r="AA331" s="169">
        <f t="shared" si="79"/>
        <v>0.20833333333333334</v>
      </c>
      <c r="AB331" s="170" t="str">
        <f t="shared" si="80"/>
        <v>00:04:00</v>
      </c>
      <c r="AC331" s="170" t="b">
        <f t="shared" si="81"/>
        <v>1</v>
      </c>
    </row>
    <row r="332" spans="1:29" s="128" customFormat="1" ht="9.75" hidden="1" customHeight="1" x14ac:dyDescent="0.3">
      <c r="A332" s="99">
        <v>46241</v>
      </c>
      <c r="B332" s="59">
        <v>8154187</v>
      </c>
      <c r="C332" s="60" t="s">
        <v>42</v>
      </c>
      <c r="D332" s="60" t="s">
        <v>181</v>
      </c>
      <c r="E332" s="61">
        <v>0.875</v>
      </c>
      <c r="F332" s="60" t="s">
        <v>55</v>
      </c>
      <c r="G332" s="71" t="s">
        <v>13</v>
      </c>
      <c r="H332" s="62">
        <v>0.84861111111111109</v>
      </c>
      <c r="I332" s="113" t="str">
        <f t="shared" si="83"/>
        <v>07-08-2026T20:22:00</v>
      </c>
      <c r="J332" s="62">
        <v>0.90277777777777779</v>
      </c>
      <c r="K332" s="62"/>
      <c r="L332" s="63">
        <f t="shared" si="74"/>
        <v>5.4166666666666696E-2</v>
      </c>
      <c r="M332" s="64">
        <v>6.25E-2</v>
      </c>
      <c r="N332" s="65" t="str">
        <f t="shared" si="75"/>
        <v>00:12:00</v>
      </c>
      <c r="O332" s="66"/>
      <c r="P332" s="124"/>
      <c r="Q332" s="67"/>
      <c r="R332" s="68"/>
      <c r="S332" s="68"/>
      <c r="T332" s="69">
        <f t="shared" si="76"/>
        <v>0</v>
      </c>
      <c r="U332" s="61"/>
      <c r="V332" s="83">
        <v>0</v>
      </c>
      <c r="W332" s="61">
        <f t="shared" si="77"/>
        <v>0</v>
      </c>
      <c r="X332" s="171">
        <v>46241.848611111112</v>
      </c>
      <c r="Y332" s="171">
        <v>46241.902777777781</v>
      </c>
      <c r="Z332" s="168">
        <f t="shared" si="78"/>
        <v>5.4166666668606922E-2</v>
      </c>
      <c r="AA332" s="169">
        <f t="shared" si="79"/>
        <v>6.25E-2</v>
      </c>
      <c r="AB332" s="170" t="str">
        <f t="shared" si="80"/>
        <v>00:12:00</v>
      </c>
      <c r="AC332" s="170" t="b">
        <f t="shared" si="81"/>
        <v>1</v>
      </c>
    </row>
    <row r="333" spans="1:29" s="128" customFormat="1" ht="9.75" hidden="1" customHeight="1" x14ac:dyDescent="0.3">
      <c r="A333" s="99">
        <v>46241</v>
      </c>
      <c r="B333" s="59">
        <v>8154218</v>
      </c>
      <c r="C333" s="60" t="s">
        <v>97</v>
      </c>
      <c r="D333" s="60" t="s">
        <v>468</v>
      </c>
      <c r="E333" s="61">
        <v>0.875</v>
      </c>
      <c r="F333" s="60" t="s">
        <v>13</v>
      </c>
      <c r="G333" s="71" t="s">
        <v>23</v>
      </c>
      <c r="H333" s="62">
        <v>46241.85833333333</v>
      </c>
      <c r="I333" s="113" t="str">
        <f t="shared" si="83"/>
        <v>07-08-2026T20:36:00</v>
      </c>
      <c r="J333" s="62">
        <v>46242.961805555555</v>
      </c>
      <c r="K333" s="62"/>
      <c r="L333" s="63">
        <f t="shared" si="74"/>
        <v>1.1034722222248092</v>
      </c>
      <c r="M333" s="64">
        <v>1</v>
      </c>
      <c r="N333" s="65" t="str">
        <f t="shared" si="75"/>
        <v>-02:29:00</v>
      </c>
      <c r="O333" s="66"/>
      <c r="P333" s="124" t="s">
        <v>403</v>
      </c>
      <c r="Q333" s="67"/>
      <c r="R333" s="68"/>
      <c r="S333" s="68"/>
      <c r="T333" s="69">
        <f t="shared" si="76"/>
        <v>0</v>
      </c>
      <c r="U333" s="61"/>
      <c r="V333" s="83">
        <v>0</v>
      </c>
      <c r="W333" s="61">
        <f t="shared" si="77"/>
        <v>0</v>
      </c>
      <c r="X333" s="172">
        <v>46241.85833333333</v>
      </c>
      <c r="Y333" s="172">
        <v>46242.961805555555</v>
      </c>
      <c r="Z333" s="173">
        <f t="shared" si="78"/>
        <v>1.1034722222248092</v>
      </c>
      <c r="AA333" s="174">
        <f t="shared" si="79"/>
        <v>1</v>
      </c>
      <c r="AB333" s="175" t="str">
        <f t="shared" si="80"/>
        <v>-02:29:00</v>
      </c>
      <c r="AC333" s="175" t="b">
        <f t="shared" si="81"/>
        <v>1</v>
      </c>
    </row>
    <row r="334" spans="1:29" s="128" customFormat="1" ht="9.75" hidden="1" customHeight="1" x14ac:dyDescent="0.3">
      <c r="A334" s="99">
        <v>46241</v>
      </c>
      <c r="B334" s="59">
        <v>8154253</v>
      </c>
      <c r="C334" s="60" t="s">
        <v>41</v>
      </c>
      <c r="D334" s="60" t="s">
        <v>299</v>
      </c>
      <c r="E334" s="61">
        <v>0.875</v>
      </c>
      <c r="F334" s="60" t="s">
        <v>24</v>
      </c>
      <c r="G334" s="71" t="s">
        <v>13</v>
      </c>
      <c r="H334" s="62">
        <v>0.86875000000000002</v>
      </c>
      <c r="I334" s="113" t="str">
        <f t="shared" si="83"/>
        <v>07-08-2026T20:51:00</v>
      </c>
      <c r="J334" s="62">
        <v>0.94444444444444442</v>
      </c>
      <c r="K334" s="62"/>
      <c r="L334" s="63">
        <f t="shared" si="74"/>
        <v>7.5694444444444398E-2</v>
      </c>
      <c r="M334" s="64">
        <v>8.3333333333333329E-2</v>
      </c>
      <c r="N334" s="65" t="str">
        <f t="shared" si="75"/>
        <v>00:11:00</v>
      </c>
      <c r="O334" s="66"/>
      <c r="P334" s="124"/>
      <c r="Q334" s="67"/>
      <c r="R334" s="68"/>
      <c r="S334" s="68"/>
      <c r="T334" s="69">
        <f t="shared" si="76"/>
        <v>0</v>
      </c>
      <c r="U334" s="61"/>
      <c r="V334" s="83">
        <v>0</v>
      </c>
      <c r="W334" s="61">
        <f t="shared" si="77"/>
        <v>0</v>
      </c>
      <c r="X334" s="171">
        <v>46241.868750000001</v>
      </c>
      <c r="Y334" s="171">
        <v>46241.944444444445</v>
      </c>
      <c r="Z334" s="168">
        <f t="shared" si="78"/>
        <v>7.5694444443797693E-2</v>
      </c>
      <c r="AA334" s="169">
        <f t="shared" si="79"/>
        <v>8.3333333333333329E-2</v>
      </c>
      <c r="AB334" s="170" t="str">
        <f t="shared" si="80"/>
        <v>00:11:00</v>
      </c>
      <c r="AC334" s="170" t="b">
        <f t="shared" si="81"/>
        <v>1</v>
      </c>
    </row>
    <row r="335" spans="1:29" s="128" customFormat="1" ht="9.75" hidden="1" customHeight="1" x14ac:dyDescent="0.3">
      <c r="A335" s="99">
        <v>46241</v>
      </c>
      <c r="B335" s="59">
        <v>8154558</v>
      </c>
      <c r="C335" s="60" t="s">
        <v>54</v>
      </c>
      <c r="D335" s="60" t="s">
        <v>288</v>
      </c>
      <c r="E335" s="61">
        <v>0.99930555555555556</v>
      </c>
      <c r="F335" s="60" t="s">
        <v>24</v>
      </c>
      <c r="G335" s="71" t="s">
        <v>13</v>
      </c>
      <c r="H335" s="62">
        <v>46241.986805555556</v>
      </c>
      <c r="I335" s="113" t="str">
        <f t="shared" si="83"/>
        <v>07-08-2026T23:41:00</v>
      </c>
      <c r="J335" s="62">
        <v>46242.058333333334</v>
      </c>
      <c r="K335" s="62"/>
      <c r="L335" s="63">
        <f t="shared" si="74"/>
        <v>7.1527777778101154E-2</v>
      </c>
      <c r="M335" s="64">
        <v>8.3333333333333329E-2</v>
      </c>
      <c r="N335" s="65" t="str">
        <f t="shared" si="75"/>
        <v>00:17:00</v>
      </c>
      <c r="O335" s="66"/>
      <c r="P335" s="124"/>
      <c r="Q335" s="67"/>
      <c r="R335" s="68"/>
      <c r="S335" s="68"/>
      <c r="T335" s="69">
        <f t="shared" si="76"/>
        <v>0</v>
      </c>
      <c r="U335" s="61"/>
      <c r="V335" s="83">
        <v>0</v>
      </c>
      <c r="W335" s="61">
        <f t="shared" si="77"/>
        <v>0</v>
      </c>
      <c r="X335" s="171">
        <v>46241.986805555556</v>
      </c>
      <c r="Y335" s="171">
        <v>46242.058333333334</v>
      </c>
      <c r="Z335" s="168">
        <f t="shared" si="78"/>
        <v>7.1527777778101154E-2</v>
      </c>
      <c r="AA335" s="169">
        <f t="shared" si="79"/>
        <v>8.3333333333333329E-2</v>
      </c>
      <c r="AB335" s="170" t="str">
        <f t="shared" si="80"/>
        <v>00:17:00</v>
      </c>
      <c r="AC335" s="170" t="b">
        <f t="shared" si="81"/>
        <v>1</v>
      </c>
    </row>
    <row r="336" spans="1:29" s="128" customFormat="1" ht="9.75" hidden="1" customHeight="1" x14ac:dyDescent="0.3">
      <c r="A336" s="99">
        <v>46241</v>
      </c>
      <c r="B336" s="59">
        <v>8154550</v>
      </c>
      <c r="C336" s="60" t="s">
        <v>20</v>
      </c>
      <c r="D336" s="60" t="s">
        <v>232</v>
      </c>
      <c r="E336" s="61">
        <v>0.95833333333333337</v>
      </c>
      <c r="F336" s="60" t="s">
        <v>21</v>
      </c>
      <c r="G336" s="71" t="s">
        <v>13</v>
      </c>
      <c r="H336" s="62">
        <v>46241.981944444444</v>
      </c>
      <c r="I336" s="113" t="str">
        <f t="shared" si="83"/>
        <v>07-08-2026T23:34:00</v>
      </c>
      <c r="J336" s="62">
        <v>46242.225694444445</v>
      </c>
      <c r="K336" s="62"/>
      <c r="L336" s="63">
        <f t="shared" si="74"/>
        <v>0.24375000000145519</v>
      </c>
      <c r="M336" s="64">
        <v>0.25</v>
      </c>
      <c r="N336" s="65" t="str">
        <f t="shared" si="75"/>
        <v>00:09:00</v>
      </c>
      <c r="O336" s="66"/>
      <c r="P336" s="124"/>
      <c r="Q336" s="67"/>
      <c r="R336" s="68"/>
      <c r="S336" s="68"/>
      <c r="T336" s="69">
        <f t="shared" si="76"/>
        <v>0</v>
      </c>
      <c r="U336" s="61" t="s">
        <v>234</v>
      </c>
      <c r="V336" s="83">
        <v>0</v>
      </c>
      <c r="W336" s="61">
        <f t="shared" si="77"/>
        <v>0</v>
      </c>
      <c r="X336" s="171">
        <v>46241.981944444444</v>
      </c>
      <c r="Y336" s="171">
        <v>46242.225694444445</v>
      </c>
      <c r="Z336" s="168">
        <f t="shared" si="78"/>
        <v>0.24375000000145519</v>
      </c>
      <c r="AA336" s="169">
        <f t="shared" si="79"/>
        <v>0.25</v>
      </c>
      <c r="AB336" s="170" t="str">
        <f t="shared" si="80"/>
        <v>00:09:00</v>
      </c>
      <c r="AC336" s="170" t="b">
        <f t="shared" si="81"/>
        <v>1</v>
      </c>
    </row>
    <row r="337" spans="1:29" s="144" customFormat="1" ht="9.75" hidden="1" customHeight="1" x14ac:dyDescent="0.3">
      <c r="A337" s="129">
        <v>46241</v>
      </c>
      <c r="B337" s="130">
        <v>8152792</v>
      </c>
      <c r="C337" s="131" t="s">
        <v>100</v>
      </c>
      <c r="D337" s="131" t="s">
        <v>391</v>
      </c>
      <c r="E337" s="132">
        <v>0.95833333333333337</v>
      </c>
      <c r="F337" s="131" t="s">
        <v>173</v>
      </c>
      <c r="G337" s="133" t="s">
        <v>13</v>
      </c>
      <c r="H337" s="134">
        <v>46241.349305555559</v>
      </c>
      <c r="I337" s="113" t="str">
        <f t="shared" si="83"/>
        <v>07-08-2026T08:23:00</v>
      </c>
      <c r="J337" s="134">
        <v>46243.34097222222</v>
      </c>
      <c r="K337" s="134"/>
      <c r="L337" s="135">
        <f t="shared" si="74"/>
        <v>1.991666666661331</v>
      </c>
      <c r="M337" s="136">
        <v>1.9166666666666667</v>
      </c>
      <c r="N337" s="137" t="str">
        <f t="shared" si="75"/>
        <v>-01:48:00</v>
      </c>
      <c r="O337" s="138"/>
      <c r="P337" s="145" t="s">
        <v>536</v>
      </c>
      <c r="Q337" s="140" t="s">
        <v>96</v>
      </c>
      <c r="R337" s="141">
        <v>46241.555555555555</v>
      </c>
      <c r="S337" s="141">
        <v>46241.831250000003</v>
      </c>
      <c r="T337" s="142">
        <f t="shared" si="76"/>
        <v>0.27569444444816327</v>
      </c>
      <c r="U337" s="132"/>
      <c r="V337" s="143">
        <v>8.3333333333333329E-2</v>
      </c>
      <c r="W337" s="132">
        <f t="shared" si="77"/>
        <v>0.19236111111482995</v>
      </c>
      <c r="X337" s="171">
        <v>46241.349305555559</v>
      </c>
      <c r="Y337" s="171">
        <v>46243.34097222222</v>
      </c>
      <c r="Z337" s="168">
        <f t="shared" si="78"/>
        <v>1.991666666661331</v>
      </c>
      <c r="AA337" s="169">
        <f t="shared" si="79"/>
        <v>1.9166666666666667</v>
      </c>
      <c r="AB337" s="170" t="str">
        <f t="shared" si="80"/>
        <v>-01:48:00</v>
      </c>
      <c r="AC337" s="170" t="b">
        <f t="shared" si="81"/>
        <v>1</v>
      </c>
    </row>
    <row r="338" spans="1:29" s="127" customFormat="1" ht="9.75" hidden="1" customHeight="1" x14ac:dyDescent="0.3">
      <c r="A338" s="98">
        <v>46241</v>
      </c>
      <c r="B338" s="48">
        <v>8154513</v>
      </c>
      <c r="C338" s="49" t="s">
        <v>22</v>
      </c>
      <c r="D338" s="49" t="s">
        <v>385</v>
      </c>
      <c r="E338" s="50">
        <v>0.95833333333333337</v>
      </c>
      <c r="F338" s="49" t="s">
        <v>173</v>
      </c>
      <c r="G338" s="70" t="s">
        <v>13</v>
      </c>
      <c r="H338" s="51">
        <v>46241.962500000001</v>
      </c>
      <c r="I338" s="113" t="str">
        <f t="shared" si="83"/>
        <v>07-08-2026T23:06:00</v>
      </c>
      <c r="J338" s="51">
        <v>46244.486805555556</v>
      </c>
      <c r="K338" s="51"/>
      <c r="L338" s="52">
        <f t="shared" si="74"/>
        <v>2.5243055555547471</v>
      </c>
      <c r="M338" s="53">
        <v>1.9166666666666667</v>
      </c>
      <c r="N338" s="54" t="str">
        <f t="shared" si="75"/>
        <v>-14:35:00</v>
      </c>
      <c r="O338" s="55">
        <f>200*14</f>
        <v>2800</v>
      </c>
      <c r="P338" s="147" t="s">
        <v>538</v>
      </c>
      <c r="Q338" s="56" t="s">
        <v>96</v>
      </c>
      <c r="R338" s="57">
        <v>46242.111111111109</v>
      </c>
      <c r="S338" s="57">
        <v>46242.222222222219</v>
      </c>
      <c r="T338" s="47">
        <f t="shared" si="76"/>
        <v>0.11111111110949423</v>
      </c>
      <c r="U338" s="50"/>
      <c r="V338" s="74">
        <v>8.3333333333333329E-2</v>
      </c>
      <c r="W338" s="50">
        <f t="shared" si="77"/>
        <v>2.7777777776160903E-2</v>
      </c>
      <c r="X338" s="171">
        <v>46241.962500000001</v>
      </c>
      <c r="Y338" s="171">
        <v>46244.486805555556</v>
      </c>
      <c r="Z338" s="168">
        <f t="shared" si="78"/>
        <v>2.5243055555547471</v>
      </c>
      <c r="AA338" s="169">
        <f t="shared" si="79"/>
        <v>1.9166666666666667</v>
      </c>
      <c r="AB338" s="170" t="str">
        <f t="shared" si="80"/>
        <v>-14:35:00</v>
      </c>
      <c r="AC338" s="170" t="b">
        <f t="shared" si="81"/>
        <v>1</v>
      </c>
    </row>
    <row r="339" spans="1:29" s="128" customFormat="1" ht="9.75" hidden="1" customHeight="1" x14ac:dyDescent="0.3">
      <c r="A339" s="99">
        <v>46241</v>
      </c>
      <c r="B339" s="59">
        <v>8154595</v>
      </c>
      <c r="C339" s="60" t="s">
        <v>52</v>
      </c>
      <c r="D339" s="60" t="s">
        <v>616</v>
      </c>
      <c r="E339" s="61">
        <v>0.99930555555555556</v>
      </c>
      <c r="F339" s="60" t="s">
        <v>15</v>
      </c>
      <c r="G339" s="71" t="s">
        <v>13</v>
      </c>
      <c r="H339" s="62">
        <v>46241.993055555555</v>
      </c>
      <c r="I339" s="113" t="str">
        <f t="shared" si="83"/>
        <v>07-08-2026T23:50:00</v>
      </c>
      <c r="J339" s="62">
        <v>46242.201388888891</v>
      </c>
      <c r="K339" s="62"/>
      <c r="L339" s="63">
        <f t="shared" si="74"/>
        <v>0.20833333333575865</v>
      </c>
      <c r="M339" s="64">
        <v>0.20833333333333334</v>
      </c>
      <c r="N339" s="65" t="str">
        <f t="shared" si="75"/>
        <v>-00:00:00</v>
      </c>
      <c r="O339" s="66"/>
      <c r="P339" s="124"/>
      <c r="Q339" s="67"/>
      <c r="R339" s="68"/>
      <c r="S339" s="68"/>
      <c r="T339" s="69">
        <f t="shared" si="76"/>
        <v>0</v>
      </c>
      <c r="U339" s="61"/>
      <c r="V339" s="83">
        <v>0</v>
      </c>
      <c r="W339" s="61">
        <f t="shared" si="77"/>
        <v>0</v>
      </c>
      <c r="X339" s="171">
        <v>46241.993055555555</v>
      </c>
      <c r="Y339" s="171">
        <v>46242.201388888891</v>
      </c>
      <c r="Z339" s="168">
        <f t="shared" si="78"/>
        <v>0.20833333333575865</v>
      </c>
      <c r="AA339" s="169">
        <f t="shared" si="79"/>
        <v>0.20833333333333334</v>
      </c>
      <c r="AB339" s="170" t="str">
        <f t="shared" si="80"/>
        <v>-00:00:00</v>
      </c>
      <c r="AC339" s="170" t="b">
        <f t="shared" si="81"/>
        <v>1</v>
      </c>
    </row>
    <row r="340" spans="1:29" s="127" customFormat="1" ht="9.75" hidden="1" customHeight="1" x14ac:dyDescent="0.3">
      <c r="A340" s="98">
        <v>46242</v>
      </c>
      <c r="B340" s="48">
        <v>8155498</v>
      </c>
      <c r="C340" s="49" t="s">
        <v>25</v>
      </c>
      <c r="D340" s="49" t="s">
        <v>477</v>
      </c>
      <c r="E340" s="50">
        <v>6.25E-2</v>
      </c>
      <c r="F340" s="49" t="s">
        <v>13</v>
      </c>
      <c r="G340" s="70" t="s">
        <v>26</v>
      </c>
      <c r="H340" s="51">
        <v>0.33611111111111114</v>
      </c>
      <c r="I340" s="113" t="str">
        <f t="shared" si="83"/>
        <v>08-08-2026T08:04:00</v>
      </c>
      <c r="J340" s="51">
        <v>0.79097222222222219</v>
      </c>
      <c r="K340" s="51"/>
      <c r="L340" s="52">
        <f t="shared" si="74"/>
        <v>0.45486111111111105</v>
      </c>
      <c r="M340" s="53">
        <v>0.41666666666666669</v>
      </c>
      <c r="N340" s="54" t="str">
        <f t="shared" si="75"/>
        <v>-00:55:00</v>
      </c>
      <c r="O340" s="55">
        <v>250</v>
      </c>
      <c r="P340" s="147" t="s">
        <v>509</v>
      </c>
      <c r="Q340" s="56" t="s">
        <v>312</v>
      </c>
      <c r="R340" s="57" t="s">
        <v>480</v>
      </c>
      <c r="S340" s="57" t="s">
        <v>480</v>
      </c>
      <c r="T340" s="58" t="e">
        <f t="shared" si="76"/>
        <v>#VALUE!</v>
      </c>
      <c r="U340" s="50"/>
      <c r="V340" s="74">
        <v>4.1666666666666664E-2</v>
      </c>
      <c r="W340" s="50" t="e">
        <f t="shared" si="77"/>
        <v>#VALUE!</v>
      </c>
      <c r="X340" s="171">
        <v>46242.336111111108</v>
      </c>
      <c r="Y340" s="171">
        <v>46242.790972222225</v>
      </c>
      <c r="Z340" s="168">
        <f t="shared" si="78"/>
        <v>0.45486111111677019</v>
      </c>
      <c r="AA340" s="169">
        <f t="shared" si="79"/>
        <v>0.41666666666666669</v>
      </c>
      <c r="AB340" s="170" t="str">
        <f t="shared" si="80"/>
        <v>-00:55:00</v>
      </c>
      <c r="AC340" s="170" t="b">
        <f t="shared" si="81"/>
        <v>1</v>
      </c>
    </row>
    <row r="341" spans="1:29" s="127" customFormat="1" ht="9.75" hidden="1" customHeight="1" x14ac:dyDescent="0.3">
      <c r="A341" s="98">
        <v>46242</v>
      </c>
      <c r="B341" s="48">
        <v>8154730</v>
      </c>
      <c r="C341" s="49" t="s">
        <v>18</v>
      </c>
      <c r="D341" s="49" t="s">
        <v>389</v>
      </c>
      <c r="E341" s="50">
        <v>8.3333333333333329E-2</v>
      </c>
      <c r="F341" s="49" t="s">
        <v>13</v>
      </c>
      <c r="G341" s="70" t="s">
        <v>19</v>
      </c>
      <c r="H341" s="51">
        <v>8.3333333333333329E-2</v>
      </c>
      <c r="I341" s="113" t="str">
        <f t="shared" si="83"/>
        <v>08-08-2026T02:00:00</v>
      </c>
      <c r="J341" s="51">
        <v>0.56944444444444442</v>
      </c>
      <c r="K341" s="51"/>
      <c r="L341" s="52">
        <f t="shared" si="74"/>
        <v>0.4861111111111111</v>
      </c>
      <c r="M341" s="53">
        <v>0.41666666666666669</v>
      </c>
      <c r="N341" s="54" t="str">
        <f t="shared" si="75"/>
        <v>-01:40:00</v>
      </c>
      <c r="O341" s="55">
        <v>400</v>
      </c>
      <c r="P341" s="147" t="s">
        <v>510</v>
      </c>
      <c r="Q341" s="56" t="s">
        <v>229</v>
      </c>
      <c r="R341" s="57">
        <v>46242.364583333336</v>
      </c>
      <c r="S341" s="57">
        <v>46242.416666666664</v>
      </c>
      <c r="T341" s="58">
        <f t="shared" si="76"/>
        <v>5.2083333328482695E-2</v>
      </c>
      <c r="U341" s="50"/>
      <c r="V341" s="74">
        <v>6.25E-2</v>
      </c>
      <c r="W341" s="50">
        <f t="shared" si="77"/>
        <v>-1.0416666671517305E-2</v>
      </c>
      <c r="X341" s="171">
        <v>46242.083333333336</v>
      </c>
      <c r="Y341" s="171">
        <v>46242.569444444445</v>
      </c>
      <c r="Z341" s="168">
        <f t="shared" si="78"/>
        <v>0.48611111110949423</v>
      </c>
      <c r="AA341" s="169">
        <f t="shared" si="79"/>
        <v>0.41666666666666669</v>
      </c>
      <c r="AB341" s="170" t="str">
        <f t="shared" si="80"/>
        <v>-01:40:00</v>
      </c>
      <c r="AC341" s="170" t="b">
        <f t="shared" si="81"/>
        <v>1</v>
      </c>
    </row>
    <row r="342" spans="1:29" s="128" customFormat="1" ht="9.75" hidden="1" customHeight="1" x14ac:dyDescent="0.3">
      <c r="A342" s="99">
        <v>46242</v>
      </c>
      <c r="B342" s="59">
        <v>8154846</v>
      </c>
      <c r="C342" s="60" t="s">
        <v>102</v>
      </c>
      <c r="D342" s="60" t="s">
        <v>384</v>
      </c>
      <c r="E342" s="61">
        <v>0.125</v>
      </c>
      <c r="F342" s="60" t="s">
        <v>23</v>
      </c>
      <c r="G342" s="71" t="s">
        <v>13</v>
      </c>
      <c r="H342" s="62">
        <v>46242.135416666664</v>
      </c>
      <c r="I342" s="113" t="str">
        <f t="shared" si="83"/>
        <v>08-08-2026T03:15:00</v>
      </c>
      <c r="J342" s="62">
        <v>46243.370138888888</v>
      </c>
      <c r="K342" s="62"/>
      <c r="L342" s="63">
        <f t="shared" ref="L342:L373" si="84">J342-H342</f>
        <v>1.234722222223354</v>
      </c>
      <c r="M342" s="64">
        <v>1.0833333333333333</v>
      </c>
      <c r="N342" s="65" t="str">
        <f t="shared" ref="N342:N373" si="85">IF(M342-L342&gt;0,TEXT(M342-L342,"HH:MM:SS"),TEXT(ABS(M342-L342),"-HH:MM:SS"))</f>
        <v>-03:38:00</v>
      </c>
      <c r="O342" s="66"/>
      <c r="P342" s="124" t="s">
        <v>403</v>
      </c>
      <c r="Q342" s="67" t="s">
        <v>13</v>
      </c>
      <c r="R342" s="68">
        <v>46243.291666666664</v>
      </c>
      <c r="S342" s="68">
        <v>46243.364583333336</v>
      </c>
      <c r="T342" s="69">
        <f t="shared" ref="T342:T373" si="86">S342-R342</f>
        <v>7.2916666671517305E-2</v>
      </c>
      <c r="U342" s="61"/>
      <c r="V342" s="83">
        <v>8.3333333333333329E-2</v>
      </c>
      <c r="W342" s="61">
        <f t="shared" ref="W342:W373" si="87">T342-V342</f>
        <v>-1.0416666661816024E-2</v>
      </c>
      <c r="X342" s="172">
        <v>46242.135416666664</v>
      </c>
      <c r="Y342" s="172">
        <v>46243.370138888888</v>
      </c>
      <c r="Z342" s="173">
        <f t="shared" si="78"/>
        <v>1.234722222223354</v>
      </c>
      <c r="AA342" s="174">
        <f t="shared" si="79"/>
        <v>1.0833333333333333</v>
      </c>
      <c r="AB342" s="175" t="str">
        <f t="shared" si="80"/>
        <v>-03:38:00</v>
      </c>
      <c r="AC342" s="175" t="b">
        <f t="shared" si="81"/>
        <v>1</v>
      </c>
    </row>
    <row r="343" spans="1:29" s="127" customFormat="1" ht="9.75" hidden="1" customHeight="1" x14ac:dyDescent="0.3">
      <c r="A343" s="98">
        <v>46242</v>
      </c>
      <c r="B343" s="48">
        <v>8154828</v>
      </c>
      <c r="C343" s="49" t="s">
        <v>84</v>
      </c>
      <c r="D343" s="49" t="s">
        <v>301</v>
      </c>
      <c r="E343" s="50">
        <v>0.125</v>
      </c>
      <c r="F343" s="49" t="s">
        <v>13</v>
      </c>
      <c r="G343" s="70" t="s">
        <v>284</v>
      </c>
      <c r="H343" s="51">
        <v>0.125</v>
      </c>
      <c r="I343" s="113" t="str">
        <f t="shared" si="83"/>
        <v>08-08-2026T03:00:00</v>
      </c>
      <c r="J343" s="51">
        <v>0.53125</v>
      </c>
      <c r="K343" s="51"/>
      <c r="L343" s="52">
        <f t="shared" si="84"/>
        <v>0.40625</v>
      </c>
      <c r="M343" s="53">
        <v>0.35416666666666669</v>
      </c>
      <c r="N343" s="54" t="str">
        <f t="shared" si="85"/>
        <v>-01:15:00</v>
      </c>
      <c r="O343" s="55">
        <v>150</v>
      </c>
      <c r="P343" s="147" t="s">
        <v>511</v>
      </c>
      <c r="Q343" s="56" t="s">
        <v>174</v>
      </c>
      <c r="R343" s="57">
        <v>46242.371527777781</v>
      </c>
      <c r="S343" s="57">
        <v>46242.473611111112</v>
      </c>
      <c r="T343" s="47">
        <f t="shared" si="86"/>
        <v>0.10208333333139308</v>
      </c>
      <c r="U343" s="50" t="s">
        <v>234</v>
      </c>
      <c r="V343" s="74">
        <v>6.25E-2</v>
      </c>
      <c r="W343" s="50">
        <f t="shared" si="87"/>
        <v>3.9583333331393078E-2</v>
      </c>
      <c r="X343" s="171">
        <v>46242.125</v>
      </c>
      <c r="Y343" s="171">
        <v>46242.53125</v>
      </c>
      <c r="Z343" s="168">
        <f t="shared" si="78"/>
        <v>0.40625</v>
      </c>
      <c r="AA343" s="169">
        <f t="shared" si="79"/>
        <v>0.35416666666666669</v>
      </c>
      <c r="AB343" s="170" t="str">
        <f t="shared" si="80"/>
        <v>-01:15:00</v>
      </c>
      <c r="AC343" s="170" t="b">
        <f t="shared" si="81"/>
        <v>1</v>
      </c>
    </row>
    <row r="344" spans="1:29" s="128" customFormat="1" ht="9.75" hidden="1" customHeight="1" x14ac:dyDescent="0.3">
      <c r="A344" s="99">
        <v>46242</v>
      </c>
      <c r="B344" s="59">
        <v>8154793</v>
      </c>
      <c r="C344" s="60" t="s">
        <v>57</v>
      </c>
      <c r="D344" s="60" t="s">
        <v>370</v>
      </c>
      <c r="E344" s="61">
        <v>0.125</v>
      </c>
      <c r="F344" s="60" t="s">
        <v>24</v>
      </c>
      <c r="G344" s="71" t="s">
        <v>13</v>
      </c>
      <c r="H344" s="62">
        <v>0.11944444444444445</v>
      </c>
      <c r="I344" s="113" t="str">
        <f t="shared" si="83"/>
        <v>08-08-2026T02:52:00</v>
      </c>
      <c r="J344" s="62">
        <v>0.19583333333333333</v>
      </c>
      <c r="K344" s="62"/>
      <c r="L344" s="63">
        <f t="shared" si="84"/>
        <v>7.6388888888888881E-2</v>
      </c>
      <c r="M344" s="64">
        <v>8.3333333333333329E-2</v>
      </c>
      <c r="N344" s="65" t="str">
        <f t="shared" si="85"/>
        <v>00:10:00</v>
      </c>
      <c r="O344" s="66"/>
      <c r="P344" s="124"/>
      <c r="Q344" s="67"/>
      <c r="R344" s="68"/>
      <c r="S344" s="68"/>
      <c r="T344" s="69">
        <f t="shared" si="86"/>
        <v>0</v>
      </c>
      <c r="U344" s="61" t="s">
        <v>234</v>
      </c>
      <c r="V344" s="83">
        <v>0</v>
      </c>
      <c r="W344" s="61">
        <f t="shared" si="87"/>
        <v>0</v>
      </c>
      <c r="X344" s="171">
        <v>46242.119444444441</v>
      </c>
      <c r="Y344" s="171">
        <v>46242.195833333331</v>
      </c>
      <c r="Z344" s="168">
        <f t="shared" si="78"/>
        <v>7.6388888890505768E-2</v>
      </c>
      <c r="AA344" s="169">
        <f t="shared" si="79"/>
        <v>8.3333333333333329E-2</v>
      </c>
      <c r="AB344" s="170" t="str">
        <f t="shared" si="80"/>
        <v>00:10:00</v>
      </c>
      <c r="AC344" s="170" t="b">
        <f t="shared" si="81"/>
        <v>1</v>
      </c>
    </row>
    <row r="345" spans="1:29" s="128" customFormat="1" ht="9.75" hidden="1" customHeight="1" x14ac:dyDescent="0.3">
      <c r="A345" s="99">
        <v>46242</v>
      </c>
      <c r="B345" s="59">
        <v>8154958</v>
      </c>
      <c r="C345" s="60" t="s">
        <v>41</v>
      </c>
      <c r="D345" s="60" t="s">
        <v>299</v>
      </c>
      <c r="E345" s="61">
        <v>0.16666666666666666</v>
      </c>
      <c r="F345" s="60" t="s">
        <v>13</v>
      </c>
      <c r="G345" s="71" t="s">
        <v>24</v>
      </c>
      <c r="H345" s="62">
        <v>0.1673611111111111</v>
      </c>
      <c r="I345" s="113" t="str">
        <f t="shared" si="83"/>
        <v>08-08-2026T04:01:00</v>
      </c>
      <c r="J345" s="62">
        <v>0.2361111111111111</v>
      </c>
      <c r="K345" s="62"/>
      <c r="L345" s="63">
        <f t="shared" si="84"/>
        <v>6.8750000000000006E-2</v>
      </c>
      <c r="M345" s="64">
        <v>8.3333333333333329E-2</v>
      </c>
      <c r="N345" s="65" t="str">
        <f t="shared" si="85"/>
        <v>00:21:00</v>
      </c>
      <c r="O345" s="66"/>
      <c r="P345" s="124"/>
      <c r="Q345" s="67"/>
      <c r="R345" s="68"/>
      <c r="S345" s="68"/>
      <c r="T345" s="69">
        <f t="shared" si="86"/>
        <v>0</v>
      </c>
      <c r="U345" s="61" t="s">
        <v>234</v>
      </c>
      <c r="V345" s="83">
        <v>0</v>
      </c>
      <c r="W345" s="61">
        <f t="shared" si="87"/>
        <v>0</v>
      </c>
      <c r="X345" s="171">
        <v>46242.167361111111</v>
      </c>
      <c r="Y345" s="171">
        <v>46242.236111111109</v>
      </c>
      <c r="Z345" s="168">
        <f t="shared" si="78"/>
        <v>6.8749999998544808E-2</v>
      </c>
      <c r="AA345" s="169">
        <f t="shared" si="79"/>
        <v>8.3333333333333329E-2</v>
      </c>
      <c r="AB345" s="170" t="str">
        <f t="shared" si="80"/>
        <v>00:21:00</v>
      </c>
      <c r="AC345" s="170" t="b">
        <f t="shared" si="81"/>
        <v>1</v>
      </c>
    </row>
    <row r="346" spans="1:29" s="128" customFormat="1" ht="9.75" hidden="1" customHeight="1" x14ac:dyDescent="0.3">
      <c r="A346" s="99">
        <v>46242</v>
      </c>
      <c r="B346" s="59">
        <v>8154952</v>
      </c>
      <c r="C346" s="60" t="s">
        <v>27</v>
      </c>
      <c r="D346" s="60" t="s">
        <v>378</v>
      </c>
      <c r="E346" s="61">
        <v>0.16666666666666666</v>
      </c>
      <c r="F346" s="60" t="s">
        <v>13</v>
      </c>
      <c r="G346" s="71" t="s">
        <v>28</v>
      </c>
      <c r="H346" s="62">
        <v>0.16666666666666666</v>
      </c>
      <c r="I346" s="113" t="str">
        <f t="shared" si="83"/>
        <v>08-08-2026T04:00:00</v>
      </c>
      <c r="J346" s="62">
        <v>0.3298611111111111</v>
      </c>
      <c r="K346" s="62"/>
      <c r="L346" s="63">
        <f t="shared" si="84"/>
        <v>0.16319444444444445</v>
      </c>
      <c r="M346" s="64">
        <v>0.16666666666666666</v>
      </c>
      <c r="N346" s="65" t="str">
        <f t="shared" si="85"/>
        <v>00:05:00</v>
      </c>
      <c r="O346" s="66"/>
      <c r="P346" s="124"/>
      <c r="Q346" s="67"/>
      <c r="R346" s="68"/>
      <c r="S346" s="68"/>
      <c r="T346" s="69">
        <f t="shared" si="86"/>
        <v>0</v>
      </c>
      <c r="U346" s="61" t="s">
        <v>234</v>
      </c>
      <c r="V346" s="83">
        <v>0</v>
      </c>
      <c r="W346" s="61">
        <f t="shared" si="87"/>
        <v>0</v>
      </c>
      <c r="X346" s="171">
        <v>46242.166666666664</v>
      </c>
      <c r="Y346" s="171">
        <v>46242.329861111109</v>
      </c>
      <c r="Z346" s="168">
        <f t="shared" si="78"/>
        <v>0.16319444444525288</v>
      </c>
      <c r="AA346" s="169">
        <f t="shared" si="79"/>
        <v>0.16666666666666666</v>
      </c>
      <c r="AB346" s="170" t="str">
        <f t="shared" si="80"/>
        <v>00:05:00</v>
      </c>
      <c r="AC346" s="170" t="b">
        <f t="shared" si="81"/>
        <v>1</v>
      </c>
    </row>
    <row r="347" spans="1:29" s="128" customFormat="1" ht="9.75" hidden="1" customHeight="1" x14ac:dyDescent="0.3">
      <c r="A347" s="99">
        <v>46242</v>
      </c>
      <c r="B347" s="59">
        <v>8154948</v>
      </c>
      <c r="C347" s="60" t="s">
        <v>16</v>
      </c>
      <c r="D347" s="60" t="s">
        <v>285</v>
      </c>
      <c r="E347" s="61">
        <v>0.16666666666666666</v>
      </c>
      <c r="F347" s="60" t="s">
        <v>17</v>
      </c>
      <c r="G347" s="71" t="s">
        <v>15</v>
      </c>
      <c r="H347" s="62">
        <v>0.16666666666666666</v>
      </c>
      <c r="I347" s="113" t="str">
        <f t="shared" si="83"/>
        <v>08-08-2026T04:00:00</v>
      </c>
      <c r="J347" s="62">
        <v>0.64236111111111116</v>
      </c>
      <c r="K347" s="62"/>
      <c r="L347" s="63">
        <f t="shared" si="84"/>
        <v>0.47569444444444453</v>
      </c>
      <c r="M347" s="64">
        <v>0.5</v>
      </c>
      <c r="N347" s="65" t="str">
        <f t="shared" si="85"/>
        <v>00:35:00</v>
      </c>
      <c r="O347" s="66"/>
      <c r="P347" s="124"/>
      <c r="Q347" s="67" t="s">
        <v>98</v>
      </c>
      <c r="R347" s="68">
        <v>46242.375</v>
      </c>
      <c r="S347" s="68">
        <v>46242.434027777781</v>
      </c>
      <c r="T347" s="69">
        <f t="shared" si="86"/>
        <v>5.9027777781011537E-2</v>
      </c>
      <c r="U347" s="61" t="s">
        <v>234</v>
      </c>
      <c r="V347" s="83">
        <v>8.3333333333333329E-2</v>
      </c>
      <c r="W347" s="61">
        <f t="shared" si="87"/>
        <v>-2.4305555552321792E-2</v>
      </c>
      <c r="X347" s="171">
        <v>0.16666666666666666</v>
      </c>
      <c r="Y347" s="171">
        <v>0.64236111111111116</v>
      </c>
      <c r="Z347" s="168">
        <f t="shared" si="78"/>
        <v>0.47569444444444453</v>
      </c>
      <c r="AA347" s="169">
        <f t="shared" si="79"/>
        <v>0.5</v>
      </c>
      <c r="AB347" s="170" t="str">
        <f t="shared" si="80"/>
        <v>00:35:00</v>
      </c>
      <c r="AC347" s="170" t="b">
        <f t="shared" si="81"/>
        <v>1</v>
      </c>
    </row>
    <row r="348" spans="1:29" s="144" customFormat="1" ht="9.75" hidden="1" customHeight="1" x14ac:dyDescent="0.3">
      <c r="A348" s="129">
        <v>46242</v>
      </c>
      <c r="B348" s="130">
        <v>8155399</v>
      </c>
      <c r="C348" s="131" t="s">
        <v>29</v>
      </c>
      <c r="D348" s="131" t="s">
        <v>373</v>
      </c>
      <c r="E348" s="132">
        <v>0.16666666666666666</v>
      </c>
      <c r="F348" s="131" t="s">
        <v>17</v>
      </c>
      <c r="G348" s="133" t="s">
        <v>15</v>
      </c>
      <c r="H348" s="134">
        <v>0.29305555555555557</v>
      </c>
      <c r="I348" s="113" t="str">
        <f t="shared" si="83"/>
        <v>08-08-2026T07:02:00</v>
      </c>
      <c r="J348" s="134">
        <v>0.84722222222222221</v>
      </c>
      <c r="K348" s="134"/>
      <c r="L348" s="135">
        <f t="shared" si="84"/>
        <v>0.5541666666666667</v>
      </c>
      <c r="M348" s="136">
        <v>0.5</v>
      </c>
      <c r="N348" s="137" t="str">
        <f t="shared" si="85"/>
        <v>-01:18:00</v>
      </c>
      <c r="O348" s="138"/>
      <c r="P348" s="145" t="s">
        <v>512</v>
      </c>
      <c r="Q348" s="140" t="s">
        <v>98</v>
      </c>
      <c r="R348" s="141">
        <v>46242.501388888886</v>
      </c>
      <c r="S348" s="141">
        <v>46242.638888888891</v>
      </c>
      <c r="T348" s="142">
        <f t="shared" si="86"/>
        <v>0.13750000000436557</v>
      </c>
      <c r="U348" s="132"/>
      <c r="V348" s="143">
        <v>8.3333333333333329E-2</v>
      </c>
      <c r="W348" s="132">
        <f t="shared" si="87"/>
        <v>5.4166666671032246E-2</v>
      </c>
      <c r="X348" s="171">
        <v>0.29305555555555557</v>
      </c>
      <c r="Y348" s="171">
        <v>0.84722222222222221</v>
      </c>
      <c r="Z348" s="168">
        <f t="shared" si="78"/>
        <v>0.5541666666666667</v>
      </c>
      <c r="AA348" s="169">
        <f t="shared" si="79"/>
        <v>0.5</v>
      </c>
      <c r="AB348" s="170" t="str">
        <f t="shared" si="80"/>
        <v>-01:18:00</v>
      </c>
      <c r="AC348" s="170" t="b">
        <f t="shared" si="81"/>
        <v>1</v>
      </c>
    </row>
    <row r="349" spans="1:29" s="128" customFormat="1" ht="9.75" hidden="1" customHeight="1" x14ac:dyDescent="0.3">
      <c r="A349" s="99">
        <v>46242</v>
      </c>
      <c r="B349" s="59">
        <v>8154875</v>
      </c>
      <c r="C349" s="60" t="s">
        <v>30</v>
      </c>
      <c r="D349" s="60" t="s">
        <v>286</v>
      </c>
      <c r="E349" s="61">
        <v>0.16666666666666666</v>
      </c>
      <c r="F349" s="60" t="s">
        <v>31</v>
      </c>
      <c r="G349" s="71" t="s">
        <v>13</v>
      </c>
      <c r="H349" s="62">
        <v>0.15</v>
      </c>
      <c r="I349" s="113" t="str">
        <f t="shared" si="83"/>
        <v>08-08-2026T03:36:00</v>
      </c>
      <c r="J349" s="62">
        <v>0.79722222222222228</v>
      </c>
      <c r="K349" s="62"/>
      <c r="L349" s="63">
        <f t="shared" si="84"/>
        <v>0.64722222222222225</v>
      </c>
      <c r="M349" s="64">
        <v>0.70833333333333337</v>
      </c>
      <c r="N349" s="65" t="str">
        <f t="shared" si="85"/>
        <v>01:28:00</v>
      </c>
      <c r="O349" s="66"/>
      <c r="P349" s="124"/>
      <c r="Q349" s="67" t="s">
        <v>13</v>
      </c>
      <c r="R349" s="68">
        <v>46242.751388888886</v>
      </c>
      <c r="S349" s="68">
        <v>46242.792361111111</v>
      </c>
      <c r="T349" s="69">
        <f t="shared" si="86"/>
        <v>4.0972222224809229E-2</v>
      </c>
      <c r="U349" s="61"/>
      <c r="V349" s="83">
        <v>8.3333333333333329E-2</v>
      </c>
      <c r="W349" s="61">
        <f t="shared" si="87"/>
        <v>-4.2361111108524099E-2</v>
      </c>
      <c r="X349" s="172">
        <v>46242.15</v>
      </c>
      <c r="Y349" s="172">
        <v>46242.797222222223</v>
      </c>
      <c r="Z349" s="173">
        <f t="shared" si="78"/>
        <v>0.64722222222189885</v>
      </c>
      <c r="AA349" s="174">
        <f t="shared" si="79"/>
        <v>0.70833333333333337</v>
      </c>
      <c r="AB349" s="175" t="str">
        <f t="shared" si="80"/>
        <v>01:28:00</v>
      </c>
      <c r="AC349" s="175" t="b">
        <f t="shared" si="81"/>
        <v>1</v>
      </c>
    </row>
    <row r="350" spans="1:29" s="128" customFormat="1" ht="9.75" hidden="1" customHeight="1" x14ac:dyDescent="0.3">
      <c r="A350" s="99">
        <v>46242</v>
      </c>
      <c r="B350" s="59">
        <v>8154961</v>
      </c>
      <c r="C350" s="60" t="s">
        <v>37</v>
      </c>
      <c r="D350" s="60" t="s">
        <v>466</v>
      </c>
      <c r="E350" s="61">
        <v>0.16666666666666666</v>
      </c>
      <c r="F350" s="60" t="s">
        <v>13</v>
      </c>
      <c r="G350" s="71" t="s">
        <v>14</v>
      </c>
      <c r="H350" s="62">
        <v>0.16805555555555557</v>
      </c>
      <c r="I350" s="113" t="str">
        <f t="shared" si="83"/>
        <v>08-08-2026T04:02:00</v>
      </c>
      <c r="J350" s="62">
        <v>0.69930555555555551</v>
      </c>
      <c r="K350" s="62"/>
      <c r="L350" s="63">
        <f t="shared" si="84"/>
        <v>0.53125</v>
      </c>
      <c r="M350" s="64">
        <v>0.54166666666666663</v>
      </c>
      <c r="N350" s="65" t="str">
        <f t="shared" si="85"/>
        <v>00:15:00</v>
      </c>
      <c r="O350" s="66"/>
      <c r="P350" s="124"/>
      <c r="Q350" s="67"/>
      <c r="R350" s="68"/>
      <c r="S350" s="68"/>
      <c r="T350" s="69">
        <f t="shared" si="86"/>
        <v>0</v>
      </c>
      <c r="U350" s="61"/>
      <c r="V350" s="83">
        <v>0</v>
      </c>
      <c r="W350" s="61">
        <f t="shared" si="87"/>
        <v>0</v>
      </c>
      <c r="X350" s="171">
        <v>46242.168055555558</v>
      </c>
      <c r="Y350" s="171">
        <v>46242.699305555558</v>
      </c>
      <c r="Z350" s="168">
        <f t="shared" si="78"/>
        <v>0.53125</v>
      </c>
      <c r="AA350" s="169">
        <f t="shared" si="79"/>
        <v>0.54166666666666663</v>
      </c>
      <c r="AB350" s="170" t="str">
        <f t="shared" si="80"/>
        <v>00:15:00</v>
      </c>
      <c r="AC350" s="170" t="b">
        <f t="shared" si="81"/>
        <v>1</v>
      </c>
    </row>
    <row r="351" spans="1:29" s="128" customFormat="1" ht="9.75" hidden="1" customHeight="1" x14ac:dyDescent="0.3">
      <c r="A351" s="99">
        <v>46242</v>
      </c>
      <c r="B351" s="59">
        <v>8155096</v>
      </c>
      <c r="C351" s="60" t="s">
        <v>32</v>
      </c>
      <c r="D351" s="60" t="s">
        <v>476</v>
      </c>
      <c r="E351" s="61">
        <v>0.20833333333333334</v>
      </c>
      <c r="F351" s="60" t="s">
        <v>13</v>
      </c>
      <c r="G351" s="71" t="s">
        <v>287</v>
      </c>
      <c r="H351" s="62">
        <v>0.21180555555555555</v>
      </c>
      <c r="I351" s="113" t="str">
        <f t="shared" si="83"/>
        <v>08-08-2026T05:05:00</v>
      </c>
      <c r="J351" s="62">
        <v>0.3576388888888889</v>
      </c>
      <c r="K351" s="62"/>
      <c r="L351" s="63">
        <f t="shared" si="84"/>
        <v>0.14583333333333334</v>
      </c>
      <c r="M351" s="64">
        <v>0.14583333333333334</v>
      </c>
      <c r="N351" s="65" t="str">
        <f t="shared" si="85"/>
        <v>-00:00:00</v>
      </c>
      <c r="O351" s="66"/>
      <c r="P351" s="124"/>
      <c r="Q351" s="67"/>
      <c r="R351" s="68"/>
      <c r="S351" s="68"/>
      <c r="T351" s="69">
        <f t="shared" si="86"/>
        <v>0</v>
      </c>
      <c r="U351" s="61" t="s">
        <v>234</v>
      </c>
      <c r="V351" s="83">
        <v>0</v>
      </c>
      <c r="W351" s="61">
        <f t="shared" si="87"/>
        <v>0</v>
      </c>
      <c r="X351" s="171">
        <v>46242.211805555555</v>
      </c>
      <c r="Y351" s="171">
        <v>46242.357638888891</v>
      </c>
      <c r="Z351" s="168">
        <f t="shared" si="78"/>
        <v>0.14583333333575865</v>
      </c>
      <c r="AA351" s="169">
        <f t="shared" si="79"/>
        <v>0.14583333333333334</v>
      </c>
      <c r="AB351" s="170" t="str">
        <f t="shared" si="80"/>
        <v>-00:00:00</v>
      </c>
      <c r="AC351" s="170" t="b">
        <f t="shared" si="81"/>
        <v>1</v>
      </c>
    </row>
    <row r="352" spans="1:29" s="127" customFormat="1" ht="9.75" hidden="1" customHeight="1" x14ac:dyDescent="0.3">
      <c r="A352" s="98">
        <v>46242</v>
      </c>
      <c r="B352" s="48">
        <v>8155031</v>
      </c>
      <c r="C352" s="49" t="s">
        <v>82</v>
      </c>
      <c r="D352" s="49" t="s">
        <v>333</v>
      </c>
      <c r="E352" s="50">
        <v>0.20833333333333334</v>
      </c>
      <c r="F352" s="49" t="s">
        <v>26</v>
      </c>
      <c r="G352" s="70" t="s">
        <v>13</v>
      </c>
      <c r="H352" s="51">
        <v>0.19722222222222222</v>
      </c>
      <c r="I352" s="113" t="str">
        <f t="shared" si="83"/>
        <v>08-08-2026T04:44:00</v>
      </c>
      <c r="J352" s="51">
        <v>0.6645833333333333</v>
      </c>
      <c r="K352" s="51"/>
      <c r="L352" s="52">
        <f t="shared" si="84"/>
        <v>0.46736111111111112</v>
      </c>
      <c r="M352" s="53">
        <v>0.45833333333333331</v>
      </c>
      <c r="N352" s="54" t="str">
        <f t="shared" si="85"/>
        <v>-00:13:00</v>
      </c>
      <c r="O352" s="55">
        <v>250</v>
      </c>
      <c r="P352" s="147" t="s">
        <v>455</v>
      </c>
      <c r="Q352" s="56" t="s">
        <v>13</v>
      </c>
      <c r="R352" s="57">
        <v>46242.57708333333</v>
      </c>
      <c r="S352" s="57">
        <v>46242.645138888889</v>
      </c>
      <c r="T352" s="58">
        <f t="shared" si="86"/>
        <v>6.805555555911269E-2</v>
      </c>
      <c r="U352" s="50"/>
      <c r="V352" s="74">
        <v>8.3333333333333329E-2</v>
      </c>
      <c r="W352" s="50">
        <f t="shared" si="87"/>
        <v>-1.5277777774220638E-2</v>
      </c>
      <c r="X352" s="171">
        <v>46242.197222222225</v>
      </c>
      <c r="Y352" s="171">
        <v>46242.664583333331</v>
      </c>
      <c r="Z352" s="168">
        <f t="shared" si="78"/>
        <v>0.46736111110658385</v>
      </c>
      <c r="AA352" s="169">
        <f t="shared" si="79"/>
        <v>0.45833333333333331</v>
      </c>
      <c r="AB352" s="170" t="str">
        <f t="shared" si="80"/>
        <v>-00:13:00</v>
      </c>
      <c r="AC352" s="170" t="b">
        <f t="shared" si="81"/>
        <v>1</v>
      </c>
    </row>
    <row r="353" spans="1:29" s="128" customFormat="1" ht="9.75" hidden="1" customHeight="1" x14ac:dyDescent="0.3">
      <c r="A353" s="99">
        <v>46242</v>
      </c>
      <c r="B353" s="59">
        <v>8155232</v>
      </c>
      <c r="C353" s="60" t="s">
        <v>58</v>
      </c>
      <c r="D353" s="60" t="s">
        <v>368</v>
      </c>
      <c r="E353" s="61">
        <v>0.25</v>
      </c>
      <c r="F353" s="60" t="s">
        <v>14</v>
      </c>
      <c r="G353" s="71" t="s">
        <v>13</v>
      </c>
      <c r="H353" s="62">
        <v>0.24722222222222223</v>
      </c>
      <c r="I353" s="113" t="str">
        <f t="shared" si="83"/>
        <v>08-08-2026T05:56:00</v>
      </c>
      <c r="J353" s="62">
        <v>0.77916666666666667</v>
      </c>
      <c r="K353" s="62"/>
      <c r="L353" s="63">
        <f t="shared" si="84"/>
        <v>0.53194444444444444</v>
      </c>
      <c r="M353" s="64">
        <v>0.54166666666666663</v>
      </c>
      <c r="N353" s="65" t="str">
        <f t="shared" si="85"/>
        <v>00:14:00</v>
      </c>
      <c r="O353" s="66"/>
      <c r="P353" s="124"/>
      <c r="Q353" s="67"/>
      <c r="R353" s="68"/>
      <c r="S353" s="68"/>
      <c r="T353" s="69">
        <f t="shared" si="86"/>
        <v>0</v>
      </c>
      <c r="U353" s="61"/>
      <c r="V353" s="83">
        <v>0</v>
      </c>
      <c r="W353" s="61">
        <f t="shared" si="87"/>
        <v>0</v>
      </c>
      <c r="X353" s="171">
        <v>46242.24722222222</v>
      </c>
      <c r="Y353" s="171">
        <v>46242.779166666667</v>
      </c>
      <c r="Z353" s="168">
        <f t="shared" si="78"/>
        <v>0.53194444444670808</v>
      </c>
      <c r="AA353" s="169">
        <f t="shared" si="79"/>
        <v>0.54166666666666663</v>
      </c>
      <c r="AB353" s="170" t="str">
        <f t="shared" si="80"/>
        <v>00:14:00</v>
      </c>
      <c r="AC353" s="170" t="b">
        <f t="shared" si="81"/>
        <v>1</v>
      </c>
    </row>
    <row r="354" spans="1:29" s="128" customFormat="1" ht="9.75" hidden="1" customHeight="1" x14ac:dyDescent="0.3">
      <c r="A354" s="99">
        <v>46242</v>
      </c>
      <c r="B354" s="59">
        <v>8155288</v>
      </c>
      <c r="C354" s="60" t="s">
        <v>89</v>
      </c>
      <c r="D354" s="60" t="s">
        <v>294</v>
      </c>
      <c r="E354" s="61">
        <v>0.25</v>
      </c>
      <c r="F354" s="60" t="s">
        <v>13</v>
      </c>
      <c r="G354" s="71" t="s">
        <v>35</v>
      </c>
      <c r="H354" s="62">
        <v>0.25486111111111109</v>
      </c>
      <c r="I354" s="113" t="str">
        <f t="shared" si="83"/>
        <v>08-08-2026T06:07:00</v>
      </c>
      <c r="J354" s="62">
        <v>0.28819444444444442</v>
      </c>
      <c r="K354" s="62"/>
      <c r="L354" s="63">
        <f t="shared" si="84"/>
        <v>3.3333333333333326E-2</v>
      </c>
      <c r="M354" s="64">
        <v>4.1666666666666664E-2</v>
      </c>
      <c r="N354" s="65" t="str">
        <f t="shared" si="85"/>
        <v>00:12:00</v>
      </c>
      <c r="O354" s="66"/>
      <c r="P354" s="124"/>
      <c r="Q354" s="67"/>
      <c r="R354" s="68"/>
      <c r="S354" s="68"/>
      <c r="T354" s="69">
        <f t="shared" si="86"/>
        <v>0</v>
      </c>
      <c r="U354" s="61" t="s">
        <v>234</v>
      </c>
      <c r="V354" s="83">
        <v>0</v>
      </c>
      <c r="W354" s="61">
        <f t="shared" si="87"/>
        <v>0</v>
      </c>
      <c r="X354" s="171">
        <v>46242.254861111112</v>
      </c>
      <c r="Y354" s="171">
        <v>46242.288194444445</v>
      </c>
      <c r="Z354" s="168">
        <f t="shared" si="78"/>
        <v>3.3333333332848269E-2</v>
      </c>
      <c r="AA354" s="169">
        <f t="shared" si="79"/>
        <v>4.1666666666666664E-2</v>
      </c>
      <c r="AB354" s="170" t="str">
        <f t="shared" si="80"/>
        <v>00:12:00</v>
      </c>
      <c r="AC354" s="170" t="b">
        <f t="shared" si="81"/>
        <v>1</v>
      </c>
    </row>
    <row r="355" spans="1:29" s="127" customFormat="1" ht="9.75" hidden="1" customHeight="1" x14ac:dyDescent="0.3">
      <c r="A355" s="98">
        <v>46242</v>
      </c>
      <c r="B355" s="48">
        <v>8155328</v>
      </c>
      <c r="C355" s="49" t="s">
        <v>83</v>
      </c>
      <c r="D355" s="49" t="s">
        <v>454</v>
      </c>
      <c r="E355" s="50">
        <v>0.27083333333333331</v>
      </c>
      <c r="F355" s="49" t="s">
        <v>14</v>
      </c>
      <c r="G355" s="70" t="s">
        <v>13</v>
      </c>
      <c r="H355" s="51">
        <v>0.26874999999999999</v>
      </c>
      <c r="I355" s="113" t="str">
        <f t="shared" si="83"/>
        <v>08-08-2026T06:27:00</v>
      </c>
      <c r="J355" s="51">
        <v>0.95208333333333328</v>
      </c>
      <c r="K355" s="51"/>
      <c r="L355" s="52">
        <f t="shared" si="84"/>
        <v>0.68333333333333335</v>
      </c>
      <c r="M355" s="53">
        <v>0.625</v>
      </c>
      <c r="N355" s="54" t="str">
        <f t="shared" si="85"/>
        <v>-01:24:00</v>
      </c>
      <c r="O355" s="55">
        <v>200</v>
      </c>
      <c r="P355" s="147" t="s">
        <v>513</v>
      </c>
      <c r="Q355" s="56" t="s">
        <v>126</v>
      </c>
      <c r="R355" s="57">
        <v>46242.375</v>
      </c>
      <c r="S355" s="57">
        <v>46242.461805555555</v>
      </c>
      <c r="T355" s="47">
        <f t="shared" si="86"/>
        <v>8.6805555554747116E-2</v>
      </c>
      <c r="U355" s="50"/>
      <c r="V355" s="74">
        <v>6.25E-2</v>
      </c>
      <c r="W355" s="50">
        <f t="shared" si="87"/>
        <v>2.4305555554747116E-2</v>
      </c>
      <c r="X355" s="171">
        <v>46242.268750000003</v>
      </c>
      <c r="Y355" s="171">
        <v>46242.95208333333</v>
      </c>
      <c r="Z355" s="168">
        <f t="shared" si="78"/>
        <v>0.6833333333270275</v>
      </c>
      <c r="AA355" s="169">
        <f t="shared" si="79"/>
        <v>0.625</v>
      </c>
      <c r="AB355" s="170" t="str">
        <f t="shared" si="80"/>
        <v>-01:24:00</v>
      </c>
      <c r="AC355" s="170" t="b">
        <f t="shared" si="81"/>
        <v>1</v>
      </c>
    </row>
    <row r="356" spans="1:29" s="127" customFormat="1" ht="9.75" hidden="1" customHeight="1" x14ac:dyDescent="0.3">
      <c r="A356" s="98">
        <v>46242</v>
      </c>
      <c r="B356" s="48">
        <v>8155338</v>
      </c>
      <c r="C356" s="49" t="s">
        <v>38</v>
      </c>
      <c r="D356" s="49" t="s">
        <v>289</v>
      </c>
      <c r="E356" s="50">
        <v>0.27083333333333331</v>
      </c>
      <c r="F356" s="49" t="s">
        <v>13</v>
      </c>
      <c r="G356" s="70" t="s">
        <v>14</v>
      </c>
      <c r="H356" s="51">
        <v>0.27291666666666664</v>
      </c>
      <c r="I356" s="113" t="str">
        <f t="shared" si="83"/>
        <v>08-08-2026T06:33:00</v>
      </c>
      <c r="J356" s="51">
        <v>0.94791666666666663</v>
      </c>
      <c r="K356" s="51"/>
      <c r="L356" s="52">
        <f t="shared" si="84"/>
        <v>0.67500000000000004</v>
      </c>
      <c r="M356" s="53">
        <v>0.625</v>
      </c>
      <c r="N356" s="54" t="str">
        <f t="shared" si="85"/>
        <v>-01:12:00</v>
      </c>
      <c r="O356" s="55">
        <v>500</v>
      </c>
      <c r="P356" s="147" t="s">
        <v>514</v>
      </c>
      <c r="Q356" s="56" t="s">
        <v>15</v>
      </c>
      <c r="R356" s="57">
        <v>46242.518055555556</v>
      </c>
      <c r="S356" s="57">
        <v>46242.551388888889</v>
      </c>
      <c r="T356" s="58">
        <f t="shared" si="86"/>
        <v>3.3333333332848269E-2</v>
      </c>
      <c r="U356" s="50" t="s">
        <v>234</v>
      </c>
      <c r="V356" s="74">
        <v>6.25E-2</v>
      </c>
      <c r="W356" s="50">
        <f t="shared" si="87"/>
        <v>-2.9166666667151731E-2</v>
      </c>
      <c r="X356" s="171">
        <v>46242.272916666669</v>
      </c>
      <c r="Y356" s="171">
        <v>46242.947916666664</v>
      </c>
      <c r="Z356" s="168">
        <f t="shared" si="78"/>
        <v>0.67499999999563443</v>
      </c>
      <c r="AA356" s="169">
        <f t="shared" si="79"/>
        <v>0.625</v>
      </c>
      <c r="AB356" s="170" t="str">
        <f t="shared" si="80"/>
        <v>-01:12:00</v>
      </c>
      <c r="AC356" s="170" t="b">
        <f t="shared" si="81"/>
        <v>1</v>
      </c>
    </row>
    <row r="357" spans="1:29" s="128" customFormat="1" ht="9.75" hidden="1" customHeight="1" x14ac:dyDescent="0.3">
      <c r="A357" s="99">
        <v>46242</v>
      </c>
      <c r="B357" s="59">
        <v>8155306</v>
      </c>
      <c r="C357" s="60" t="s">
        <v>34</v>
      </c>
      <c r="D357" s="60" t="s">
        <v>381</v>
      </c>
      <c r="E357" s="61">
        <v>0.27083333333333331</v>
      </c>
      <c r="F357" s="60" t="s">
        <v>103</v>
      </c>
      <c r="G357" s="71" t="s">
        <v>13</v>
      </c>
      <c r="H357" s="62">
        <v>0.26250000000000001</v>
      </c>
      <c r="I357" s="113" t="str">
        <f t="shared" si="83"/>
        <v>08-08-2026T06:18:00</v>
      </c>
      <c r="J357" s="62">
        <v>0.87291666666666667</v>
      </c>
      <c r="K357" s="62"/>
      <c r="L357" s="63">
        <f t="shared" si="84"/>
        <v>0.61041666666666661</v>
      </c>
      <c r="M357" s="64">
        <v>0.70833333333333337</v>
      </c>
      <c r="N357" s="65" t="str">
        <f t="shared" si="85"/>
        <v>02:21:00</v>
      </c>
      <c r="O357" s="66"/>
      <c r="P357" s="124"/>
      <c r="Q357" s="67" t="s">
        <v>13</v>
      </c>
      <c r="R357" s="68">
        <v>46242.834722222222</v>
      </c>
      <c r="S357" s="68">
        <v>46242.869444444441</v>
      </c>
      <c r="T357" s="69">
        <f t="shared" si="86"/>
        <v>3.4722222218988463E-2</v>
      </c>
      <c r="U357" s="61"/>
      <c r="V357" s="83">
        <v>8.3333333333333329E-2</v>
      </c>
      <c r="W357" s="61">
        <f t="shared" si="87"/>
        <v>-4.8611111114344865E-2</v>
      </c>
      <c r="X357" s="171">
        <v>46242.262499999997</v>
      </c>
      <c r="Y357" s="171">
        <v>46242.872916666667</v>
      </c>
      <c r="Z357" s="168">
        <f t="shared" si="78"/>
        <v>0.61041666667006211</v>
      </c>
      <c r="AA357" s="169">
        <f t="shared" si="79"/>
        <v>0.70833333333333337</v>
      </c>
      <c r="AB357" s="170" t="str">
        <f t="shared" si="80"/>
        <v>02:21:00</v>
      </c>
      <c r="AC357" s="170" t="b">
        <f t="shared" si="81"/>
        <v>1</v>
      </c>
    </row>
    <row r="358" spans="1:29" s="127" customFormat="1" ht="9.75" hidden="1" customHeight="1" x14ac:dyDescent="0.3">
      <c r="A358" s="99">
        <v>46242</v>
      </c>
      <c r="B358" s="59">
        <v>8155402</v>
      </c>
      <c r="C358" s="60" t="s">
        <v>99</v>
      </c>
      <c r="D358" s="60" t="s">
        <v>375</v>
      </c>
      <c r="E358" s="61">
        <v>0.27083333333333331</v>
      </c>
      <c r="F358" s="60" t="s">
        <v>103</v>
      </c>
      <c r="G358" s="71" t="s">
        <v>13</v>
      </c>
      <c r="H358" s="62">
        <v>0.29375000000000001</v>
      </c>
      <c r="I358" s="113" t="str">
        <f t="shared" si="83"/>
        <v>08-08-2026T07:03:00</v>
      </c>
      <c r="J358" s="62">
        <v>0.93263888888888891</v>
      </c>
      <c r="K358" s="62"/>
      <c r="L358" s="63">
        <f t="shared" si="84"/>
        <v>0.63888888888888884</v>
      </c>
      <c r="M358" s="64">
        <v>0.70833333333333337</v>
      </c>
      <c r="N358" s="65" t="str">
        <f t="shared" si="85"/>
        <v>01:40:00</v>
      </c>
      <c r="O358" s="66"/>
      <c r="P358" s="124" t="s">
        <v>515</v>
      </c>
      <c r="Q358" s="67" t="s">
        <v>13</v>
      </c>
      <c r="R358" s="68">
        <v>46242.862500000003</v>
      </c>
      <c r="S358" s="68">
        <v>46242.920138888891</v>
      </c>
      <c r="T358" s="69">
        <f t="shared" si="86"/>
        <v>5.7638888887595385E-2</v>
      </c>
      <c r="U358" s="61" t="s">
        <v>234</v>
      </c>
      <c r="V358" s="83">
        <v>8.3333333333333329E-2</v>
      </c>
      <c r="W358" s="61">
        <f t="shared" si="87"/>
        <v>-2.5694444445737943E-2</v>
      </c>
      <c r="X358" s="171">
        <v>46242.293749999997</v>
      </c>
      <c r="Y358" s="171">
        <v>46242.932638888888</v>
      </c>
      <c r="Z358" s="168">
        <f t="shared" si="78"/>
        <v>0.63888888889050577</v>
      </c>
      <c r="AA358" s="169">
        <f t="shared" si="79"/>
        <v>0.70833333333333337</v>
      </c>
      <c r="AB358" s="170" t="str">
        <f t="shared" si="80"/>
        <v>01:40:00</v>
      </c>
      <c r="AC358" s="170" t="b">
        <f t="shared" si="81"/>
        <v>1</v>
      </c>
    </row>
    <row r="359" spans="1:29" s="128" customFormat="1" ht="9.75" hidden="1" customHeight="1" x14ac:dyDescent="0.3">
      <c r="A359" s="99">
        <v>46242</v>
      </c>
      <c r="B359" s="59">
        <v>8155433</v>
      </c>
      <c r="C359" s="60" t="s">
        <v>56</v>
      </c>
      <c r="D359" s="60" t="s">
        <v>472</v>
      </c>
      <c r="E359" s="61">
        <v>0.3125</v>
      </c>
      <c r="F359" s="60" t="s">
        <v>15</v>
      </c>
      <c r="G359" s="71" t="s">
        <v>13</v>
      </c>
      <c r="H359" s="62">
        <v>0.30972222222222223</v>
      </c>
      <c r="I359" s="113" t="str">
        <f t="shared" si="83"/>
        <v>08-08-2026T07:26:00</v>
      </c>
      <c r="J359" s="62">
        <v>0.55277777777777781</v>
      </c>
      <c r="K359" s="62"/>
      <c r="L359" s="63">
        <f t="shared" si="84"/>
        <v>0.24305555555555558</v>
      </c>
      <c r="M359" s="64">
        <v>0.25</v>
      </c>
      <c r="N359" s="65" t="str">
        <f t="shared" si="85"/>
        <v>00:10:00</v>
      </c>
      <c r="O359" s="66"/>
      <c r="P359" s="124"/>
      <c r="Q359" s="67" t="s">
        <v>205</v>
      </c>
      <c r="R359" s="68">
        <v>46242.392361111109</v>
      </c>
      <c r="S359" s="68">
        <v>46242.423611111109</v>
      </c>
      <c r="T359" s="69">
        <f t="shared" si="86"/>
        <v>3.125E-2</v>
      </c>
      <c r="U359" s="61"/>
      <c r="V359" s="83">
        <v>4.1666666666666664E-2</v>
      </c>
      <c r="W359" s="61">
        <f t="shared" si="87"/>
        <v>-1.0416666666666664E-2</v>
      </c>
      <c r="X359" s="171">
        <v>46242.30972222222</v>
      </c>
      <c r="Y359" s="171">
        <v>46242.552777777775</v>
      </c>
      <c r="Z359" s="168">
        <f t="shared" si="78"/>
        <v>0.24305555555474712</v>
      </c>
      <c r="AA359" s="169">
        <f t="shared" si="79"/>
        <v>0.25</v>
      </c>
      <c r="AB359" s="170" t="str">
        <f t="shared" si="80"/>
        <v>00:10:00</v>
      </c>
      <c r="AC359" s="170" t="b">
        <f t="shared" si="81"/>
        <v>1</v>
      </c>
    </row>
    <row r="360" spans="1:29" s="128" customFormat="1" ht="9.75" hidden="1" customHeight="1" x14ac:dyDescent="0.3">
      <c r="A360" s="99">
        <v>46242</v>
      </c>
      <c r="B360" s="59">
        <v>8155407</v>
      </c>
      <c r="C360" s="60" t="s">
        <v>86</v>
      </c>
      <c r="D360" s="60" t="s">
        <v>182</v>
      </c>
      <c r="E360" s="61">
        <v>0.29166666666666669</v>
      </c>
      <c r="F360" s="60" t="s">
        <v>13</v>
      </c>
      <c r="G360" s="71" t="s">
        <v>31</v>
      </c>
      <c r="H360" s="62">
        <v>0.29583333333333334</v>
      </c>
      <c r="I360" s="113" t="str">
        <f t="shared" si="83"/>
        <v>08-08-2026T07:06:00</v>
      </c>
      <c r="J360" s="62">
        <v>0.91527777777777775</v>
      </c>
      <c r="K360" s="62"/>
      <c r="L360" s="63">
        <f t="shared" si="84"/>
        <v>0.61944444444444446</v>
      </c>
      <c r="M360" s="64">
        <v>0.625</v>
      </c>
      <c r="N360" s="65" t="str">
        <f t="shared" si="85"/>
        <v>00:08:00</v>
      </c>
      <c r="O360" s="66"/>
      <c r="P360" s="124" t="s">
        <v>527</v>
      </c>
      <c r="Q360" s="67"/>
      <c r="R360" s="68"/>
      <c r="S360" s="68"/>
      <c r="T360" s="69">
        <f t="shared" si="86"/>
        <v>0</v>
      </c>
      <c r="U360" s="61"/>
      <c r="V360" s="83">
        <v>0</v>
      </c>
      <c r="W360" s="61">
        <f t="shared" si="87"/>
        <v>0</v>
      </c>
      <c r="X360" s="172">
        <v>46242.29583333333</v>
      </c>
      <c r="Y360" s="172">
        <v>46242.915277777778</v>
      </c>
      <c r="Z360" s="173">
        <f t="shared" si="78"/>
        <v>0.61944444444816327</v>
      </c>
      <c r="AA360" s="174">
        <f t="shared" si="79"/>
        <v>0.625</v>
      </c>
      <c r="AB360" s="175" t="str">
        <f t="shared" si="80"/>
        <v>00:08:00</v>
      </c>
      <c r="AC360" s="175" t="b">
        <f t="shared" si="81"/>
        <v>1</v>
      </c>
    </row>
    <row r="361" spans="1:29" s="128" customFormat="1" ht="9.75" hidden="1" customHeight="1" x14ac:dyDescent="0.3">
      <c r="A361" s="99">
        <v>46242</v>
      </c>
      <c r="B361" s="59">
        <v>8155447</v>
      </c>
      <c r="C361" s="60" t="s">
        <v>42</v>
      </c>
      <c r="D361" s="60" t="s">
        <v>181</v>
      </c>
      <c r="E361" s="61">
        <v>0.3125</v>
      </c>
      <c r="F361" s="60" t="s">
        <v>13</v>
      </c>
      <c r="G361" s="71" t="s">
        <v>55</v>
      </c>
      <c r="H361" s="62">
        <v>0.31319444444444444</v>
      </c>
      <c r="I361" s="113" t="str">
        <f t="shared" si="83"/>
        <v>08-08-2026T07:31:00</v>
      </c>
      <c r="J361" s="62">
        <v>0.37361111111111112</v>
      </c>
      <c r="K361" s="62"/>
      <c r="L361" s="63">
        <f t="shared" si="84"/>
        <v>6.0416666666666674E-2</v>
      </c>
      <c r="M361" s="64">
        <v>6.25E-2</v>
      </c>
      <c r="N361" s="65" t="str">
        <f t="shared" si="85"/>
        <v>00:03:00</v>
      </c>
      <c r="O361" s="66"/>
      <c r="P361" s="124"/>
      <c r="Q361" s="67"/>
      <c r="R361" s="68"/>
      <c r="S361" s="68"/>
      <c r="T361" s="69">
        <f t="shared" si="86"/>
        <v>0</v>
      </c>
      <c r="U361" s="61" t="s">
        <v>234</v>
      </c>
      <c r="V361" s="83">
        <v>0</v>
      </c>
      <c r="W361" s="61">
        <f t="shared" si="87"/>
        <v>0</v>
      </c>
      <c r="X361" s="171">
        <v>46242.313194444447</v>
      </c>
      <c r="Y361" s="171">
        <v>46242.373611111114</v>
      </c>
      <c r="Z361" s="168">
        <f t="shared" si="78"/>
        <v>6.0416666667151731E-2</v>
      </c>
      <c r="AA361" s="169">
        <f t="shared" si="79"/>
        <v>6.25E-2</v>
      </c>
      <c r="AB361" s="170" t="str">
        <f t="shared" si="80"/>
        <v>00:03:00</v>
      </c>
      <c r="AC361" s="170" t="b">
        <f t="shared" si="81"/>
        <v>1</v>
      </c>
    </row>
    <row r="362" spans="1:29" s="128" customFormat="1" ht="9.75" hidden="1" customHeight="1" x14ac:dyDescent="0.3">
      <c r="A362" s="99">
        <v>46242</v>
      </c>
      <c r="B362" s="59">
        <v>8155556</v>
      </c>
      <c r="C362" s="60" t="s">
        <v>50</v>
      </c>
      <c r="D362" s="60" t="s">
        <v>329</v>
      </c>
      <c r="E362" s="61">
        <v>0.375</v>
      </c>
      <c r="F362" s="60" t="s">
        <v>13</v>
      </c>
      <c r="G362" s="71" t="s">
        <v>31</v>
      </c>
      <c r="H362" s="62">
        <v>46242.370138888888</v>
      </c>
      <c r="I362" s="113" t="str">
        <f t="shared" si="83"/>
        <v>08-08-2026T08:53:00</v>
      </c>
      <c r="J362" s="62">
        <v>46243.058333333334</v>
      </c>
      <c r="K362" s="62"/>
      <c r="L362" s="63">
        <f t="shared" si="84"/>
        <v>0.68819444444670808</v>
      </c>
      <c r="M362" s="64">
        <v>0.75</v>
      </c>
      <c r="N362" s="65" t="str">
        <f t="shared" si="85"/>
        <v>01:29:00</v>
      </c>
      <c r="O362" s="66"/>
      <c r="P362" s="124"/>
      <c r="Q362" s="67" t="s">
        <v>45</v>
      </c>
      <c r="R362" s="68">
        <v>46242.897222222222</v>
      </c>
      <c r="S362" s="68">
        <v>46242.979166666664</v>
      </c>
      <c r="T362" s="69">
        <f t="shared" si="86"/>
        <v>8.1944444442342501E-2</v>
      </c>
      <c r="U362" s="61"/>
      <c r="V362" s="83">
        <v>8.3333333333333329E-2</v>
      </c>
      <c r="W362" s="61">
        <f t="shared" si="87"/>
        <v>-1.3888888909908276E-3</v>
      </c>
      <c r="X362" s="172">
        <v>46242.370138888888</v>
      </c>
      <c r="Y362" s="172">
        <v>46243.058333333334</v>
      </c>
      <c r="Z362" s="173">
        <f t="shared" si="78"/>
        <v>0.68819444444670808</v>
      </c>
      <c r="AA362" s="174">
        <f t="shared" si="79"/>
        <v>0.75</v>
      </c>
      <c r="AB362" s="175" t="str">
        <f t="shared" si="80"/>
        <v>01:29:00</v>
      </c>
      <c r="AC362" s="175" t="b">
        <f t="shared" si="81"/>
        <v>1</v>
      </c>
    </row>
    <row r="363" spans="1:29" s="128" customFormat="1" ht="9.75" hidden="1" customHeight="1" x14ac:dyDescent="0.3">
      <c r="A363" s="99">
        <v>46242</v>
      </c>
      <c r="B363" s="59">
        <v>8155567</v>
      </c>
      <c r="C363" s="60" t="s">
        <v>104</v>
      </c>
      <c r="D363" s="60" t="s">
        <v>382</v>
      </c>
      <c r="E363" s="61">
        <v>0.375</v>
      </c>
      <c r="F363" s="60" t="s">
        <v>13</v>
      </c>
      <c r="G363" s="71" t="s">
        <v>47</v>
      </c>
      <c r="H363" s="62">
        <v>46242.372916666667</v>
      </c>
      <c r="I363" s="113" t="str">
        <f t="shared" si="83"/>
        <v>08-08-2026T08:57:00</v>
      </c>
      <c r="J363" s="62">
        <v>46244.271527777775</v>
      </c>
      <c r="K363" s="62"/>
      <c r="L363" s="63">
        <f t="shared" si="84"/>
        <v>1.898611111108039</v>
      </c>
      <c r="M363" s="64">
        <v>1.9166666666666667</v>
      </c>
      <c r="N363" s="65" t="str">
        <f t="shared" si="85"/>
        <v>00:26:00</v>
      </c>
      <c r="O363" s="66"/>
      <c r="P363" s="124"/>
      <c r="Q363" s="67" t="s">
        <v>96</v>
      </c>
      <c r="R363" s="68">
        <v>46244.083333333336</v>
      </c>
      <c r="S363" s="68">
        <v>46244.159722222219</v>
      </c>
      <c r="T363" s="69">
        <f t="shared" si="86"/>
        <v>7.6388888883229811E-2</v>
      </c>
      <c r="U363" s="61"/>
      <c r="V363" s="83">
        <v>8.3333333333333329E-2</v>
      </c>
      <c r="W363" s="61">
        <f t="shared" si="87"/>
        <v>-6.944444450103518E-3</v>
      </c>
      <c r="X363" s="171">
        <v>46242.372916666667</v>
      </c>
      <c r="Y363" s="171">
        <v>46244.271527777775</v>
      </c>
      <c r="Z363" s="168">
        <f t="shared" si="78"/>
        <v>1.898611111108039</v>
      </c>
      <c r="AA363" s="169">
        <f t="shared" si="79"/>
        <v>1.9166666666666667</v>
      </c>
      <c r="AB363" s="170" t="str">
        <f t="shared" si="80"/>
        <v>00:26:00</v>
      </c>
      <c r="AC363" s="170" t="b">
        <f t="shared" si="81"/>
        <v>1</v>
      </c>
    </row>
    <row r="364" spans="1:29" s="128" customFormat="1" ht="9.75" hidden="1" customHeight="1" x14ac:dyDescent="0.3">
      <c r="A364" s="99">
        <v>46242</v>
      </c>
      <c r="B364" s="59">
        <v>8155587</v>
      </c>
      <c r="C364" s="60" t="s">
        <v>48</v>
      </c>
      <c r="D364" s="60" t="s">
        <v>183</v>
      </c>
      <c r="E364" s="61">
        <v>0.375</v>
      </c>
      <c r="F364" s="60" t="s">
        <v>49</v>
      </c>
      <c r="G364" s="71" t="s">
        <v>13</v>
      </c>
      <c r="H364" s="62">
        <v>0.37708333333333333</v>
      </c>
      <c r="I364" s="113" t="str">
        <f t="shared" si="83"/>
        <v>08-08-2026T09:03:00</v>
      </c>
      <c r="J364" s="62">
        <v>0.93680555555555556</v>
      </c>
      <c r="K364" s="62"/>
      <c r="L364" s="63">
        <f t="shared" si="84"/>
        <v>0.55972222222222223</v>
      </c>
      <c r="M364" s="64">
        <v>0.58333333333333337</v>
      </c>
      <c r="N364" s="65" t="str">
        <f t="shared" si="85"/>
        <v>00:34:00</v>
      </c>
      <c r="O364" s="66"/>
      <c r="P364" s="124"/>
      <c r="Q364" s="67" t="s">
        <v>13</v>
      </c>
      <c r="R364" s="68">
        <v>46242.859722222223</v>
      </c>
      <c r="S364" s="68">
        <v>46242.920138888891</v>
      </c>
      <c r="T364" s="69">
        <f t="shared" si="86"/>
        <v>6.0416666667151731E-2</v>
      </c>
      <c r="U364" s="61"/>
      <c r="V364" s="83">
        <v>8.3333333333333329E-2</v>
      </c>
      <c r="W364" s="61">
        <f t="shared" si="87"/>
        <v>-2.2916666666181598E-2</v>
      </c>
      <c r="X364" s="171">
        <v>46242.377083333333</v>
      </c>
      <c r="Y364" s="171">
        <v>46242.936805555553</v>
      </c>
      <c r="Z364" s="168">
        <f t="shared" si="78"/>
        <v>0.55972222222044365</v>
      </c>
      <c r="AA364" s="169">
        <f t="shared" si="79"/>
        <v>0.58333333333333337</v>
      </c>
      <c r="AB364" s="170" t="str">
        <f t="shared" si="80"/>
        <v>00:34:00</v>
      </c>
      <c r="AC364" s="170" t="b">
        <f t="shared" si="81"/>
        <v>1</v>
      </c>
    </row>
    <row r="365" spans="1:29" s="127" customFormat="1" ht="9.75" hidden="1" customHeight="1" x14ac:dyDescent="0.3">
      <c r="A365" s="98">
        <v>46242</v>
      </c>
      <c r="B365" s="48">
        <v>8155681</v>
      </c>
      <c r="C365" s="49" t="s">
        <v>40</v>
      </c>
      <c r="D365" s="49" t="s">
        <v>460</v>
      </c>
      <c r="E365" s="50">
        <v>0.41666666666666669</v>
      </c>
      <c r="F365" s="49" t="s">
        <v>31</v>
      </c>
      <c r="G365" s="70" t="s">
        <v>13</v>
      </c>
      <c r="H365" s="51">
        <v>46242.432638888888</v>
      </c>
      <c r="I365" s="113" t="str">
        <f t="shared" si="83"/>
        <v>08-08-2026T10:23:00</v>
      </c>
      <c r="J365" s="51">
        <v>46243.290277777778</v>
      </c>
      <c r="K365" s="51"/>
      <c r="L365" s="52">
        <f t="shared" si="84"/>
        <v>0.85763888889050577</v>
      </c>
      <c r="M365" s="53">
        <v>0.75</v>
      </c>
      <c r="N365" s="54" t="str">
        <f t="shared" si="85"/>
        <v>-02:35:00</v>
      </c>
      <c r="O365" s="55">
        <v>600</v>
      </c>
      <c r="P365" s="147" t="s">
        <v>526</v>
      </c>
      <c r="Q365" s="56" t="s">
        <v>45</v>
      </c>
      <c r="R365" s="57" t="s">
        <v>480</v>
      </c>
      <c r="S365" s="57" t="s">
        <v>480</v>
      </c>
      <c r="T365" s="58" t="e">
        <f t="shared" si="86"/>
        <v>#VALUE!</v>
      </c>
      <c r="U365" s="50"/>
      <c r="V365" s="74">
        <v>8.3333333333333329E-2</v>
      </c>
      <c r="W365" s="50" t="e">
        <f t="shared" si="87"/>
        <v>#VALUE!</v>
      </c>
      <c r="X365" s="171">
        <v>46242.432638888888</v>
      </c>
      <c r="Y365" s="171">
        <v>46243.290277777778</v>
      </c>
      <c r="Z365" s="168">
        <f t="shared" si="78"/>
        <v>0.85763888889050577</v>
      </c>
      <c r="AA365" s="169">
        <f t="shared" si="79"/>
        <v>0.75</v>
      </c>
      <c r="AB365" s="170" t="str">
        <f t="shared" si="80"/>
        <v>-02:35:00</v>
      </c>
      <c r="AC365" s="170" t="b">
        <f t="shared" si="81"/>
        <v>1</v>
      </c>
    </row>
    <row r="366" spans="1:29" s="127" customFormat="1" ht="9.75" hidden="1" customHeight="1" x14ac:dyDescent="0.3">
      <c r="A366" s="98">
        <v>46242</v>
      </c>
      <c r="B366" s="48">
        <v>8155662</v>
      </c>
      <c r="C366" s="49" t="s">
        <v>51</v>
      </c>
      <c r="D366" s="49" t="s">
        <v>295</v>
      </c>
      <c r="E366" s="50">
        <v>0.41666666666666669</v>
      </c>
      <c r="F366" s="49" t="s">
        <v>13</v>
      </c>
      <c r="G366" s="70" t="s">
        <v>49</v>
      </c>
      <c r="H366" s="51">
        <v>46242.422222222223</v>
      </c>
      <c r="I366" s="113" t="str">
        <f t="shared" si="83"/>
        <v>08-08-2026T10:08:00</v>
      </c>
      <c r="J366" s="51">
        <v>46243.0625</v>
      </c>
      <c r="K366" s="51"/>
      <c r="L366" s="52">
        <f t="shared" si="84"/>
        <v>0.64027777777664596</v>
      </c>
      <c r="M366" s="53">
        <v>0.5</v>
      </c>
      <c r="N366" s="54" t="str">
        <f t="shared" si="85"/>
        <v>-03:22:00</v>
      </c>
      <c r="O366" s="55">
        <f>250*4</f>
        <v>1000</v>
      </c>
      <c r="P366" s="147" t="s">
        <v>570</v>
      </c>
      <c r="Q366" s="56"/>
      <c r="R366" s="57"/>
      <c r="S366" s="57"/>
      <c r="T366" s="58">
        <f t="shared" si="86"/>
        <v>0</v>
      </c>
      <c r="U366" s="50" t="s">
        <v>234</v>
      </c>
      <c r="V366" s="74">
        <v>0</v>
      </c>
      <c r="W366" s="50">
        <f t="shared" si="87"/>
        <v>0</v>
      </c>
      <c r="X366" s="171">
        <v>46242.422222222223</v>
      </c>
      <c r="Y366" s="171">
        <v>46243.0625</v>
      </c>
      <c r="Z366" s="168">
        <f t="shared" si="78"/>
        <v>0.64027777777664596</v>
      </c>
      <c r="AA366" s="169">
        <f t="shared" si="79"/>
        <v>0.5</v>
      </c>
      <c r="AB366" s="170" t="str">
        <f t="shared" si="80"/>
        <v>-03:22:00</v>
      </c>
      <c r="AC366" s="170" t="b">
        <f t="shared" si="81"/>
        <v>1</v>
      </c>
    </row>
    <row r="367" spans="1:29" s="128" customFormat="1" ht="9.75" customHeight="1" x14ac:dyDescent="0.3">
      <c r="A367" s="99">
        <v>46242</v>
      </c>
      <c r="B367" s="59">
        <v>8154624</v>
      </c>
      <c r="C367" s="60" t="s">
        <v>90</v>
      </c>
      <c r="D367" s="60" t="s">
        <v>290</v>
      </c>
      <c r="E367" s="61">
        <v>0.99930555555555556</v>
      </c>
      <c r="F367" s="60" t="s">
        <v>13</v>
      </c>
      <c r="G367" s="71" t="s">
        <v>15</v>
      </c>
      <c r="H367" s="62">
        <v>2.1527777777777778E-2</v>
      </c>
      <c r="I367" s="113" t="str">
        <f t="shared" si="83"/>
        <v>08-08-2026T00:31:00</v>
      </c>
      <c r="J367" s="62">
        <v>0.26666666666666666</v>
      </c>
      <c r="K367" s="113" t="str">
        <f t="shared" ref="K367:K368" si="88">TEXT(A367,"dd-mm-yyyy")&amp;"T"&amp;TEXT(J367,"hh:mm:ss")</f>
        <v>08-08-2026T06:24:00</v>
      </c>
      <c r="L367" s="63">
        <f t="shared" si="84"/>
        <v>0.24513888888888888</v>
      </c>
      <c r="M367" s="64">
        <v>0.27083333333333331</v>
      </c>
      <c r="N367" s="65" t="str">
        <f t="shared" si="85"/>
        <v>00:37:00</v>
      </c>
      <c r="O367" s="66"/>
      <c r="P367" s="124"/>
      <c r="Q367" s="67" t="s">
        <v>13</v>
      </c>
      <c r="R367" s="68">
        <v>46242.043749999997</v>
      </c>
      <c r="S367" s="68">
        <v>46242.071527777778</v>
      </c>
      <c r="T367" s="69">
        <f t="shared" si="86"/>
        <v>2.7777777781011537E-2</v>
      </c>
      <c r="U367" s="61" t="s">
        <v>234</v>
      </c>
      <c r="V367" s="83">
        <v>4.1666666666666664E-2</v>
      </c>
      <c r="W367" s="61">
        <f t="shared" si="87"/>
        <v>-1.3888888885655128E-2</v>
      </c>
      <c r="X367" s="171">
        <v>46242.021527777775</v>
      </c>
      <c r="Y367" s="171">
        <v>46242.26666666667</v>
      </c>
      <c r="Z367" s="168">
        <f t="shared" si="78"/>
        <v>0.24513888889487134</v>
      </c>
      <c r="AA367" s="169">
        <f t="shared" si="79"/>
        <v>0.27083333333333331</v>
      </c>
      <c r="AB367" s="170" t="str">
        <f t="shared" si="80"/>
        <v>00:37:00</v>
      </c>
      <c r="AC367" s="170" t="b">
        <f t="shared" si="81"/>
        <v>1</v>
      </c>
    </row>
    <row r="368" spans="1:29" s="127" customFormat="1" ht="9.75" hidden="1" customHeight="1" x14ac:dyDescent="0.3">
      <c r="A368" s="98">
        <v>46242</v>
      </c>
      <c r="B368" s="48">
        <v>8155698</v>
      </c>
      <c r="C368" s="49" t="s">
        <v>90</v>
      </c>
      <c r="D368" s="49" t="s">
        <v>290</v>
      </c>
      <c r="E368" s="50">
        <v>0.4375</v>
      </c>
      <c r="F368" s="49" t="s">
        <v>15</v>
      </c>
      <c r="G368" s="70" t="s">
        <v>13</v>
      </c>
      <c r="H368" s="51">
        <v>0.44305555555555554</v>
      </c>
      <c r="I368" s="113" t="str">
        <f t="shared" si="83"/>
        <v>08-08-2026T10:38:00</v>
      </c>
      <c r="J368" s="51">
        <v>0.66111111111111109</v>
      </c>
      <c r="K368" s="113" t="str">
        <f t="shared" si="88"/>
        <v>08-08-2026T15:52:00</v>
      </c>
      <c r="L368" s="52">
        <f t="shared" si="84"/>
        <v>0.21805555555555556</v>
      </c>
      <c r="M368" s="53">
        <v>0.20833333333333334</v>
      </c>
      <c r="N368" s="54" t="str">
        <f t="shared" si="85"/>
        <v>-00:14:00</v>
      </c>
      <c r="O368" s="55">
        <v>200</v>
      </c>
      <c r="P368" s="147" t="s">
        <v>455</v>
      </c>
      <c r="Q368" s="56"/>
      <c r="R368" s="57"/>
      <c r="S368" s="57"/>
      <c r="T368" s="58">
        <f t="shared" si="86"/>
        <v>0</v>
      </c>
      <c r="U368" s="50"/>
      <c r="V368" s="74">
        <v>0</v>
      </c>
      <c r="W368" s="50">
        <f t="shared" si="87"/>
        <v>0</v>
      </c>
      <c r="X368" s="171">
        <v>46242.443055555559</v>
      </c>
      <c r="Y368" s="171">
        <v>46242.661111111112</v>
      </c>
      <c r="Z368" s="168">
        <f t="shared" si="78"/>
        <v>0.21805555555329192</v>
      </c>
      <c r="AA368" s="169">
        <f t="shared" si="79"/>
        <v>0.20833333333333334</v>
      </c>
      <c r="AB368" s="170" t="str">
        <f t="shared" si="80"/>
        <v>-00:14:00</v>
      </c>
      <c r="AC368" s="170" t="b">
        <f t="shared" si="81"/>
        <v>1</v>
      </c>
    </row>
    <row r="369" spans="1:29" s="128" customFormat="1" ht="9.75" hidden="1" customHeight="1" x14ac:dyDescent="0.3">
      <c r="A369" s="99">
        <v>46242</v>
      </c>
      <c r="B369" s="59">
        <v>8155744</v>
      </c>
      <c r="C369" s="60" t="s">
        <v>54</v>
      </c>
      <c r="D369" s="60" t="s">
        <v>288</v>
      </c>
      <c r="E369" s="61">
        <v>0.45833333333333331</v>
      </c>
      <c r="F369" s="60" t="s">
        <v>13</v>
      </c>
      <c r="G369" s="71" t="s">
        <v>24</v>
      </c>
      <c r="H369" s="62">
        <v>0.45763888888888887</v>
      </c>
      <c r="I369" s="113" t="str">
        <f t="shared" si="83"/>
        <v>08-08-2026T10:59:00</v>
      </c>
      <c r="J369" s="62">
        <v>0.53125</v>
      </c>
      <c r="K369" s="62"/>
      <c r="L369" s="63">
        <f t="shared" si="84"/>
        <v>7.3611111111111127E-2</v>
      </c>
      <c r="M369" s="64">
        <v>8.3333333333333329E-2</v>
      </c>
      <c r="N369" s="65" t="str">
        <f t="shared" si="85"/>
        <v>00:14:00</v>
      </c>
      <c r="O369" s="66"/>
      <c r="P369" s="124"/>
      <c r="Q369" s="67"/>
      <c r="R369" s="68"/>
      <c r="S369" s="68"/>
      <c r="T369" s="69">
        <f t="shared" si="86"/>
        <v>0</v>
      </c>
      <c r="U369" s="61" t="s">
        <v>234</v>
      </c>
      <c r="V369" s="83">
        <v>0</v>
      </c>
      <c r="W369" s="61">
        <f t="shared" si="87"/>
        <v>0</v>
      </c>
      <c r="X369" s="171">
        <v>46242.457638888889</v>
      </c>
      <c r="Y369" s="171">
        <v>46242.53125</v>
      </c>
      <c r="Z369" s="168">
        <f t="shared" si="78"/>
        <v>7.3611111110949423E-2</v>
      </c>
      <c r="AA369" s="169">
        <f t="shared" si="79"/>
        <v>8.3333333333333329E-2</v>
      </c>
      <c r="AB369" s="170" t="str">
        <f t="shared" si="80"/>
        <v>00:14:00</v>
      </c>
      <c r="AC369" s="170" t="b">
        <f t="shared" si="81"/>
        <v>1</v>
      </c>
    </row>
    <row r="370" spans="1:29" s="128" customFormat="1" ht="9.75" hidden="1" customHeight="1" x14ac:dyDescent="0.3">
      <c r="A370" s="99">
        <v>46242</v>
      </c>
      <c r="B370" s="59">
        <v>8155886</v>
      </c>
      <c r="C370" s="60" t="s">
        <v>20</v>
      </c>
      <c r="D370" s="60" t="s">
        <v>232</v>
      </c>
      <c r="E370" s="61">
        <v>0.5</v>
      </c>
      <c r="F370" s="60" t="s">
        <v>13</v>
      </c>
      <c r="G370" s="71" t="s">
        <v>21</v>
      </c>
      <c r="H370" s="62">
        <v>0.50486111111111109</v>
      </c>
      <c r="I370" s="113" t="str">
        <f t="shared" si="83"/>
        <v>08-08-2026T12:07:00</v>
      </c>
      <c r="J370" s="62">
        <v>0.75</v>
      </c>
      <c r="K370" s="62"/>
      <c r="L370" s="63">
        <f t="shared" si="84"/>
        <v>0.24513888888888891</v>
      </c>
      <c r="M370" s="64">
        <v>0.25</v>
      </c>
      <c r="N370" s="65" t="str">
        <f t="shared" si="85"/>
        <v>00:07:00</v>
      </c>
      <c r="O370" s="66"/>
      <c r="P370" s="124"/>
      <c r="Q370" s="67"/>
      <c r="R370" s="68"/>
      <c r="S370" s="68"/>
      <c r="T370" s="69">
        <f t="shared" si="86"/>
        <v>0</v>
      </c>
      <c r="U370" s="61"/>
      <c r="V370" s="83">
        <v>0</v>
      </c>
      <c r="W370" s="61">
        <f t="shared" si="87"/>
        <v>0</v>
      </c>
      <c r="X370" s="171">
        <v>46242.504861111112</v>
      </c>
      <c r="Y370" s="171">
        <v>46242.75</v>
      </c>
      <c r="Z370" s="168">
        <f t="shared" si="78"/>
        <v>0.24513888888759539</v>
      </c>
      <c r="AA370" s="169">
        <f t="shared" si="79"/>
        <v>0.25</v>
      </c>
      <c r="AB370" s="170" t="str">
        <f t="shared" si="80"/>
        <v>00:07:00</v>
      </c>
      <c r="AC370" s="170" t="b">
        <f t="shared" si="81"/>
        <v>1</v>
      </c>
    </row>
    <row r="371" spans="1:29" s="128" customFormat="1" ht="9.75" hidden="1" customHeight="1" x14ac:dyDescent="0.3">
      <c r="A371" s="99">
        <v>46242</v>
      </c>
      <c r="B371" s="59">
        <v>8156019</v>
      </c>
      <c r="C371" s="60" t="s">
        <v>52</v>
      </c>
      <c r="D371" s="60" t="s">
        <v>616</v>
      </c>
      <c r="E371" s="61">
        <v>0.54166666666666663</v>
      </c>
      <c r="F371" s="60" t="s">
        <v>13</v>
      </c>
      <c r="G371" s="71" t="s">
        <v>15</v>
      </c>
      <c r="H371" s="62">
        <v>0.55486111111111114</v>
      </c>
      <c r="I371" s="113" t="str">
        <f t="shared" si="83"/>
        <v>08-08-2026T13:19:00</v>
      </c>
      <c r="J371" s="62">
        <v>0.75902777777777775</v>
      </c>
      <c r="K371" s="62"/>
      <c r="L371" s="63">
        <f t="shared" si="84"/>
        <v>0.20416666666666661</v>
      </c>
      <c r="M371" s="64">
        <v>0.20833333333333334</v>
      </c>
      <c r="N371" s="65" t="str">
        <f t="shared" si="85"/>
        <v>00:06:00</v>
      </c>
      <c r="O371" s="66"/>
      <c r="P371" s="124"/>
      <c r="Q371" s="67"/>
      <c r="R371" s="68"/>
      <c r="S371" s="68"/>
      <c r="T371" s="69">
        <f t="shared" si="86"/>
        <v>0</v>
      </c>
      <c r="U371" s="61" t="s">
        <v>234</v>
      </c>
      <c r="V371" s="83">
        <v>0</v>
      </c>
      <c r="W371" s="61">
        <f t="shared" si="87"/>
        <v>0</v>
      </c>
      <c r="X371" s="171">
        <v>46242.554861111108</v>
      </c>
      <c r="Y371" s="171">
        <v>46242.759027777778</v>
      </c>
      <c r="Z371" s="168">
        <f t="shared" si="78"/>
        <v>0.20416666667006211</v>
      </c>
      <c r="AA371" s="169">
        <f t="shared" si="79"/>
        <v>0.20833333333333334</v>
      </c>
      <c r="AB371" s="170" t="str">
        <f t="shared" si="80"/>
        <v>00:06:00</v>
      </c>
      <c r="AC371" s="170" t="b">
        <f t="shared" si="81"/>
        <v>1</v>
      </c>
    </row>
    <row r="372" spans="1:29" s="127" customFormat="1" ht="9.75" hidden="1" customHeight="1" x14ac:dyDescent="0.3">
      <c r="A372" s="98">
        <v>46242</v>
      </c>
      <c r="B372" s="48">
        <v>8156241</v>
      </c>
      <c r="C372" s="49" t="s">
        <v>18</v>
      </c>
      <c r="D372" s="49" t="s">
        <v>389</v>
      </c>
      <c r="E372" s="50">
        <v>0.64583333333333337</v>
      </c>
      <c r="F372" s="49" t="s">
        <v>19</v>
      </c>
      <c r="G372" s="70" t="s">
        <v>13</v>
      </c>
      <c r="H372" s="51">
        <v>0.6381944444444444</v>
      </c>
      <c r="I372" s="113" t="str">
        <f t="shared" si="83"/>
        <v>08-08-2026T15:19:00</v>
      </c>
      <c r="J372" s="51">
        <v>46243.180555555555</v>
      </c>
      <c r="K372" s="51"/>
      <c r="L372" s="52">
        <f t="shared" si="84"/>
        <v>46242.542361111111</v>
      </c>
      <c r="M372" s="53">
        <v>0.4375</v>
      </c>
      <c r="N372" s="54" t="str">
        <f t="shared" si="85"/>
        <v>-02:31:00</v>
      </c>
      <c r="O372" s="55">
        <v>600</v>
      </c>
      <c r="P372" s="147" t="s">
        <v>537</v>
      </c>
      <c r="Q372" s="56" t="s">
        <v>229</v>
      </c>
      <c r="R372" s="57">
        <v>0.75</v>
      </c>
      <c r="S372" s="57">
        <v>0.79166666666666663</v>
      </c>
      <c r="T372" s="58">
        <f t="shared" si="86"/>
        <v>4.166666666666663E-2</v>
      </c>
      <c r="U372" s="50"/>
      <c r="V372" s="74">
        <v>8.3333333333333329E-2</v>
      </c>
      <c r="W372" s="50">
        <f t="shared" si="87"/>
        <v>-4.1666666666666699E-2</v>
      </c>
      <c r="X372" s="171">
        <v>46242.638194444444</v>
      </c>
      <c r="Y372" s="171">
        <v>46243.180555555555</v>
      </c>
      <c r="Z372" s="168">
        <f t="shared" si="78"/>
        <v>0.54236111111094942</v>
      </c>
      <c r="AA372" s="169">
        <f t="shared" si="79"/>
        <v>0.4375</v>
      </c>
      <c r="AB372" s="170" t="str">
        <f t="shared" si="80"/>
        <v>-02:31:00</v>
      </c>
      <c r="AC372" s="170" t="b">
        <f t="shared" si="81"/>
        <v>1</v>
      </c>
    </row>
    <row r="373" spans="1:29" s="128" customFormat="1" ht="9.75" hidden="1" customHeight="1" x14ac:dyDescent="0.3">
      <c r="A373" s="99">
        <v>46242</v>
      </c>
      <c r="B373" s="59">
        <v>8156460</v>
      </c>
      <c r="C373" s="60" t="s">
        <v>57</v>
      </c>
      <c r="D373" s="60" t="s">
        <v>370</v>
      </c>
      <c r="E373" s="61">
        <v>0.70833333333333337</v>
      </c>
      <c r="F373" s="60" t="s">
        <v>13</v>
      </c>
      <c r="G373" s="71" t="s">
        <v>24</v>
      </c>
      <c r="H373" s="62">
        <v>0.70763888888888893</v>
      </c>
      <c r="I373" s="113" t="str">
        <f t="shared" si="83"/>
        <v>08-08-2026T16:59:00</v>
      </c>
      <c r="J373" s="62">
        <v>0.78541666666666665</v>
      </c>
      <c r="K373" s="62"/>
      <c r="L373" s="63">
        <f t="shared" si="84"/>
        <v>7.7777777777777724E-2</v>
      </c>
      <c r="M373" s="64">
        <v>8.3333333333333329E-2</v>
      </c>
      <c r="N373" s="65" t="str">
        <f t="shared" si="85"/>
        <v>00:08:00</v>
      </c>
      <c r="O373" s="66"/>
      <c r="P373" s="124"/>
      <c r="Q373" s="67"/>
      <c r="R373" s="68"/>
      <c r="S373" s="68"/>
      <c r="T373" s="69">
        <f t="shared" si="86"/>
        <v>0</v>
      </c>
      <c r="U373" s="61" t="s">
        <v>234</v>
      </c>
      <c r="V373" s="83">
        <v>0</v>
      </c>
      <c r="W373" s="61">
        <f t="shared" si="87"/>
        <v>0</v>
      </c>
      <c r="X373" s="171">
        <v>46242.707638888889</v>
      </c>
      <c r="Y373" s="171">
        <v>46242.785416666666</v>
      </c>
      <c r="Z373" s="168">
        <f t="shared" si="78"/>
        <v>7.7777777776645962E-2</v>
      </c>
      <c r="AA373" s="169">
        <f t="shared" si="79"/>
        <v>8.3333333333333329E-2</v>
      </c>
      <c r="AB373" s="170" t="str">
        <f t="shared" si="80"/>
        <v>00:08:00</v>
      </c>
      <c r="AC373" s="170" t="b">
        <f t="shared" si="81"/>
        <v>1</v>
      </c>
    </row>
    <row r="374" spans="1:29" s="128" customFormat="1" ht="9.75" hidden="1" customHeight="1" x14ac:dyDescent="0.3">
      <c r="A374" s="99">
        <v>46242</v>
      </c>
      <c r="B374" s="59">
        <v>8156500</v>
      </c>
      <c r="C374" s="60" t="s">
        <v>84</v>
      </c>
      <c r="D374" s="60" t="s">
        <v>301</v>
      </c>
      <c r="E374" s="61">
        <v>0.70833333333333337</v>
      </c>
      <c r="F374" s="60" t="s">
        <v>85</v>
      </c>
      <c r="G374" s="71" t="s">
        <v>13</v>
      </c>
      <c r="H374" s="62">
        <v>46242.720138888886</v>
      </c>
      <c r="I374" s="113" t="str">
        <f t="shared" si="83"/>
        <v>08-08-2026T17:17:00</v>
      </c>
      <c r="J374" s="62">
        <v>46243.037499999999</v>
      </c>
      <c r="K374" s="62"/>
      <c r="L374" s="63">
        <f t="shared" ref="L374:L378" si="89">J374-H374</f>
        <v>0.31736111111240461</v>
      </c>
      <c r="M374" s="64">
        <v>0.33333333333333331</v>
      </c>
      <c r="N374" s="65" t="str">
        <f t="shared" ref="N374:N378" si="90">IF(M374-L374&gt;0,TEXT(M374-L374,"HH:MM:SS"),TEXT(ABS(M374-L374),"-HH:MM:SS"))</f>
        <v>00:23:00</v>
      </c>
      <c r="O374" s="66"/>
      <c r="P374" s="124"/>
      <c r="Q374" s="67" t="s">
        <v>174</v>
      </c>
      <c r="R374" s="68">
        <v>46242.788194444445</v>
      </c>
      <c r="S374" s="68">
        <v>46242.807638888888</v>
      </c>
      <c r="T374" s="69">
        <f t="shared" ref="T374:T378" si="91">S374-R374</f>
        <v>1.9444444442342501E-2</v>
      </c>
      <c r="U374" s="61"/>
      <c r="V374" s="83">
        <v>4.1666666666666664E-2</v>
      </c>
      <c r="W374" s="61">
        <f t="shared" ref="W374:W378" si="92">T374-V374</f>
        <v>-2.2222222224324163E-2</v>
      </c>
      <c r="X374" s="171">
        <v>46242.720138888886</v>
      </c>
      <c r="Y374" s="171">
        <v>46243.037499999999</v>
      </c>
      <c r="Z374" s="168">
        <f t="shared" si="78"/>
        <v>0.31736111111240461</v>
      </c>
      <c r="AA374" s="169">
        <f t="shared" si="79"/>
        <v>0.33333333333333331</v>
      </c>
      <c r="AB374" s="170" t="str">
        <f t="shared" si="80"/>
        <v>00:23:00</v>
      </c>
      <c r="AC374" s="170" t="b">
        <f t="shared" si="81"/>
        <v>1</v>
      </c>
    </row>
    <row r="375" spans="1:29" s="128" customFormat="1" ht="9.75" hidden="1" customHeight="1" x14ac:dyDescent="0.3">
      <c r="A375" s="99">
        <v>46242</v>
      </c>
      <c r="B375" s="59">
        <v>8156491</v>
      </c>
      <c r="C375" s="60" t="s">
        <v>27</v>
      </c>
      <c r="D375" s="60" t="s">
        <v>378</v>
      </c>
      <c r="E375" s="61">
        <v>0.70833333333333337</v>
      </c>
      <c r="F375" s="60" t="s">
        <v>28</v>
      </c>
      <c r="G375" s="71" t="s">
        <v>13</v>
      </c>
      <c r="H375" s="62">
        <v>0.71666666666666667</v>
      </c>
      <c r="I375" s="113" t="str">
        <f t="shared" si="83"/>
        <v>08-08-2026T17:12:00</v>
      </c>
      <c r="J375" s="62">
        <v>0.88194444444444442</v>
      </c>
      <c r="K375" s="62"/>
      <c r="L375" s="63">
        <f t="shared" si="89"/>
        <v>0.16527777777777775</v>
      </c>
      <c r="M375" s="64">
        <v>0.16666666666666666</v>
      </c>
      <c r="N375" s="65" t="str">
        <f t="shared" si="90"/>
        <v>00:02:00</v>
      </c>
      <c r="O375" s="66"/>
      <c r="P375" s="124"/>
      <c r="Q375" s="67"/>
      <c r="R375" s="68"/>
      <c r="S375" s="68"/>
      <c r="T375" s="69">
        <f t="shared" si="91"/>
        <v>0</v>
      </c>
      <c r="U375" s="61"/>
      <c r="V375" s="83">
        <v>0</v>
      </c>
      <c r="W375" s="61">
        <f t="shared" si="92"/>
        <v>0</v>
      </c>
      <c r="X375" s="171">
        <v>46242.716666666667</v>
      </c>
      <c r="Y375" s="171">
        <v>46242.881944444445</v>
      </c>
      <c r="Z375" s="168">
        <f t="shared" si="78"/>
        <v>0.16527777777810115</v>
      </c>
      <c r="AA375" s="169">
        <f t="shared" si="79"/>
        <v>0.16666666666666666</v>
      </c>
      <c r="AB375" s="170" t="str">
        <f t="shared" si="80"/>
        <v>00:02:00</v>
      </c>
      <c r="AC375" s="170" t="b">
        <f t="shared" si="81"/>
        <v>1</v>
      </c>
    </row>
    <row r="376" spans="1:29" s="128" customFormat="1" ht="9.75" hidden="1" customHeight="1" x14ac:dyDescent="0.3">
      <c r="A376" s="99">
        <v>46242</v>
      </c>
      <c r="B376" s="59">
        <v>8156527</v>
      </c>
      <c r="C376" s="60" t="s">
        <v>89</v>
      </c>
      <c r="D376" s="60" t="s">
        <v>294</v>
      </c>
      <c r="E376" s="61">
        <v>0.75</v>
      </c>
      <c r="F376" s="60" t="s">
        <v>35</v>
      </c>
      <c r="G376" s="71" t="s">
        <v>13</v>
      </c>
      <c r="H376" s="62">
        <v>0.7319444444444444</v>
      </c>
      <c r="I376" s="113" t="str">
        <f t="shared" si="83"/>
        <v>08-08-2026T17:34:00</v>
      </c>
      <c r="J376" s="62">
        <v>0.76111111111111107</v>
      </c>
      <c r="K376" s="62"/>
      <c r="L376" s="63">
        <f t="shared" si="89"/>
        <v>2.9166666666666674E-2</v>
      </c>
      <c r="M376" s="64">
        <v>4.1666666666666664E-2</v>
      </c>
      <c r="N376" s="65" t="str">
        <f t="shared" si="90"/>
        <v>00:18:00</v>
      </c>
      <c r="O376" s="66"/>
      <c r="P376" s="124"/>
      <c r="Q376" s="67"/>
      <c r="R376" s="68"/>
      <c r="S376" s="68"/>
      <c r="T376" s="69">
        <f t="shared" si="91"/>
        <v>0</v>
      </c>
      <c r="U376" s="61" t="s">
        <v>234</v>
      </c>
      <c r="V376" s="83">
        <v>0</v>
      </c>
      <c r="W376" s="61">
        <f t="shared" si="92"/>
        <v>0</v>
      </c>
      <c r="X376" s="171">
        <v>46242.731944444444</v>
      </c>
      <c r="Y376" s="171">
        <v>46242.761111111111</v>
      </c>
      <c r="Z376" s="168">
        <f t="shared" si="78"/>
        <v>2.9166666667151731E-2</v>
      </c>
      <c r="AA376" s="169">
        <f t="shared" si="79"/>
        <v>4.1666666666666664E-2</v>
      </c>
      <c r="AB376" s="170" t="str">
        <f t="shared" si="80"/>
        <v>00:18:00</v>
      </c>
      <c r="AC376" s="170" t="b">
        <f t="shared" si="81"/>
        <v>1</v>
      </c>
    </row>
    <row r="377" spans="1:29" s="128" customFormat="1" ht="9.75" hidden="1" customHeight="1" x14ac:dyDescent="0.3">
      <c r="A377" s="99">
        <v>46242</v>
      </c>
      <c r="B377" s="59">
        <v>8156777</v>
      </c>
      <c r="C377" s="60" t="s">
        <v>32</v>
      </c>
      <c r="D377" s="60" t="s">
        <v>476</v>
      </c>
      <c r="E377" s="61">
        <v>0.83333333333333337</v>
      </c>
      <c r="F377" s="60" t="s">
        <v>287</v>
      </c>
      <c r="G377" s="71" t="s">
        <v>13</v>
      </c>
      <c r="H377" s="62">
        <v>0.81527777777777777</v>
      </c>
      <c r="I377" s="113" t="str">
        <f t="shared" si="83"/>
        <v>08-08-2026T19:34:00</v>
      </c>
      <c r="J377" s="62">
        <v>0.94861111111111107</v>
      </c>
      <c r="K377" s="62"/>
      <c r="L377" s="63">
        <f t="shared" si="89"/>
        <v>0.1333333333333333</v>
      </c>
      <c r="M377" s="64">
        <v>0.14583333333333334</v>
      </c>
      <c r="N377" s="65" t="str">
        <f t="shared" si="90"/>
        <v>00:18:00</v>
      </c>
      <c r="O377" s="66"/>
      <c r="P377" s="124"/>
      <c r="Q377" s="67"/>
      <c r="R377" s="68"/>
      <c r="S377" s="68"/>
      <c r="T377" s="69">
        <f t="shared" si="91"/>
        <v>0</v>
      </c>
      <c r="U377" s="61"/>
      <c r="V377" s="83">
        <v>0</v>
      </c>
      <c r="W377" s="61">
        <f t="shared" si="92"/>
        <v>0</v>
      </c>
      <c r="X377" s="171">
        <v>46242.81527777778</v>
      </c>
      <c r="Y377" s="171">
        <v>46242.948611111111</v>
      </c>
      <c r="Z377" s="168">
        <f t="shared" si="78"/>
        <v>0.13333333333139308</v>
      </c>
      <c r="AA377" s="169">
        <f t="shared" si="79"/>
        <v>0.14583333333333334</v>
      </c>
      <c r="AB377" s="170" t="str">
        <f t="shared" si="80"/>
        <v>00:18:00</v>
      </c>
      <c r="AC377" s="170" t="b">
        <f t="shared" si="81"/>
        <v>1</v>
      </c>
    </row>
    <row r="378" spans="1:29" s="128" customFormat="1" ht="9.75" hidden="1" customHeight="1" x14ac:dyDescent="0.3">
      <c r="A378" s="99">
        <v>46242</v>
      </c>
      <c r="B378" s="59">
        <v>8157014</v>
      </c>
      <c r="C378" s="60" t="s">
        <v>56</v>
      </c>
      <c r="D378" s="60" t="s">
        <v>472</v>
      </c>
      <c r="E378" s="61">
        <v>0.875</v>
      </c>
      <c r="F378" s="60" t="s">
        <v>13</v>
      </c>
      <c r="G378" s="71" t="s">
        <v>15</v>
      </c>
      <c r="H378" s="62">
        <v>46242.880555555559</v>
      </c>
      <c r="I378" s="113" t="str">
        <f t="shared" si="83"/>
        <v>08-08-2026T21:08:00</v>
      </c>
      <c r="J378" s="62">
        <v>46243.072916666664</v>
      </c>
      <c r="K378" s="62"/>
      <c r="L378" s="63">
        <f t="shared" si="89"/>
        <v>0.19236111110512866</v>
      </c>
      <c r="M378" s="64">
        <v>0.20833333333333334</v>
      </c>
      <c r="N378" s="65" t="str">
        <f t="shared" si="90"/>
        <v>00:23:00</v>
      </c>
      <c r="O378" s="66"/>
      <c r="P378" s="124"/>
      <c r="Q378" s="67"/>
      <c r="R378" s="68"/>
      <c r="S378" s="68"/>
      <c r="T378" s="69">
        <f t="shared" si="91"/>
        <v>0</v>
      </c>
      <c r="U378" s="61"/>
      <c r="V378" s="83">
        <v>0</v>
      </c>
      <c r="W378" s="61">
        <f t="shared" si="92"/>
        <v>0</v>
      </c>
      <c r="X378" s="171">
        <v>46242.880555555559</v>
      </c>
      <c r="Y378" s="171">
        <v>46243.072916666664</v>
      </c>
      <c r="Z378" s="168">
        <f t="shared" si="78"/>
        <v>0.19236111110512866</v>
      </c>
      <c r="AA378" s="169">
        <f t="shared" si="79"/>
        <v>0.20833333333333334</v>
      </c>
      <c r="AB378" s="170" t="str">
        <f t="shared" si="80"/>
        <v>00:23:00</v>
      </c>
      <c r="AC378" s="170" t="b">
        <f t="shared" si="81"/>
        <v>1</v>
      </c>
    </row>
    <row r="379" spans="1:29" ht="9.75" hidden="1" customHeight="1" x14ac:dyDescent="0.3">
      <c r="A379" s="149">
        <v>46239</v>
      </c>
      <c r="B379" s="150" t="s">
        <v>687</v>
      </c>
      <c r="C379" s="151" t="s">
        <v>94</v>
      </c>
      <c r="D379" s="151" t="s">
        <v>293</v>
      </c>
      <c r="E379" s="152">
        <v>0</v>
      </c>
      <c r="F379" s="151"/>
      <c r="G379" s="153"/>
      <c r="H379" s="154">
        <v>0</v>
      </c>
      <c r="I379" s="113" t="str">
        <f t="shared" si="83"/>
        <v>05-08-2026T00:00:00</v>
      </c>
      <c r="J379" s="154">
        <v>0</v>
      </c>
      <c r="K379" s="154"/>
      <c r="L379" s="155">
        <v>0</v>
      </c>
      <c r="M379" s="160">
        <v>0</v>
      </c>
      <c r="N379" s="156">
        <v>0</v>
      </c>
      <c r="O379" s="157"/>
      <c r="P379" s="158" t="s">
        <v>480</v>
      </c>
      <c r="Q379" s="159" t="s">
        <v>480</v>
      </c>
      <c r="R379" s="148" t="s">
        <v>480</v>
      </c>
      <c r="S379" s="148" t="s">
        <v>480</v>
      </c>
      <c r="T379" s="161" t="s">
        <v>480</v>
      </c>
      <c r="U379" s="152" t="s">
        <v>480</v>
      </c>
      <c r="V379" s="146" t="s">
        <v>480</v>
      </c>
      <c r="W379" s="152" t="s">
        <v>480</v>
      </c>
      <c r="X379" s="171" t="s">
        <v>668</v>
      </c>
      <c r="Y379" s="171" t="s">
        <v>668</v>
      </c>
      <c r="Z379" s="168" t="e">
        <f t="shared" si="78"/>
        <v>#VALUE!</v>
      </c>
      <c r="AA379" s="169">
        <f t="shared" si="79"/>
        <v>0</v>
      </c>
      <c r="AB379" s="170" t="e">
        <f t="shared" si="80"/>
        <v>#VALUE!</v>
      </c>
      <c r="AC379" s="170" t="e">
        <f t="shared" si="81"/>
        <v>#VALUE!</v>
      </c>
    </row>
    <row r="380" spans="1:29" s="128" customFormat="1" ht="9.75" hidden="1" customHeight="1" x14ac:dyDescent="0.3">
      <c r="A380" s="99">
        <v>46242</v>
      </c>
      <c r="B380" s="59">
        <v>8156944</v>
      </c>
      <c r="C380" s="60" t="s">
        <v>94</v>
      </c>
      <c r="D380" s="60" t="s">
        <v>293</v>
      </c>
      <c r="E380" s="61">
        <v>0.875</v>
      </c>
      <c r="F380" s="60" t="s">
        <v>13</v>
      </c>
      <c r="G380" s="71" t="s">
        <v>23</v>
      </c>
      <c r="H380" s="62">
        <v>46242.864583333336</v>
      </c>
      <c r="I380" s="113" t="str">
        <f t="shared" si="83"/>
        <v>08-08-2026T20:45:00</v>
      </c>
      <c r="J380" s="62">
        <v>46243.980555555558</v>
      </c>
      <c r="K380" s="62"/>
      <c r="L380" s="63">
        <f t="shared" ref="L380:L386" si="93">J380-H380</f>
        <v>1.1159722222218988</v>
      </c>
      <c r="M380" s="64">
        <v>1</v>
      </c>
      <c r="N380" s="65" t="str">
        <f t="shared" ref="N380:N386" si="94">IF(M380-L380&gt;0,TEXT(M380-L380,"HH:MM:SS"),TEXT(ABS(M380-L380),"-HH:MM:SS"))</f>
        <v>-02:47:00</v>
      </c>
      <c r="O380" s="66"/>
      <c r="P380" s="124" t="s">
        <v>403</v>
      </c>
      <c r="Q380" s="67"/>
      <c r="R380" s="68"/>
      <c r="S380" s="68"/>
      <c r="T380" s="69">
        <f t="shared" ref="T380:T386" si="95">S380-R380</f>
        <v>0</v>
      </c>
      <c r="U380" s="61"/>
      <c r="V380" s="83">
        <v>0</v>
      </c>
      <c r="W380" s="61">
        <f t="shared" ref="W380:W386" si="96">T380-V380</f>
        <v>0</v>
      </c>
      <c r="X380" s="172">
        <v>46242.864583333336</v>
      </c>
      <c r="Y380" s="172">
        <v>46243.980555555558</v>
      </c>
      <c r="Z380" s="173">
        <f t="shared" ref="Z380:Z443" si="97">Y380-X380</f>
        <v>1.1159722222218988</v>
      </c>
      <c r="AA380" s="174">
        <f t="shared" ref="AA380:AA443" si="98">M380</f>
        <v>1</v>
      </c>
      <c r="AB380" s="175" t="str">
        <f t="shared" ref="AB380:AB443" si="99">IF(AA380-Z380&gt;0,TEXT(AA380-Z380,"HH:MM:SS"),TEXT(ABS(AA380-Z380),"-HH:MM:SS"))</f>
        <v>-02:47:00</v>
      </c>
      <c r="AC380" s="175" t="b">
        <f t="shared" ref="AC380:AC443" si="100">AB380=N380</f>
        <v>1</v>
      </c>
    </row>
    <row r="381" spans="1:29" s="128" customFormat="1" ht="9.75" hidden="1" customHeight="1" x14ac:dyDescent="0.3">
      <c r="A381" s="99">
        <v>46242</v>
      </c>
      <c r="B381" s="59">
        <v>8156778</v>
      </c>
      <c r="C381" s="60" t="s">
        <v>42</v>
      </c>
      <c r="D381" s="60" t="s">
        <v>181</v>
      </c>
      <c r="E381" s="61">
        <v>0.875</v>
      </c>
      <c r="F381" s="60" t="s">
        <v>55</v>
      </c>
      <c r="G381" s="71" t="s">
        <v>13</v>
      </c>
      <c r="H381" s="62">
        <v>0.81527777777777777</v>
      </c>
      <c r="I381" s="113" t="str">
        <f t="shared" si="83"/>
        <v>08-08-2026T19:34:00</v>
      </c>
      <c r="J381" s="62">
        <v>0.85833333333333328</v>
      </c>
      <c r="K381" s="62"/>
      <c r="L381" s="63">
        <f t="shared" si="93"/>
        <v>4.3055555555555514E-2</v>
      </c>
      <c r="M381" s="64">
        <v>6.25E-2</v>
      </c>
      <c r="N381" s="65" t="str">
        <f t="shared" si="94"/>
        <v>00:28:00</v>
      </c>
      <c r="O381" s="66"/>
      <c r="P381" s="124"/>
      <c r="Q381" s="67"/>
      <c r="R381" s="68"/>
      <c r="S381" s="68"/>
      <c r="T381" s="69">
        <f t="shared" si="95"/>
        <v>0</v>
      </c>
      <c r="U381" s="61"/>
      <c r="V381" s="83">
        <v>0</v>
      </c>
      <c r="W381" s="61">
        <f t="shared" si="96"/>
        <v>0</v>
      </c>
      <c r="X381" s="171">
        <v>46242.81527777778</v>
      </c>
      <c r="Y381" s="171">
        <v>46242.85833333333</v>
      </c>
      <c r="Z381" s="168">
        <f t="shared" si="97"/>
        <v>4.3055555550381541E-2</v>
      </c>
      <c r="AA381" s="169">
        <f t="shared" si="98"/>
        <v>6.25E-2</v>
      </c>
      <c r="AB381" s="170" t="str">
        <f t="shared" si="99"/>
        <v>00:28:00</v>
      </c>
      <c r="AC381" s="170" t="b">
        <f t="shared" si="100"/>
        <v>1</v>
      </c>
    </row>
    <row r="382" spans="1:29" s="128" customFormat="1" ht="9.75" hidden="1" customHeight="1" x14ac:dyDescent="0.3">
      <c r="A382" s="99">
        <v>46242</v>
      </c>
      <c r="B382" s="59">
        <v>8156522</v>
      </c>
      <c r="C382" s="60" t="s">
        <v>41</v>
      </c>
      <c r="D382" s="60" t="s">
        <v>299</v>
      </c>
      <c r="E382" s="61">
        <v>0.875</v>
      </c>
      <c r="F382" s="60" t="s">
        <v>24</v>
      </c>
      <c r="G382" s="71" t="s">
        <v>13</v>
      </c>
      <c r="H382" s="62">
        <v>0.72986111111111107</v>
      </c>
      <c r="I382" s="113" t="str">
        <f t="shared" si="83"/>
        <v>08-08-2026T17:31:00</v>
      </c>
      <c r="J382" s="62">
        <v>0.80555555555555558</v>
      </c>
      <c r="K382" s="62"/>
      <c r="L382" s="63">
        <f t="shared" si="93"/>
        <v>7.5694444444444509E-2</v>
      </c>
      <c r="M382" s="64">
        <v>8.3333333333333329E-2</v>
      </c>
      <c r="N382" s="65" t="str">
        <f t="shared" si="94"/>
        <v>00:11:00</v>
      </c>
      <c r="O382" s="66"/>
      <c r="P382" s="124"/>
      <c r="Q382" s="67"/>
      <c r="R382" s="68"/>
      <c r="S382" s="68"/>
      <c r="T382" s="69">
        <f t="shared" si="95"/>
        <v>0</v>
      </c>
      <c r="U382" s="61"/>
      <c r="V382" s="83">
        <v>0</v>
      </c>
      <c r="W382" s="61">
        <f t="shared" si="96"/>
        <v>0</v>
      </c>
      <c r="X382" s="171">
        <v>46242.729861111111</v>
      </c>
      <c r="Y382" s="171">
        <v>46242.805555555555</v>
      </c>
      <c r="Z382" s="168">
        <f t="shared" si="97"/>
        <v>7.5694444443797693E-2</v>
      </c>
      <c r="AA382" s="169">
        <f t="shared" si="98"/>
        <v>8.3333333333333329E-2</v>
      </c>
      <c r="AB382" s="170" t="str">
        <f t="shared" si="99"/>
        <v>00:11:00</v>
      </c>
      <c r="AC382" s="170" t="b">
        <f t="shared" si="100"/>
        <v>1</v>
      </c>
    </row>
    <row r="383" spans="1:29" s="127" customFormat="1" ht="9.75" hidden="1" customHeight="1" x14ac:dyDescent="0.3">
      <c r="A383" s="98">
        <v>46242</v>
      </c>
      <c r="B383" s="48">
        <v>8157216</v>
      </c>
      <c r="C383" s="49" t="s">
        <v>105</v>
      </c>
      <c r="D383" s="49" t="s">
        <v>386</v>
      </c>
      <c r="E383" s="50">
        <v>0.95833333333333337</v>
      </c>
      <c r="F383" s="49" t="s">
        <v>173</v>
      </c>
      <c r="G383" s="70" t="s">
        <v>13</v>
      </c>
      <c r="H383" s="51">
        <v>46242.956944444442</v>
      </c>
      <c r="I383" s="113" t="str">
        <f t="shared" si="83"/>
        <v>08-08-2026T22:58:00</v>
      </c>
      <c r="J383" s="51">
        <v>46244.97152777778</v>
      </c>
      <c r="K383" s="51"/>
      <c r="L383" s="52">
        <f t="shared" si="93"/>
        <v>2.0145833333372138</v>
      </c>
      <c r="M383" s="53">
        <v>1.9166666666666667</v>
      </c>
      <c r="N383" s="54" t="str">
        <f t="shared" si="94"/>
        <v>-02:21:00</v>
      </c>
      <c r="O383" s="55">
        <v>600</v>
      </c>
      <c r="P383" s="147" t="s">
        <v>571</v>
      </c>
      <c r="Q383" s="56" t="s">
        <v>96</v>
      </c>
      <c r="R383" s="57">
        <v>46243.105555555558</v>
      </c>
      <c r="S383" s="57">
        <v>46243.142361111109</v>
      </c>
      <c r="T383" s="58">
        <f t="shared" si="95"/>
        <v>3.6805555551836733E-2</v>
      </c>
      <c r="U383" s="50"/>
      <c r="V383" s="74">
        <v>8.3333333333333329E-2</v>
      </c>
      <c r="W383" s="50">
        <f t="shared" si="96"/>
        <v>-4.6527777781496596E-2</v>
      </c>
      <c r="X383" s="171">
        <v>46242.956944444442</v>
      </c>
      <c r="Y383" s="171">
        <v>46244.97152777778</v>
      </c>
      <c r="Z383" s="168">
        <f t="shared" si="97"/>
        <v>2.0145833333372138</v>
      </c>
      <c r="AA383" s="169">
        <f t="shared" si="98"/>
        <v>1.9166666666666667</v>
      </c>
      <c r="AB383" s="170" t="str">
        <f t="shared" si="99"/>
        <v>-02:21:00</v>
      </c>
      <c r="AC383" s="170" t="b">
        <f t="shared" si="100"/>
        <v>1</v>
      </c>
    </row>
    <row r="384" spans="1:29" s="128" customFormat="1" ht="9.75" hidden="1" customHeight="1" x14ac:dyDescent="0.3">
      <c r="A384" s="99">
        <v>46242</v>
      </c>
      <c r="B384" s="59">
        <v>8157286</v>
      </c>
      <c r="C384" s="60" t="s">
        <v>52</v>
      </c>
      <c r="D384" s="60" t="s">
        <v>616</v>
      </c>
      <c r="E384" s="61">
        <v>0.99930555555555556</v>
      </c>
      <c r="F384" s="60" t="s">
        <v>15</v>
      </c>
      <c r="G384" s="71" t="s">
        <v>13</v>
      </c>
      <c r="H384" s="62">
        <v>46242.996527777781</v>
      </c>
      <c r="I384" s="113" t="str">
        <f t="shared" si="83"/>
        <v>08-08-2026T23:55:00</v>
      </c>
      <c r="J384" s="62">
        <v>46243.202777777777</v>
      </c>
      <c r="K384" s="62"/>
      <c r="L384" s="63">
        <f t="shared" si="93"/>
        <v>0.20624999999563443</v>
      </c>
      <c r="M384" s="64">
        <v>0.20833333333333334</v>
      </c>
      <c r="N384" s="65" t="str">
        <f t="shared" si="94"/>
        <v>00:03:00</v>
      </c>
      <c r="O384" s="66"/>
      <c r="P384" s="124"/>
      <c r="Q384" s="67"/>
      <c r="R384" s="68"/>
      <c r="S384" s="68"/>
      <c r="T384" s="69">
        <f t="shared" si="95"/>
        <v>0</v>
      </c>
      <c r="U384" s="61"/>
      <c r="V384" s="83">
        <v>0</v>
      </c>
      <c r="W384" s="61">
        <f t="shared" si="96"/>
        <v>0</v>
      </c>
      <c r="X384" s="171">
        <v>46242.996527777781</v>
      </c>
      <c r="Y384" s="171">
        <v>46243.202777777777</v>
      </c>
      <c r="Z384" s="168">
        <f t="shared" si="97"/>
        <v>0.20624999999563443</v>
      </c>
      <c r="AA384" s="169">
        <f t="shared" si="98"/>
        <v>0.20833333333333334</v>
      </c>
      <c r="AB384" s="170" t="str">
        <f t="shared" si="99"/>
        <v>00:03:00</v>
      </c>
      <c r="AC384" s="170" t="b">
        <f t="shared" si="100"/>
        <v>1</v>
      </c>
    </row>
    <row r="385" spans="1:29" s="128" customFormat="1" ht="9.75" hidden="1" customHeight="1" x14ac:dyDescent="0.3">
      <c r="A385" s="99">
        <v>46242</v>
      </c>
      <c r="B385" s="59">
        <v>8157270</v>
      </c>
      <c r="C385" s="60" t="s">
        <v>54</v>
      </c>
      <c r="D385" s="60" t="s">
        <v>288</v>
      </c>
      <c r="E385" s="61">
        <v>0.99930555555555556</v>
      </c>
      <c r="F385" s="60" t="s">
        <v>24</v>
      </c>
      <c r="G385" s="71" t="s">
        <v>13</v>
      </c>
      <c r="H385" s="62">
        <v>46242.991666666669</v>
      </c>
      <c r="I385" s="113" t="str">
        <f t="shared" si="83"/>
        <v>08-08-2026T23:48:00</v>
      </c>
      <c r="J385" s="62">
        <v>46243.064583333333</v>
      </c>
      <c r="K385" s="62"/>
      <c r="L385" s="63">
        <f t="shared" si="93"/>
        <v>7.2916666664241347E-2</v>
      </c>
      <c r="M385" s="64">
        <v>8.3333333333333329E-2</v>
      </c>
      <c r="N385" s="65" t="str">
        <f t="shared" si="94"/>
        <v>00:15:00</v>
      </c>
      <c r="O385" s="66"/>
      <c r="P385" s="124"/>
      <c r="Q385" s="67"/>
      <c r="R385" s="68"/>
      <c r="S385" s="68"/>
      <c r="T385" s="69">
        <f t="shared" si="95"/>
        <v>0</v>
      </c>
      <c r="U385" s="61"/>
      <c r="V385" s="83">
        <v>0</v>
      </c>
      <c r="W385" s="61">
        <f t="shared" si="96"/>
        <v>0</v>
      </c>
      <c r="X385" s="171">
        <v>46242.991666666669</v>
      </c>
      <c r="Y385" s="171">
        <v>46243.064583333333</v>
      </c>
      <c r="Z385" s="168">
        <f t="shared" si="97"/>
        <v>7.2916666664241347E-2</v>
      </c>
      <c r="AA385" s="169">
        <f t="shared" si="98"/>
        <v>8.3333333333333329E-2</v>
      </c>
      <c r="AB385" s="170" t="str">
        <f t="shared" si="99"/>
        <v>00:15:00</v>
      </c>
      <c r="AC385" s="170" t="b">
        <f t="shared" si="100"/>
        <v>1</v>
      </c>
    </row>
    <row r="386" spans="1:29" s="127" customFormat="1" ht="9.75" hidden="1" customHeight="1" x14ac:dyDescent="0.3">
      <c r="A386" s="98">
        <v>46242</v>
      </c>
      <c r="B386" s="48">
        <v>8154696</v>
      </c>
      <c r="C386" s="49" t="s">
        <v>307</v>
      </c>
      <c r="D386" s="49" t="s">
        <v>464</v>
      </c>
      <c r="E386" s="50" t="s">
        <v>184</v>
      </c>
      <c r="F386" s="49" t="s">
        <v>13</v>
      </c>
      <c r="G386" s="70" t="s">
        <v>516</v>
      </c>
      <c r="H386" s="51">
        <v>7.4999999999999997E-2</v>
      </c>
      <c r="I386" s="113" t="str">
        <f t="shared" si="83"/>
        <v>08-08-2026T01:48:00</v>
      </c>
      <c r="J386" s="51">
        <v>0.36458333333333331</v>
      </c>
      <c r="K386" s="51"/>
      <c r="L386" s="52">
        <f t="shared" si="93"/>
        <v>0.2895833333333333</v>
      </c>
      <c r="M386" s="53">
        <v>0.27083333333333331</v>
      </c>
      <c r="N386" s="54" t="str">
        <f t="shared" si="94"/>
        <v>-00:27:00</v>
      </c>
      <c r="O386" s="55"/>
      <c r="P386" s="147" t="s">
        <v>517</v>
      </c>
      <c r="Q386" s="56"/>
      <c r="R386" s="57"/>
      <c r="S386" s="57"/>
      <c r="T386" s="58">
        <f t="shared" si="95"/>
        <v>0</v>
      </c>
      <c r="U386" s="50" t="s">
        <v>234</v>
      </c>
      <c r="V386" s="74" t="s">
        <v>393</v>
      </c>
      <c r="W386" s="50" t="e">
        <f t="shared" si="96"/>
        <v>#VALUE!</v>
      </c>
      <c r="X386" s="171">
        <v>46242.074999999997</v>
      </c>
      <c r="Y386" s="171">
        <v>46242.364583333336</v>
      </c>
      <c r="Z386" s="168">
        <f t="shared" si="97"/>
        <v>0.28958333333866904</v>
      </c>
      <c r="AA386" s="169">
        <f t="shared" si="98"/>
        <v>0.27083333333333331</v>
      </c>
      <c r="AB386" s="170" t="str">
        <f t="shared" si="99"/>
        <v>-00:27:00</v>
      </c>
      <c r="AC386" s="170" t="b">
        <f t="shared" si="100"/>
        <v>1</v>
      </c>
    </row>
    <row r="387" spans="1:29" ht="9.75" hidden="1" customHeight="1" x14ac:dyDescent="0.3">
      <c r="A387" s="149">
        <v>46241</v>
      </c>
      <c r="B387" s="150" t="s">
        <v>687</v>
      </c>
      <c r="C387" s="151" t="s">
        <v>203</v>
      </c>
      <c r="D387" s="151" t="s">
        <v>297</v>
      </c>
      <c r="E387" s="152">
        <v>0</v>
      </c>
      <c r="F387" s="151"/>
      <c r="G387" s="153"/>
      <c r="H387" s="154">
        <v>0</v>
      </c>
      <c r="I387" s="113" t="str">
        <f t="shared" si="83"/>
        <v>07-08-2026T00:00:00</v>
      </c>
      <c r="J387" s="154">
        <v>0</v>
      </c>
      <c r="K387" s="154"/>
      <c r="L387" s="155">
        <v>0</v>
      </c>
      <c r="M387" s="160">
        <v>0</v>
      </c>
      <c r="N387" s="156">
        <v>0</v>
      </c>
      <c r="O387" s="157"/>
      <c r="P387" s="158" t="s">
        <v>480</v>
      </c>
      <c r="Q387" s="159" t="s">
        <v>480</v>
      </c>
      <c r="R387" s="148" t="s">
        <v>480</v>
      </c>
      <c r="S387" s="148" t="s">
        <v>480</v>
      </c>
      <c r="T387" s="161" t="s">
        <v>480</v>
      </c>
      <c r="U387" s="152" t="s">
        <v>480</v>
      </c>
      <c r="V387" s="146" t="s">
        <v>480</v>
      </c>
      <c r="W387" s="152" t="s">
        <v>480</v>
      </c>
      <c r="X387" s="171" t="s">
        <v>668</v>
      </c>
      <c r="Y387" s="171" t="s">
        <v>668</v>
      </c>
      <c r="Z387" s="168" t="e">
        <f t="shared" si="97"/>
        <v>#VALUE!</v>
      </c>
      <c r="AA387" s="169">
        <f t="shared" si="98"/>
        <v>0</v>
      </c>
      <c r="AB387" s="170" t="e">
        <f t="shared" si="99"/>
        <v>#VALUE!</v>
      </c>
      <c r="AC387" s="170" t="e">
        <f t="shared" si="100"/>
        <v>#VALUE!</v>
      </c>
    </row>
    <row r="388" spans="1:29" s="127" customFormat="1" ht="9.75" hidden="1" customHeight="1" x14ac:dyDescent="0.3">
      <c r="A388" s="98">
        <v>46242</v>
      </c>
      <c r="B388" s="48">
        <v>8155660</v>
      </c>
      <c r="C388" s="49" t="s">
        <v>203</v>
      </c>
      <c r="D388" s="49" t="s">
        <v>297</v>
      </c>
      <c r="E388" s="50" t="s">
        <v>184</v>
      </c>
      <c r="F388" s="49" t="s">
        <v>13</v>
      </c>
      <c r="G388" s="70" t="s">
        <v>376</v>
      </c>
      <c r="H388" s="51">
        <v>46242.42083333333</v>
      </c>
      <c r="I388" s="113" t="str">
        <f t="shared" ref="I388:I451" si="101">TEXT(A388,"dd-mm-yyyy")&amp;"T"&amp;TEXT(H388,"hh:mm:ss")</f>
        <v>08-08-2026T10:06:00</v>
      </c>
      <c r="J388" s="51">
        <v>46244.224999999999</v>
      </c>
      <c r="K388" s="51"/>
      <c r="L388" s="52">
        <f t="shared" ref="L388:L419" si="102">J388-H388</f>
        <v>1.8041666666686069</v>
      </c>
      <c r="M388" s="53">
        <v>1.6666666666666667</v>
      </c>
      <c r="N388" s="54" t="str">
        <f t="shared" ref="N388:N419" si="103">IF(M388-L388&gt;0,TEXT(M388-L388,"HH:MM:SS"),TEXT(ABS(M388-L388),"-HH:MM:SS"))</f>
        <v>-03:18:00</v>
      </c>
      <c r="O388" s="55"/>
      <c r="P388" s="147" t="s">
        <v>518</v>
      </c>
      <c r="Q388" s="56"/>
      <c r="R388" s="57"/>
      <c r="S388" s="57"/>
      <c r="T388" s="58">
        <f t="shared" ref="T388:T419" si="104">S388-R388</f>
        <v>0</v>
      </c>
      <c r="U388" s="50"/>
      <c r="V388" s="74" t="s">
        <v>393</v>
      </c>
      <c r="W388" s="50" t="e">
        <f t="shared" ref="W388:W419" si="105">T388-V388</f>
        <v>#VALUE!</v>
      </c>
      <c r="X388" s="171">
        <v>46242.42083333333</v>
      </c>
      <c r="Y388" s="171">
        <v>46244.224999999999</v>
      </c>
      <c r="Z388" s="168">
        <f t="shared" si="97"/>
        <v>1.8041666666686069</v>
      </c>
      <c r="AA388" s="169">
        <f t="shared" si="98"/>
        <v>1.6666666666666667</v>
      </c>
      <c r="AB388" s="170" t="str">
        <f t="shared" si="99"/>
        <v>-03:18:00</v>
      </c>
      <c r="AC388" s="170" t="b">
        <f t="shared" si="100"/>
        <v>1</v>
      </c>
    </row>
    <row r="389" spans="1:29" s="127" customFormat="1" ht="9.75" hidden="1" customHeight="1" x14ac:dyDescent="0.3">
      <c r="A389" s="98">
        <v>46242</v>
      </c>
      <c r="B389" s="48">
        <v>8156413</v>
      </c>
      <c r="C389" s="49" t="s">
        <v>171</v>
      </c>
      <c r="D389" s="49" t="s">
        <v>296</v>
      </c>
      <c r="E389" s="50" t="s">
        <v>184</v>
      </c>
      <c r="F389" s="49" t="s">
        <v>519</v>
      </c>
      <c r="G389" s="70" t="s">
        <v>13</v>
      </c>
      <c r="H389" s="51">
        <v>46242.694444444445</v>
      </c>
      <c r="I389" s="113" t="str">
        <f t="shared" si="101"/>
        <v>08-08-2026T16:40:00</v>
      </c>
      <c r="J389" s="51">
        <v>46243.943749999999</v>
      </c>
      <c r="K389" s="51"/>
      <c r="L389" s="52">
        <f t="shared" si="102"/>
        <v>1.2493055555532919</v>
      </c>
      <c r="M389" s="53">
        <v>1.0833333333333333</v>
      </c>
      <c r="N389" s="54" t="str">
        <f t="shared" si="103"/>
        <v>-03:59:00</v>
      </c>
      <c r="O389" s="55"/>
      <c r="P389" s="147" t="s">
        <v>184</v>
      </c>
      <c r="Q389" s="56"/>
      <c r="R389" s="57"/>
      <c r="S389" s="57"/>
      <c r="T389" s="58">
        <f t="shared" si="104"/>
        <v>0</v>
      </c>
      <c r="U389" s="50"/>
      <c r="V389" s="74" t="s">
        <v>393</v>
      </c>
      <c r="W389" s="50" t="e">
        <f t="shared" si="105"/>
        <v>#VALUE!</v>
      </c>
      <c r="X389" s="171">
        <v>46242.694444444445</v>
      </c>
      <c r="Y389" s="171">
        <v>46243.943749999999</v>
      </c>
      <c r="Z389" s="168">
        <f t="shared" si="97"/>
        <v>1.2493055555532919</v>
      </c>
      <c r="AA389" s="169">
        <f t="shared" si="98"/>
        <v>1.0833333333333333</v>
      </c>
      <c r="AB389" s="170" t="str">
        <f t="shared" si="99"/>
        <v>-03:59:00</v>
      </c>
      <c r="AC389" s="170" t="b">
        <f t="shared" si="100"/>
        <v>1</v>
      </c>
    </row>
    <row r="390" spans="1:29" s="128" customFormat="1" ht="9.75" hidden="1" customHeight="1" x14ac:dyDescent="0.3">
      <c r="A390" s="99">
        <v>46242</v>
      </c>
      <c r="B390" s="59">
        <v>8156442</v>
      </c>
      <c r="C390" s="60" t="s">
        <v>307</v>
      </c>
      <c r="D390" s="60" t="s">
        <v>464</v>
      </c>
      <c r="E390" s="61" t="s">
        <v>184</v>
      </c>
      <c r="F390" s="60" t="s">
        <v>516</v>
      </c>
      <c r="G390" s="71" t="s">
        <v>13</v>
      </c>
      <c r="H390" s="62">
        <v>0.70347222222222228</v>
      </c>
      <c r="I390" s="113" t="str">
        <f t="shared" si="101"/>
        <v>08-08-2026T16:53:00</v>
      </c>
      <c r="J390" s="62">
        <v>0.91319444444444442</v>
      </c>
      <c r="K390" s="62"/>
      <c r="L390" s="63">
        <f t="shared" si="102"/>
        <v>0.20972222222222214</v>
      </c>
      <c r="M390" s="64">
        <v>0.25</v>
      </c>
      <c r="N390" s="65" t="str">
        <f t="shared" si="103"/>
        <v>00:58:00</v>
      </c>
      <c r="O390" s="66"/>
      <c r="P390" s="124" t="s">
        <v>184</v>
      </c>
      <c r="Q390" s="67"/>
      <c r="R390" s="68"/>
      <c r="S390" s="68"/>
      <c r="T390" s="69">
        <f t="shared" si="104"/>
        <v>0</v>
      </c>
      <c r="U390" s="61"/>
      <c r="V390" s="83">
        <v>0</v>
      </c>
      <c r="W390" s="61">
        <f t="shared" si="105"/>
        <v>0</v>
      </c>
      <c r="X390" s="171">
        <v>46242.703472222223</v>
      </c>
      <c r="Y390" s="171">
        <v>46242.913194444445</v>
      </c>
      <c r="Z390" s="168">
        <f t="shared" si="97"/>
        <v>0.20972222222189885</v>
      </c>
      <c r="AA390" s="169">
        <f t="shared" si="98"/>
        <v>0.25</v>
      </c>
      <c r="AB390" s="170" t="str">
        <f t="shared" si="99"/>
        <v>00:58:00</v>
      </c>
      <c r="AC390" s="170" t="b">
        <f t="shared" si="100"/>
        <v>1</v>
      </c>
    </row>
    <row r="391" spans="1:29" s="144" customFormat="1" ht="9.75" hidden="1" customHeight="1" x14ac:dyDescent="0.3">
      <c r="A391" s="129">
        <v>46243</v>
      </c>
      <c r="B391" s="130">
        <v>8157389</v>
      </c>
      <c r="C391" s="131" t="s">
        <v>82</v>
      </c>
      <c r="D391" s="131" t="s">
        <v>333</v>
      </c>
      <c r="E391" s="132">
        <v>6.25E-2</v>
      </c>
      <c r="F391" s="131" t="s">
        <v>13</v>
      </c>
      <c r="G391" s="133" t="s">
        <v>26</v>
      </c>
      <c r="H391" s="134">
        <v>7.0833333333333331E-2</v>
      </c>
      <c r="I391" s="113" t="str">
        <f t="shared" si="101"/>
        <v>09-08-2026T01:42:00</v>
      </c>
      <c r="J391" s="134">
        <v>0.62222222222222223</v>
      </c>
      <c r="K391" s="134"/>
      <c r="L391" s="135">
        <f t="shared" si="102"/>
        <v>0.55138888888888893</v>
      </c>
      <c r="M391" s="136">
        <v>0.41666666666666669</v>
      </c>
      <c r="N391" s="137" t="str">
        <f t="shared" si="103"/>
        <v>-03:14:00</v>
      </c>
      <c r="O391" s="138"/>
      <c r="P391" s="145" t="s">
        <v>399</v>
      </c>
      <c r="Q391" s="140" t="s">
        <v>312</v>
      </c>
      <c r="R391" s="141">
        <v>46243.25</v>
      </c>
      <c r="S391" s="141">
        <v>46243.447916666664</v>
      </c>
      <c r="T391" s="142">
        <f t="shared" si="104"/>
        <v>0.19791666666424135</v>
      </c>
      <c r="U391" s="132"/>
      <c r="V391" s="143">
        <v>4.1666666666666664E-2</v>
      </c>
      <c r="W391" s="132">
        <f t="shared" si="105"/>
        <v>0.15624999999757469</v>
      </c>
      <c r="X391" s="171">
        <v>46243.070833333331</v>
      </c>
      <c r="Y391" s="171">
        <v>46243.62222222222</v>
      </c>
      <c r="Z391" s="168">
        <f t="shared" si="97"/>
        <v>0.55138888888905058</v>
      </c>
      <c r="AA391" s="169">
        <f t="shared" si="98"/>
        <v>0.41666666666666669</v>
      </c>
      <c r="AB391" s="170" t="str">
        <f t="shared" si="99"/>
        <v>-03:14:00</v>
      </c>
      <c r="AC391" s="170" t="b">
        <f t="shared" si="100"/>
        <v>1</v>
      </c>
    </row>
    <row r="392" spans="1:29" s="128" customFormat="1" ht="9.75" hidden="1" customHeight="1" x14ac:dyDescent="0.3">
      <c r="A392" s="99">
        <v>46243</v>
      </c>
      <c r="B392" s="59">
        <v>8157426</v>
      </c>
      <c r="C392" s="60" t="s">
        <v>53</v>
      </c>
      <c r="D392" s="60" t="s">
        <v>298</v>
      </c>
      <c r="E392" s="61">
        <v>8.3333333333333329E-2</v>
      </c>
      <c r="F392" s="60" t="s">
        <v>13</v>
      </c>
      <c r="G392" s="71" t="s">
        <v>19</v>
      </c>
      <c r="H392" s="62">
        <v>8.3333333333333329E-2</v>
      </c>
      <c r="I392" s="113" t="str">
        <f t="shared" si="101"/>
        <v>09-08-2026T02:00:00</v>
      </c>
      <c r="J392" s="62">
        <v>0.49861111111111112</v>
      </c>
      <c r="K392" s="62"/>
      <c r="L392" s="63">
        <f t="shared" si="102"/>
        <v>0.4152777777777778</v>
      </c>
      <c r="M392" s="64">
        <v>0.41666666666666669</v>
      </c>
      <c r="N392" s="65" t="str">
        <f t="shared" si="103"/>
        <v>00:02:00</v>
      </c>
      <c r="O392" s="66"/>
      <c r="P392" s="124"/>
      <c r="Q392" s="67" t="s">
        <v>229</v>
      </c>
      <c r="R392" s="68">
        <v>46243.354166666664</v>
      </c>
      <c r="S392" s="68">
        <v>46243.395833333336</v>
      </c>
      <c r="T392" s="69">
        <f t="shared" si="104"/>
        <v>4.1666666671517305E-2</v>
      </c>
      <c r="U392" s="61"/>
      <c r="V392" s="83">
        <v>6.25E-2</v>
      </c>
      <c r="W392" s="61">
        <f t="shared" si="105"/>
        <v>-2.0833333328482695E-2</v>
      </c>
      <c r="X392" s="171">
        <v>46243.083333333336</v>
      </c>
      <c r="Y392" s="171">
        <v>46243.498611111114</v>
      </c>
      <c r="Z392" s="168">
        <f t="shared" si="97"/>
        <v>0.41527777777810115</v>
      </c>
      <c r="AA392" s="169">
        <f t="shared" si="98"/>
        <v>0.41666666666666669</v>
      </c>
      <c r="AB392" s="170" t="str">
        <f t="shared" si="99"/>
        <v>00:02:00</v>
      </c>
      <c r="AC392" s="170" t="b">
        <f t="shared" si="100"/>
        <v>1</v>
      </c>
    </row>
    <row r="393" spans="1:29" s="128" customFormat="1" ht="9.75" hidden="1" customHeight="1" x14ac:dyDescent="0.3">
      <c r="A393" s="99">
        <v>46243</v>
      </c>
      <c r="B393" s="59">
        <v>8157405</v>
      </c>
      <c r="C393" s="60" t="s">
        <v>16</v>
      </c>
      <c r="D393" s="60" t="s">
        <v>285</v>
      </c>
      <c r="E393" s="61">
        <v>8.3333333333333329E-2</v>
      </c>
      <c r="F393" s="60" t="s">
        <v>15</v>
      </c>
      <c r="G393" s="71" t="s">
        <v>17</v>
      </c>
      <c r="H393" s="62">
        <v>7.9861111111111105E-2</v>
      </c>
      <c r="I393" s="113" t="str">
        <f t="shared" si="101"/>
        <v>09-08-2026T01:55:00</v>
      </c>
      <c r="J393" s="62">
        <v>0.48819444444444443</v>
      </c>
      <c r="K393" s="62"/>
      <c r="L393" s="63">
        <f t="shared" si="102"/>
        <v>0.40833333333333333</v>
      </c>
      <c r="M393" s="64">
        <v>0.41666666666666669</v>
      </c>
      <c r="N393" s="65" t="str">
        <f t="shared" si="103"/>
        <v>00:12:00</v>
      </c>
      <c r="O393" s="66"/>
      <c r="P393" s="124"/>
      <c r="Q393" s="67"/>
      <c r="R393" s="68"/>
      <c r="S393" s="68"/>
      <c r="T393" s="69">
        <f t="shared" si="104"/>
        <v>0</v>
      </c>
      <c r="U393" s="61" t="s">
        <v>234</v>
      </c>
      <c r="V393" s="83">
        <v>0</v>
      </c>
      <c r="W393" s="61">
        <f t="shared" si="105"/>
        <v>0</v>
      </c>
      <c r="X393" s="171">
        <v>7.9861111111111105E-2</v>
      </c>
      <c r="Y393" s="171">
        <v>0.48819444444444443</v>
      </c>
      <c r="Z393" s="168">
        <f t="shared" si="97"/>
        <v>0.40833333333333333</v>
      </c>
      <c r="AA393" s="169">
        <f t="shared" si="98"/>
        <v>0.41666666666666669</v>
      </c>
      <c r="AB393" s="170" t="str">
        <f t="shared" si="99"/>
        <v>00:12:00</v>
      </c>
      <c r="AC393" s="170" t="b">
        <f t="shared" si="100"/>
        <v>1</v>
      </c>
    </row>
    <row r="394" spans="1:29" s="128" customFormat="1" ht="9.75" hidden="1" customHeight="1" x14ac:dyDescent="0.3">
      <c r="A394" s="99">
        <v>46243</v>
      </c>
      <c r="B394" s="59">
        <v>8157511</v>
      </c>
      <c r="C394" s="60" t="s">
        <v>97</v>
      </c>
      <c r="D394" s="60" t="s">
        <v>468</v>
      </c>
      <c r="E394" s="61">
        <v>0.125</v>
      </c>
      <c r="F394" s="60" t="s">
        <v>23</v>
      </c>
      <c r="G394" s="71" t="s">
        <v>13</v>
      </c>
      <c r="H394" s="62">
        <v>46243.123611111114</v>
      </c>
      <c r="I394" s="113" t="str">
        <f t="shared" si="101"/>
        <v>09-08-2026T02:58:00</v>
      </c>
      <c r="J394" s="62">
        <v>46244.298611111109</v>
      </c>
      <c r="K394" s="62"/>
      <c r="L394" s="63">
        <f t="shared" si="102"/>
        <v>1.1749999999956344</v>
      </c>
      <c r="M394" s="64">
        <v>1.0833333333333333</v>
      </c>
      <c r="N394" s="65" t="str">
        <f t="shared" si="103"/>
        <v>-02:12:00</v>
      </c>
      <c r="O394" s="66"/>
      <c r="P394" s="124" t="s">
        <v>403</v>
      </c>
      <c r="Q394" s="67" t="s">
        <v>13</v>
      </c>
      <c r="R394" s="68">
        <v>46244.268055555556</v>
      </c>
      <c r="S394" s="68">
        <v>46244.291666666664</v>
      </c>
      <c r="T394" s="69">
        <f t="shared" si="104"/>
        <v>2.361111110803904E-2</v>
      </c>
      <c r="U394" s="61"/>
      <c r="V394" s="83">
        <v>8.3333333333333329E-2</v>
      </c>
      <c r="W394" s="61">
        <f t="shared" si="105"/>
        <v>-5.9722222225294289E-2</v>
      </c>
      <c r="X394" s="172">
        <v>46243.123611111114</v>
      </c>
      <c r="Y394" s="172">
        <v>46244.298611111109</v>
      </c>
      <c r="Z394" s="173">
        <f t="shared" si="97"/>
        <v>1.1749999999956344</v>
      </c>
      <c r="AA394" s="174">
        <f t="shared" si="98"/>
        <v>1.0833333333333333</v>
      </c>
      <c r="AB394" s="175" t="str">
        <f t="shared" si="99"/>
        <v>-02:12:00</v>
      </c>
      <c r="AC394" s="175" t="b">
        <f t="shared" si="100"/>
        <v>1</v>
      </c>
    </row>
    <row r="395" spans="1:29" s="128" customFormat="1" ht="9.75" hidden="1" customHeight="1" x14ac:dyDescent="0.3">
      <c r="A395" s="99">
        <v>46243</v>
      </c>
      <c r="B395" s="59">
        <v>8157507</v>
      </c>
      <c r="C395" s="60" t="s">
        <v>87</v>
      </c>
      <c r="D395" s="60" t="s">
        <v>367</v>
      </c>
      <c r="E395" s="61">
        <v>0.125</v>
      </c>
      <c r="F395" s="60" t="s">
        <v>13</v>
      </c>
      <c r="G395" s="71" t="s">
        <v>284</v>
      </c>
      <c r="H395" s="62">
        <v>0.12291666666666666</v>
      </c>
      <c r="I395" s="113" t="str">
        <f t="shared" si="101"/>
        <v>09-08-2026T02:57:00</v>
      </c>
      <c r="J395" s="62">
        <v>0.46597222222222223</v>
      </c>
      <c r="K395" s="62"/>
      <c r="L395" s="63">
        <f t="shared" si="102"/>
        <v>0.34305555555555556</v>
      </c>
      <c r="M395" s="64">
        <v>0.35416666666666669</v>
      </c>
      <c r="N395" s="65" t="str">
        <f t="shared" si="103"/>
        <v>00:16:00</v>
      </c>
      <c r="O395" s="66"/>
      <c r="P395" s="124"/>
      <c r="Q395" s="67" t="s">
        <v>174</v>
      </c>
      <c r="R395" s="68">
        <v>46243.385416666664</v>
      </c>
      <c r="S395" s="68">
        <v>46243.396527777775</v>
      </c>
      <c r="T395" s="69">
        <f t="shared" si="104"/>
        <v>1.1111111110949423E-2</v>
      </c>
      <c r="U395" s="61" t="s">
        <v>234</v>
      </c>
      <c r="V395" s="83">
        <v>6.25E-2</v>
      </c>
      <c r="W395" s="61">
        <f t="shared" si="105"/>
        <v>-5.1388888889050577E-2</v>
      </c>
      <c r="X395" s="171">
        <v>46243.122916666667</v>
      </c>
      <c r="Y395" s="171">
        <v>46243.46597222222</v>
      </c>
      <c r="Z395" s="168">
        <f t="shared" si="97"/>
        <v>0.34305555555329192</v>
      </c>
      <c r="AA395" s="169">
        <f t="shared" si="98"/>
        <v>0.35416666666666669</v>
      </c>
      <c r="AB395" s="170" t="str">
        <f t="shared" si="99"/>
        <v>00:16:00</v>
      </c>
      <c r="AC395" s="170" t="b">
        <f t="shared" si="100"/>
        <v>1</v>
      </c>
    </row>
    <row r="396" spans="1:29" s="128" customFormat="1" ht="9.75" hidden="1" customHeight="1" x14ac:dyDescent="0.3">
      <c r="A396" s="99">
        <v>46243</v>
      </c>
      <c r="B396" s="59">
        <v>8157481</v>
      </c>
      <c r="C396" s="60" t="s">
        <v>57</v>
      </c>
      <c r="D396" s="60" t="s">
        <v>370</v>
      </c>
      <c r="E396" s="61">
        <v>0.125</v>
      </c>
      <c r="F396" s="60" t="s">
        <v>24</v>
      </c>
      <c r="G396" s="71" t="s">
        <v>13</v>
      </c>
      <c r="H396" s="62">
        <v>0.11666666666666667</v>
      </c>
      <c r="I396" s="113" t="str">
        <f t="shared" si="101"/>
        <v>09-08-2026T02:48:00</v>
      </c>
      <c r="J396" s="62">
        <v>0.19166666666666668</v>
      </c>
      <c r="K396" s="62"/>
      <c r="L396" s="63">
        <f t="shared" si="102"/>
        <v>7.5000000000000011E-2</v>
      </c>
      <c r="M396" s="64">
        <v>8.3333333333333329E-2</v>
      </c>
      <c r="N396" s="65" t="str">
        <f t="shared" si="103"/>
        <v>00:12:00</v>
      </c>
      <c r="O396" s="66"/>
      <c r="P396" s="124"/>
      <c r="Q396" s="67"/>
      <c r="R396" s="68"/>
      <c r="S396" s="68"/>
      <c r="T396" s="69">
        <f t="shared" si="104"/>
        <v>0</v>
      </c>
      <c r="U396" s="61" t="s">
        <v>234</v>
      </c>
      <c r="V396" s="83">
        <v>0</v>
      </c>
      <c r="W396" s="61">
        <f t="shared" si="105"/>
        <v>0</v>
      </c>
      <c r="X396" s="171">
        <v>46243.116666666669</v>
      </c>
      <c r="Y396" s="171">
        <v>46243.191666666666</v>
      </c>
      <c r="Z396" s="168">
        <f t="shared" si="97"/>
        <v>7.4999999997089617E-2</v>
      </c>
      <c r="AA396" s="169">
        <f t="shared" si="98"/>
        <v>8.3333333333333329E-2</v>
      </c>
      <c r="AB396" s="170" t="str">
        <f t="shared" si="99"/>
        <v>00:12:00</v>
      </c>
      <c r="AC396" s="170" t="b">
        <f t="shared" si="100"/>
        <v>1</v>
      </c>
    </row>
    <row r="397" spans="1:29" s="128" customFormat="1" ht="9.75" hidden="1" customHeight="1" x14ac:dyDescent="0.3">
      <c r="A397" s="99">
        <v>46243</v>
      </c>
      <c r="B397" s="59">
        <v>8158276</v>
      </c>
      <c r="C397" s="60" t="s">
        <v>41</v>
      </c>
      <c r="D397" s="60" t="s">
        <v>299</v>
      </c>
      <c r="E397" s="61">
        <v>0.16666666666666666</v>
      </c>
      <c r="F397" s="60" t="s">
        <v>13</v>
      </c>
      <c r="G397" s="71" t="s">
        <v>24</v>
      </c>
      <c r="H397" s="62">
        <v>0.40069444444444446</v>
      </c>
      <c r="I397" s="113" t="str">
        <f t="shared" si="101"/>
        <v>09-08-2026T09:37:00</v>
      </c>
      <c r="J397" s="62">
        <v>0.47222222222222221</v>
      </c>
      <c r="K397" s="62"/>
      <c r="L397" s="63">
        <f t="shared" si="102"/>
        <v>7.1527777777777746E-2</v>
      </c>
      <c r="M397" s="64">
        <v>8.3333333333333329E-2</v>
      </c>
      <c r="N397" s="65" t="str">
        <f t="shared" si="103"/>
        <v>00:17:00</v>
      </c>
      <c r="O397" s="66"/>
      <c r="P397" s="124"/>
      <c r="Q397" s="67"/>
      <c r="R397" s="68"/>
      <c r="S397" s="68"/>
      <c r="T397" s="69">
        <f t="shared" si="104"/>
        <v>0</v>
      </c>
      <c r="U397" s="61" t="s">
        <v>234</v>
      </c>
      <c r="V397" s="83">
        <v>0</v>
      </c>
      <c r="W397" s="61">
        <f t="shared" si="105"/>
        <v>0</v>
      </c>
      <c r="X397" s="171">
        <v>46243.400694444441</v>
      </c>
      <c r="Y397" s="171">
        <v>46243.472222222219</v>
      </c>
      <c r="Z397" s="168">
        <f t="shared" si="97"/>
        <v>7.1527777778101154E-2</v>
      </c>
      <c r="AA397" s="169">
        <f t="shared" si="98"/>
        <v>8.3333333333333329E-2</v>
      </c>
      <c r="AB397" s="170" t="str">
        <f t="shared" si="99"/>
        <v>00:17:00</v>
      </c>
      <c r="AC397" s="170" t="b">
        <f t="shared" si="100"/>
        <v>1</v>
      </c>
    </row>
    <row r="398" spans="1:29" s="128" customFormat="1" ht="9.75" hidden="1" customHeight="1" x14ac:dyDescent="0.3">
      <c r="A398" s="99">
        <v>46243</v>
      </c>
      <c r="B398" s="59">
        <v>8157660</v>
      </c>
      <c r="C398" s="60" t="s">
        <v>27</v>
      </c>
      <c r="D398" s="60" t="s">
        <v>378</v>
      </c>
      <c r="E398" s="61">
        <v>0.16666666666666666</v>
      </c>
      <c r="F398" s="60" t="s">
        <v>13</v>
      </c>
      <c r="G398" s="71" t="s">
        <v>28</v>
      </c>
      <c r="H398" s="62">
        <v>0.17708333333333334</v>
      </c>
      <c r="I398" s="113" t="str">
        <f t="shared" si="101"/>
        <v>09-08-2026T04:15:00</v>
      </c>
      <c r="J398" s="62">
        <v>0.34027777777777779</v>
      </c>
      <c r="K398" s="62"/>
      <c r="L398" s="63">
        <f t="shared" si="102"/>
        <v>0.16319444444444445</v>
      </c>
      <c r="M398" s="64">
        <v>0.16666666666666666</v>
      </c>
      <c r="N398" s="65" t="str">
        <f t="shared" si="103"/>
        <v>00:05:00</v>
      </c>
      <c r="O398" s="66"/>
      <c r="P398" s="124"/>
      <c r="Q398" s="67"/>
      <c r="R398" s="68"/>
      <c r="S398" s="68"/>
      <c r="T398" s="69">
        <f t="shared" si="104"/>
        <v>0</v>
      </c>
      <c r="U398" s="61" t="s">
        <v>234</v>
      </c>
      <c r="V398" s="83">
        <v>0</v>
      </c>
      <c r="W398" s="61">
        <f t="shared" si="105"/>
        <v>0</v>
      </c>
      <c r="X398" s="171">
        <v>46243.177083333336</v>
      </c>
      <c r="Y398" s="171">
        <v>46243.340277777781</v>
      </c>
      <c r="Z398" s="168">
        <f t="shared" si="97"/>
        <v>0.16319444444525288</v>
      </c>
      <c r="AA398" s="169">
        <f t="shared" si="98"/>
        <v>0.16666666666666666</v>
      </c>
      <c r="AB398" s="170" t="str">
        <f t="shared" si="99"/>
        <v>00:05:00</v>
      </c>
      <c r="AC398" s="170" t="b">
        <f t="shared" si="100"/>
        <v>1</v>
      </c>
    </row>
    <row r="399" spans="1:29" s="128" customFormat="1" ht="9.75" hidden="1" customHeight="1" x14ac:dyDescent="0.3">
      <c r="A399" s="99">
        <v>46243</v>
      </c>
      <c r="B399" s="59">
        <v>8157613</v>
      </c>
      <c r="C399" s="60" t="s">
        <v>29</v>
      </c>
      <c r="D399" s="60" t="s">
        <v>373</v>
      </c>
      <c r="E399" s="61">
        <v>8.3333333333333329E-2</v>
      </c>
      <c r="F399" s="60" t="s">
        <v>15</v>
      </c>
      <c r="G399" s="71" t="s">
        <v>17</v>
      </c>
      <c r="H399" s="62">
        <v>0.16319444444444445</v>
      </c>
      <c r="I399" s="113" t="str">
        <f t="shared" si="101"/>
        <v>09-08-2026T03:55:00</v>
      </c>
      <c r="J399" s="62">
        <v>0.56736111111111109</v>
      </c>
      <c r="K399" s="62"/>
      <c r="L399" s="63">
        <f t="shared" si="102"/>
        <v>0.40416666666666667</v>
      </c>
      <c r="M399" s="64">
        <v>0.41666666666666669</v>
      </c>
      <c r="N399" s="65" t="str">
        <f t="shared" si="103"/>
        <v>00:18:00</v>
      </c>
      <c r="O399" s="66"/>
      <c r="P399" s="124"/>
      <c r="Q399" s="67"/>
      <c r="R399" s="68"/>
      <c r="S399" s="68"/>
      <c r="T399" s="69">
        <f t="shared" si="104"/>
        <v>0</v>
      </c>
      <c r="U399" s="61" t="s">
        <v>234</v>
      </c>
      <c r="V399" s="83">
        <v>0</v>
      </c>
      <c r="W399" s="61">
        <f t="shared" si="105"/>
        <v>0</v>
      </c>
      <c r="X399" s="171">
        <v>0.16319444444444445</v>
      </c>
      <c r="Y399" s="171">
        <v>0.56736111111111109</v>
      </c>
      <c r="Z399" s="168">
        <f t="shared" si="97"/>
        <v>0.40416666666666667</v>
      </c>
      <c r="AA399" s="169">
        <f t="shared" si="98"/>
        <v>0.41666666666666669</v>
      </c>
      <c r="AB399" s="170" t="str">
        <f t="shared" si="99"/>
        <v>00:18:00</v>
      </c>
      <c r="AC399" s="170" t="b">
        <f t="shared" si="100"/>
        <v>1</v>
      </c>
    </row>
    <row r="400" spans="1:29" s="128" customFormat="1" ht="9.75" hidden="1" customHeight="1" x14ac:dyDescent="0.3">
      <c r="A400" s="99">
        <v>46243</v>
      </c>
      <c r="B400" s="59">
        <v>8157562</v>
      </c>
      <c r="C400" s="60" t="s">
        <v>86</v>
      </c>
      <c r="D400" s="60" t="s">
        <v>182</v>
      </c>
      <c r="E400" s="61">
        <v>0.16666666666666666</v>
      </c>
      <c r="F400" s="60" t="s">
        <v>31</v>
      </c>
      <c r="G400" s="71" t="s">
        <v>13</v>
      </c>
      <c r="H400" s="62">
        <v>0.14722222222222223</v>
      </c>
      <c r="I400" s="113" t="str">
        <f t="shared" si="101"/>
        <v>09-08-2026T03:32:00</v>
      </c>
      <c r="J400" s="62">
        <v>0.81874999999999998</v>
      </c>
      <c r="K400" s="62"/>
      <c r="L400" s="63">
        <f t="shared" si="102"/>
        <v>0.67152777777777772</v>
      </c>
      <c r="M400" s="64">
        <v>0.70833333333333337</v>
      </c>
      <c r="N400" s="65" t="str">
        <f t="shared" si="103"/>
        <v>00:53:00</v>
      </c>
      <c r="O400" s="66"/>
      <c r="P400" s="124" t="s">
        <v>781</v>
      </c>
      <c r="Q400" s="67" t="s">
        <v>13</v>
      </c>
      <c r="R400" s="68">
        <v>46243.765972222223</v>
      </c>
      <c r="S400" s="68">
        <v>46243.813194444447</v>
      </c>
      <c r="T400" s="69">
        <f t="shared" si="104"/>
        <v>4.7222222223354038E-2</v>
      </c>
      <c r="U400" s="61"/>
      <c r="V400" s="83">
        <v>8.3333333333333329E-2</v>
      </c>
      <c r="W400" s="61">
        <f t="shared" si="105"/>
        <v>-3.6111111109979291E-2</v>
      </c>
      <c r="X400" s="172">
        <v>46243.147222222222</v>
      </c>
      <c r="Y400" s="172">
        <v>46243.818749999999</v>
      </c>
      <c r="Z400" s="173">
        <f t="shared" si="97"/>
        <v>0.67152777777664596</v>
      </c>
      <c r="AA400" s="174">
        <f t="shared" si="98"/>
        <v>0.70833333333333337</v>
      </c>
      <c r="AB400" s="175" t="str">
        <f t="shared" si="99"/>
        <v>00:53:00</v>
      </c>
      <c r="AC400" s="175" t="b">
        <f t="shared" si="100"/>
        <v>1</v>
      </c>
    </row>
    <row r="401" spans="1:29" s="127" customFormat="1" ht="9.75" hidden="1" customHeight="1" x14ac:dyDescent="0.3">
      <c r="A401" s="98">
        <v>46243</v>
      </c>
      <c r="B401" s="48">
        <v>8157630</v>
      </c>
      <c r="C401" s="49" t="s">
        <v>83</v>
      </c>
      <c r="D401" s="49" t="s">
        <v>383</v>
      </c>
      <c r="E401" s="50">
        <v>0.16666666666666666</v>
      </c>
      <c r="F401" s="49" t="s">
        <v>13</v>
      </c>
      <c r="G401" s="70" t="s">
        <v>14</v>
      </c>
      <c r="H401" s="51">
        <v>0.16597222222222222</v>
      </c>
      <c r="I401" s="113" t="str">
        <f t="shared" si="101"/>
        <v>09-08-2026T03:59:00</v>
      </c>
      <c r="J401" s="51">
        <v>0.74722222222222223</v>
      </c>
      <c r="K401" s="51"/>
      <c r="L401" s="52">
        <f t="shared" si="102"/>
        <v>0.58125000000000004</v>
      </c>
      <c r="M401" s="53">
        <v>0.54166666666666663</v>
      </c>
      <c r="N401" s="54" t="str">
        <f t="shared" si="103"/>
        <v>-00:57:00</v>
      </c>
      <c r="O401" s="55">
        <v>200</v>
      </c>
      <c r="P401" s="147" t="s">
        <v>528</v>
      </c>
      <c r="Q401" s="56"/>
      <c r="R401" s="57"/>
      <c r="S401" s="57"/>
      <c r="T401" s="58">
        <f t="shared" si="104"/>
        <v>0</v>
      </c>
      <c r="U401" s="50"/>
      <c r="V401" s="74">
        <v>0</v>
      </c>
      <c r="W401" s="50">
        <f t="shared" si="105"/>
        <v>0</v>
      </c>
      <c r="X401" s="171">
        <v>46243.165972222225</v>
      </c>
      <c r="Y401" s="171">
        <v>46243.74722222222</v>
      </c>
      <c r="Z401" s="168">
        <f t="shared" si="97"/>
        <v>0.58124999999563443</v>
      </c>
      <c r="AA401" s="169">
        <f t="shared" si="98"/>
        <v>0.54166666666666663</v>
      </c>
      <c r="AB401" s="170" t="str">
        <f t="shared" si="99"/>
        <v>-00:57:00</v>
      </c>
      <c r="AC401" s="170" t="b">
        <f t="shared" si="100"/>
        <v>1</v>
      </c>
    </row>
    <row r="402" spans="1:29" s="127" customFormat="1" ht="9.75" hidden="1" customHeight="1" x14ac:dyDescent="0.3">
      <c r="A402" s="98">
        <v>46243</v>
      </c>
      <c r="B402" s="48">
        <v>8157707</v>
      </c>
      <c r="C402" s="49" t="s">
        <v>25</v>
      </c>
      <c r="D402" s="49" t="s">
        <v>477</v>
      </c>
      <c r="E402" s="50">
        <v>0.20833333333333334</v>
      </c>
      <c r="F402" s="49" t="s">
        <v>26</v>
      </c>
      <c r="G402" s="70" t="s">
        <v>13</v>
      </c>
      <c r="H402" s="51">
        <v>0.19791666666666666</v>
      </c>
      <c r="I402" s="113" t="str">
        <f t="shared" si="101"/>
        <v>09-08-2026T04:45:00</v>
      </c>
      <c r="J402" s="51">
        <v>0.73263888888888884</v>
      </c>
      <c r="K402" s="51"/>
      <c r="L402" s="52">
        <f t="shared" si="102"/>
        <v>0.53472222222222221</v>
      </c>
      <c r="M402" s="53">
        <v>0.45833333333333331</v>
      </c>
      <c r="N402" s="54" t="str">
        <f t="shared" si="103"/>
        <v>-01:50:00</v>
      </c>
      <c r="O402" s="55">
        <v>250</v>
      </c>
      <c r="P402" s="147" t="s">
        <v>529</v>
      </c>
      <c r="Q402" s="56" t="s">
        <v>13</v>
      </c>
      <c r="R402" s="57">
        <v>46243.604166666664</v>
      </c>
      <c r="S402" s="57">
        <v>46243.725694444445</v>
      </c>
      <c r="T402" s="47">
        <f t="shared" si="104"/>
        <v>0.12152777778101154</v>
      </c>
      <c r="U402" s="50"/>
      <c r="V402" s="74">
        <v>8.3333333333333329E-2</v>
      </c>
      <c r="W402" s="50">
        <f t="shared" si="105"/>
        <v>3.8194444447678208E-2</v>
      </c>
      <c r="X402" s="171">
        <v>46243.197916666664</v>
      </c>
      <c r="Y402" s="171">
        <v>46243.732638888891</v>
      </c>
      <c r="Z402" s="168">
        <f t="shared" si="97"/>
        <v>0.53472222222626442</v>
      </c>
      <c r="AA402" s="169">
        <f t="shared" si="98"/>
        <v>0.45833333333333331</v>
      </c>
      <c r="AB402" s="170" t="str">
        <f t="shared" si="99"/>
        <v>-01:50:00</v>
      </c>
      <c r="AC402" s="170" t="b">
        <f t="shared" si="100"/>
        <v>1</v>
      </c>
    </row>
    <row r="403" spans="1:29" s="128" customFormat="1" ht="9.75" hidden="1" customHeight="1" x14ac:dyDescent="0.3">
      <c r="A403" s="99">
        <v>46243</v>
      </c>
      <c r="B403" s="59">
        <v>8157901</v>
      </c>
      <c r="C403" s="60" t="s">
        <v>38</v>
      </c>
      <c r="D403" s="60" t="s">
        <v>289</v>
      </c>
      <c r="E403" s="61">
        <v>0.25</v>
      </c>
      <c r="F403" s="60" t="s">
        <v>14</v>
      </c>
      <c r="G403" s="71" t="s">
        <v>13</v>
      </c>
      <c r="H403" s="62">
        <v>0.24652777777777779</v>
      </c>
      <c r="I403" s="113" t="str">
        <f t="shared" si="101"/>
        <v>09-08-2026T05:55:00</v>
      </c>
      <c r="J403" s="62">
        <v>0.78611111111111109</v>
      </c>
      <c r="K403" s="62"/>
      <c r="L403" s="63">
        <f t="shared" si="102"/>
        <v>0.5395833333333333</v>
      </c>
      <c r="M403" s="64">
        <v>0.54166666666666663</v>
      </c>
      <c r="N403" s="65" t="str">
        <f t="shared" si="103"/>
        <v>00:03:00</v>
      </c>
      <c r="O403" s="66"/>
      <c r="P403" s="124"/>
      <c r="Q403" s="67"/>
      <c r="R403" s="68"/>
      <c r="S403" s="68"/>
      <c r="T403" s="69">
        <f t="shared" si="104"/>
        <v>0</v>
      </c>
      <c r="U403" s="61"/>
      <c r="V403" s="83">
        <v>0</v>
      </c>
      <c r="W403" s="61">
        <f t="shared" si="105"/>
        <v>0</v>
      </c>
      <c r="X403" s="171">
        <v>46243.246527777781</v>
      </c>
      <c r="Y403" s="171">
        <v>46243.786111111112</v>
      </c>
      <c r="Z403" s="168">
        <f t="shared" si="97"/>
        <v>0.53958333333139308</v>
      </c>
      <c r="AA403" s="169">
        <f t="shared" si="98"/>
        <v>0.54166666666666663</v>
      </c>
      <c r="AB403" s="170" t="str">
        <f t="shared" si="99"/>
        <v>00:03:00</v>
      </c>
      <c r="AC403" s="170" t="b">
        <f t="shared" si="100"/>
        <v>1</v>
      </c>
    </row>
    <row r="404" spans="1:29" s="128" customFormat="1" ht="9.75" hidden="1" customHeight="1" x14ac:dyDescent="0.3">
      <c r="A404" s="99">
        <v>46243</v>
      </c>
      <c r="B404" s="59">
        <v>8157994</v>
      </c>
      <c r="C404" s="60" t="s">
        <v>89</v>
      </c>
      <c r="D404" s="60" t="s">
        <v>294</v>
      </c>
      <c r="E404" s="61">
        <v>0.25</v>
      </c>
      <c r="F404" s="60" t="s">
        <v>13</v>
      </c>
      <c r="G404" s="71" t="s">
        <v>35</v>
      </c>
      <c r="H404" s="62">
        <v>0.26527777777777778</v>
      </c>
      <c r="I404" s="113" t="str">
        <f t="shared" si="101"/>
        <v>09-08-2026T06:22:00</v>
      </c>
      <c r="J404" s="62">
        <v>0.30555555555555558</v>
      </c>
      <c r="K404" s="62"/>
      <c r="L404" s="63">
        <f t="shared" si="102"/>
        <v>4.0277777777777801E-2</v>
      </c>
      <c r="M404" s="64">
        <v>4.1666666666666664E-2</v>
      </c>
      <c r="N404" s="65" t="str">
        <f t="shared" si="103"/>
        <v>00:02:00</v>
      </c>
      <c r="O404" s="66"/>
      <c r="P404" s="124"/>
      <c r="Q404" s="67"/>
      <c r="R404" s="68"/>
      <c r="S404" s="68"/>
      <c r="T404" s="69">
        <f t="shared" si="104"/>
        <v>0</v>
      </c>
      <c r="U404" s="61"/>
      <c r="V404" s="83">
        <v>0</v>
      </c>
      <c r="W404" s="61">
        <f t="shared" si="105"/>
        <v>0</v>
      </c>
      <c r="X404" s="171">
        <v>46243.265277777777</v>
      </c>
      <c r="Y404" s="171">
        <v>46243.305555555555</v>
      </c>
      <c r="Z404" s="168">
        <f t="shared" si="97"/>
        <v>4.0277777778101154E-2</v>
      </c>
      <c r="AA404" s="169">
        <f t="shared" si="98"/>
        <v>4.1666666666666664E-2</v>
      </c>
      <c r="AB404" s="170" t="str">
        <f t="shared" si="99"/>
        <v>00:02:00</v>
      </c>
      <c r="AC404" s="170" t="b">
        <f t="shared" si="100"/>
        <v>1</v>
      </c>
    </row>
    <row r="405" spans="1:29" s="127" customFormat="1" ht="9.75" hidden="1" customHeight="1" x14ac:dyDescent="0.3">
      <c r="A405" s="98">
        <v>46243</v>
      </c>
      <c r="B405" s="48">
        <v>8158013</v>
      </c>
      <c r="C405" s="49" t="s">
        <v>37</v>
      </c>
      <c r="D405" s="49" t="s">
        <v>466</v>
      </c>
      <c r="E405" s="50">
        <v>0.27083333333333331</v>
      </c>
      <c r="F405" s="49" t="s">
        <v>14</v>
      </c>
      <c r="G405" s="70" t="s">
        <v>13</v>
      </c>
      <c r="H405" s="51">
        <v>46243.268750000003</v>
      </c>
      <c r="I405" s="113" t="str">
        <f t="shared" si="101"/>
        <v>09-08-2026T06:27:00</v>
      </c>
      <c r="J405" s="51">
        <v>46244.175000000003</v>
      </c>
      <c r="K405" s="51"/>
      <c r="L405" s="52">
        <f t="shared" si="102"/>
        <v>0.90625</v>
      </c>
      <c r="M405" s="53">
        <v>0.625</v>
      </c>
      <c r="N405" s="54" t="str">
        <f t="shared" si="103"/>
        <v>-06:45:00</v>
      </c>
      <c r="O405" s="55">
        <v>1250</v>
      </c>
      <c r="P405" s="147" t="s">
        <v>530</v>
      </c>
      <c r="Q405" s="56" t="s">
        <v>126</v>
      </c>
      <c r="R405" s="57">
        <v>46243.375</v>
      </c>
      <c r="S405" s="57">
        <v>46243.520833333336</v>
      </c>
      <c r="T405" s="47">
        <f t="shared" si="104"/>
        <v>0.14583333333575865</v>
      </c>
      <c r="U405" s="50"/>
      <c r="V405" s="74">
        <v>6.25E-2</v>
      </c>
      <c r="W405" s="50">
        <f t="shared" si="105"/>
        <v>8.3333333335758653E-2</v>
      </c>
      <c r="X405" s="171">
        <v>46243.268750000003</v>
      </c>
      <c r="Y405" s="171">
        <v>46244.175000000003</v>
      </c>
      <c r="Z405" s="168">
        <f t="shared" si="97"/>
        <v>0.90625</v>
      </c>
      <c r="AA405" s="169">
        <f t="shared" si="98"/>
        <v>0.625</v>
      </c>
      <c r="AB405" s="170" t="str">
        <f t="shared" si="99"/>
        <v>-06:45:00</v>
      </c>
      <c r="AC405" s="170" t="b">
        <f t="shared" si="100"/>
        <v>1</v>
      </c>
    </row>
    <row r="406" spans="1:29" s="128" customFormat="1" ht="9.75" hidden="1" customHeight="1" x14ac:dyDescent="0.3">
      <c r="A406" s="99">
        <v>46243</v>
      </c>
      <c r="B406" s="59">
        <v>8158819</v>
      </c>
      <c r="C406" s="60" t="s">
        <v>36</v>
      </c>
      <c r="D406" s="60" t="s">
        <v>300</v>
      </c>
      <c r="E406" s="61">
        <v>0.27083333333333331</v>
      </c>
      <c r="F406" s="60" t="s">
        <v>13</v>
      </c>
      <c r="G406" s="71" t="s">
        <v>14</v>
      </c>
      <c r="H406" s="62">
        <v>46243.62222222222</v>
      </c>
      <c r="I406" s="113" t="str">
        <f t="shared" si="101"/>
        <v>09-08-2026T14:56:00</v>
      </c>
      <c r="J406" s="62">
        <v>46244.229861111111</v>
      </c>
      <c r="K406" s="62"/>
      <c r="L406" s="63">
        <f t="shared" si="102"/>
        <v>0.60763888889050577</v>
      </c>
      <c r="M406" s="64">
        <v>0.625</v>
      </c>
      <c r="N406" s="65" t="str">
        <f t="shared" si="103"/>
        <v>00:25:00</v>
      </c>
      <c r="O406" s="66"/>
      <c r="P406" s="124"/>
      <c r="Q406" s="67" t="s">
        <v>15</v>
      </c>
      <c r="R406" s="68">
        <v>46243.869444444441</v>
      </c>
      <c r="S406" s="68">
        <v>46243.885416666664</v>
      </c>
      <c r="T406" s="69">
        <f t="shared" si="104"/>
        <v>1.5972222223354038E-2</v>
      </c>
      <c r="U406" s="61"/>
      <c r="V406" s="83">
        <v>6.25E-2</v>
      </c>
      <c r="W406" s="61">
        <f t="shared" si="105"/>
        <v>-4.6527777776645962E-2</v>
      </c>
      <c r="X406" s="171">
        <v>46243.62222222222</v>
      </c>
      <c r="Y406" s="171">
        <v>46244.229861111111</v>
      </c>
      <c r="Z406" s="168">
        <f t="shared" si="97"/>
        <v>0.60763888889050577</v>
      </c>
      <c r="AA406" s="169">
        <f t="shared" si="98"/>
        <v>0.625</v>
      </c>
      <c r="AB406" s="170" t="str">
        <f t="shared" si="99"/>
        <v>00:25:00</v>
      </c>
      <c r="AC406" s="170" t="b">
        <f t="shared" si="100"/>
        <v>1</v>
      </c>
    </row>
    <row r="407" spans="1:29" s="127" customFormat="1" ht="9.75" hidden="1" customHeight="1" x14ac:dyDescent="0.3">
      <c r="A407" s="98">
        <v>46243</v>
      </c>
      <c r="B407" s="48">
        <v>8158267</v>
      </c>
      <c r="C407" s="49" t="s">
        <v>34</v>
      </c>
      <c r="D407" s="49" t="s">
        <v>381</v>
      </c>
      <c r="E407" s="50">
        <v>0.29166666666666669</v>
      </c>
      <c r="F407" s="49" t="s">
        <v>13</v>
      </c>
      <c r="G407" s="70" t="s">
        <v>103</v>
      </c>
      <c r="H407" s="51">
        <v>46243.390277777777</v>
      </c>
      <c r="I407" s="113" t="str">
        <f t="shared" si="101"/>
        <v>09-08-2026T09:22:00</v>
      </c>
      <c r="J407" s="51">
        <v>46244.222916666666</v>
      </c>
      <c r="K407" s="51"/>
      <c r="L407" s="52">
        <f t="shared" si="102"/>
        <v>0.83263888888905058</v>
      </c>
      <c r="M407" s="53">
        <v>0.625</v>
      </c>
      <c r="N407" s="54" t="str">
        <f t="shared" si="103"/>
        <v>-04:59:00</v>
      </c>
      <c r="O407" s="55">
        <v>1250</v>
      </c>
      <c r="P407" s="147" t="s">
        <v>521</v>
      </c>
      <c r="Q407" s="56"/>
      <c r="R407" s="57"/>
      <c r="S407" s="57"/>
      <c r="T407" s="58">
        <f t="shared" si="104"/>
        <v>0</v>
      </c>
      <c r="U407" s="50"/>
      <c r="V407" s="74">
        <v>0</v>
      </c>
      <c r="W407" s="50">
        <f t="shared" si="105"/>
        <v>0</v>
      </c>
      <c r="X407" s="171">
        <v>46243.390277777777</v>
      </c>
      <c r="Y407" s="171">
        <v>46244.222916666666</v>
      </c>
      <c r="Z407" s="168">
        <f t="shared" si="97"/>
        <v>0.83263888888905058</v>
      </c>
      <c r="AA407" s="169">
        <f t="shared" si="98"/>
        <v>0.625</v>
      </c>
      <c r="AB407" s="170" t="str">
        <f t="shared" si="99"/>
        <v>-04:59:00</v>
      </c>
      <c r="AC407" s="170" t="b">
        <f t="shared" si="100"/>
        <v>1</v>
      </c>
    </row>
    <row r="408" spans="1:29" s="127" customFormat="1" ht="9.75" hidden="1" customHeight="1" x14ac:dyDescent="0.3">
      <c r="A408" s="98">
        <v>46243</v>
      </c>
      <c r="B408" s="48">
        <v>8158108</v>
      </c>
      <c r="C408" s="49" t="s">
        <v>56</v>
      </c>
      <c r="D408" s="49" t="s">
        <v>472</v>
      </c>
      <c r="E408" s="50">
        <v>0.3125</v>
      </c>
      <c r="F408" s="49" t="s">
        <v>15</v>
      </c>
      <c r="G408" s="70" t="s">
        <v>13</v>
      </c>
      <c r="H408" s="51">
        <v>0.30902777777777779</v>
      </c>
      <c r="I408" s="113" t="str">
        <f t="shared" si="101"/>
        <v>09-08-2026T07:25:00</v>
      </c>
      <c r="J408" s="51">
        <v>0.57222222222222219</v>
      </c>
      <c r="K408" s="51"/>
      <c r="L408" s="52">
        <f t="shared" si="102"/>
        <v>0.2631944444444444</v>
      </c>
      <c r="M408" s="53">
        <v>0.25</v>
      </c>
      <c r="N408" s="54" t="str">
        <f t="shared" si="103"/>
        <v>-00:19:00</v>
      </c>
      <c r="O408" s="55">
        <v>250</v>
      </c>
      <c r="P408" s="147" t="s">
        <v>531</v>
      </c>
      <c r="Q408" s="56"/>
      <c r="R408" s="57"/>
      <c r="S408" s="57"/>
      <c r="T408" s="58">
        <f t="shared" si="104"/>
        <v>0</v>
      </c>
      <c r="U408" s="50"/>
      <c r="V408" s="74">
        <v>0</v>
      </c>
      <c r="W408" s="50">
        <f t="shared" si="105"/>
        <v>0</v>
      </c>
      <c r="X408" s="171">
        <v>46243.309027777781</v>
      </c>
      <c r="Y408" s="171">
        <v>46243.572222222225</v>
      </c>
      <c r="Z408" s="168">
        <f t="shared" si="97"/>
        <v>0.26319444444379769</v>
      </c>
      <c r="AA408" s="169">
        <f t="shared" si="98"/>
        <v>0.25</v>
      </c>
      <c r="AB408" s="170" t="str">
        <f t="shared" si="99"/>
        <v>-00:19:00</v>
      </c>
      <c r="AC408" s="170" t="b">
        <f t="shared" si="100"/>
        <v>1</v>
      </c>
    </row>
    <row r="409" spans="1:29" s="128" customFormat="1" ht="9.75" hidden="1" customHeight="1" x14ac:dyDescent="0.3">
      <c r="A409" s="99">
        <v>46243</v>
      </c>
      <c r="B409" s="59">
        <v>8158082</v>
      </c>
      <c r="C409" s="60" t="s">
        <v>30</v>
      </c>
      <c r="D409" s="60" t="s">
        <v>286</v>
      </c>
      <c r="E409" s="61">
        <v>0.29166666666666669</v>
      </c>
      <c r="F409" s="60" t="s">
        <v>13</v>
      </c>
      <c r="G409" s="71" t="s">
        <v>31</v>
      </c>
      <c r="H409" s="62">
        <v>0.29444444444444445</v>
      </c>
      <c r="I409" s="113" t="str">
        <f t="shared" si="101"/>
        <v>09-08-2026T07:04:00</v>
      </c>
      <c r="J409" s="62">
        <v>0.89444444444444449</v>
      </c>
      <c r="K409" s="62"/>
      <c r="L409" s="63">
        <f t="shared" si="102"/>
        <v>0.60000000000000009</v>
      </c>
      <c r="M409" s="64">
        <v>0.625</v>
      </c>
      <c r="N409" s="65" t="str">
        <f t="shared" si="103"/>
        <v>00:36:00</v>
      </c>
      <c r="O409" s="66"/>
      <c r="P409" s="124" t="s">
        <v>455</v>
      </c>
      <c r="Q409" s="67"/>
      <c r="R409" s="68"/>
      <c r="S409" s="68"/>
      <c r="T409" s="69">
        <f t="shared" si="104"/>
        <v>0</v>
      </c>
      <c r="U409" s="61"/>
      <c r="V409" s="83">
        <v>0</v>
      </c>
      <c r="W409" s="61">
        <f t="shared" si="105"/>
        <v>0</v>
      </c>
      <c r="X409" s="172">
        <v>46243.294444444444</v>
      </c>
      <c r="Y409" s="172">
        <v>46243.894444444442</v>
      </c>
      <c r="Z409" s="173">
        <f t="shared" si="97"/>
        <v>0.59999999999854481</v>
      </c>
      <c r="AA409" s="174">
        <f t="shared" si="98"/>
        <v>0.625</v>
      </c>
      <c r="AB409" s="175" t="str">
        <f t="shared" si="99"/>
        <v>00:36:00</v>
      </c>
      <c r="AC409" s="175" t="b">
        <f t="shared" si="100"/>
        <v>1</v>
      </c>
    </row>
    <row r="410" spans="1:29" s="128" customFormat="1" ht="9.75" hidden="1" customHeight="1" x14ac:dyDescent="0.3">
      <c r="A410" s="99">
        <v>46243</v>
      </c>
      <c r="B410" s="59">
        <v>8158123</v>
      </c>
      <c r="C410" s="60" t="s">
        <v>42</v>
      </c>
      <c r="D410" s="60" t="s">
        <v>181</v>
      </c>
      <c r="E410" s="61">
        <v>0.3125</v>
      </c>
      <c r="F410" s="60" t="s">
        <v>13</v>
      </c>
      <c r="G410" s="71" t="s">
        <v>55</v>
      </c>
      <c r="H410" s="62">
        <v>0.31805555555555554</v>
      </c>
      <c r="I410" s="113" t="str">
        <f t="shared" si="101"/>
        <v>09-08-2026T07:38:00</v>
      </c>
      <c r="J410" s="62">
        <v>0.37708333333333333</v>
      </c>
      <c r="K410" s="62"/>
      <c r="L410" s="63">
        <f t="shared" si="102"/>
        <v>5.902777777777779E-2</v>
      </c>
      <c r="M410" s="64">
        <v>6.25E-2</v>
      </c>
      <c r="N410" s="65" t="str">
        <f t="shared" si="103"/>
        <v>00:05:00</v>
      </c>
      <c r="O410" s="66"/>
      <c r="P410" s="124"/>
      <c r="Q410" s="67"/>
      <c r="R410" s="68"/>
      <c r="S410" s="68"/>
      <c r="T410" s="69">
        <f t="shared" si="104"/>
        <v>0</v>
      </c>
      <c r="U410" s="61"/>
      <c r="V410" s="83">
        <v>0</v>
      </c>
      <c r="W410" s="61">
        <f t="shared" si="105"/>
        <v>0</v>
      </c>
      <c r="X410" s="171">
        <v>46243.318055555559</v>
      </c>
      <c r="Y410" s="171">
        <v>46243.377083333333</v>
      </c>
      <c r="Z410" s="168">
        <f t="shared" si="97"/>
        <v>5.9027777773735579E-2</v>
      </c>
      <c r="AA410" s="169">
        <f t="shared" si="98"/>
        <v>6.25E-2</v>
      </c>
      <c r="AB410" s="170" t="str">
        <f t="shared" si="99"/>
        <v>00:05:00</v>
      </c>
      <c r="AC410" s="170" t="b">
        <f t="shared" si="100"/>
        <v>1</v>
      </c>
    </row>
    <row r="411" spans="1:29" s="127" customFormat="1" ht="9.75" hidden="1" customHeight="1" x14ac:dyDescent="0.3">
      <c r="A411" s="98">
        <v>46243</v>
      </c>
      <c r="B411" s="48">
        <v>8158229</v>
      </c>
      <c r="C411" s="49" t="s">
        <v>44</v>
      </c>
      <c r="D411" s="49" t="s">
        <v>582</v>
      </c>
      <c r="E411" s="50">
        <v>0.375</v>
      </c>
      <c r="F411" s="49" t="s">
        <v>13</v>
      </c>
      <c r="G411" s="70" t="s">
        <v>31</v>
      </c>
      <c r="H411" s="51">
        <v>46243.372916666667</v>
      </c>
      <c r="I411" s="113" t="str">
        <f t="shared" si="101"/>
        <v>09-08-2026T08:57:00</v>
      </c>
      <c r="J411" s="51">
        <v>46244.397222222222</v>
      </c>
      <c r="K411" s="51"/>
      <c r="L411" s="52">
        <f t="shared" si="102"/>
        <v>1.0243055555547471</v>
      </c>
      <c r="M411" s="53">
        <v>0.75</v>
      </c>
      <c r="N411" s="54" t="str">
        <f t="shared" si="103"/>
        <v>-06:35:00</v>
      </c>
      <c r="O411" s="55">
        <f>200*7</f>
        <v>1400</v>
      </c>
      <c r="P411" s="147" t="s">
        <v>522</v>
      </c>
      <c r="Q411" s="56" t="s">
        <v>45</v>
      </c>
      <c r="R411" s="57">
        <v>46244.154861111114</v>
      </c>
      <c r="S411" s="57">
        <v>46244.277777777781</v>
      </c>
      <c r="T411" s="47">
        <f t="shared" si="104"/>
        <v>0.12291666666715173</v>
      </c>
      <c r="U411" s="50"/>
      <c r="V411" s="74">
        <v>8.3333333333333329E-2</v>
      </c>
      <c r="W411" s="50">
        <f t="shared" si="105"/>
        <v>3.9583333333818402E-2</v>
      </c>
      <c r="X411" s="171">
        <v>46243.372916666667</v>
      </c>
      <c r="Y411" s="171">
        <v>46244.397222222222</v>
      </c>
      <c r="Z411" s="168">
        <f t="shared" si="97"/>
        <v>1.0243055555547471</v>
      </c>
      <c r="AA411" s="169">
        <f t="shared" si="98"/>
        <v>0.75</v>
      </c>
      <c r="AB411" s="170" t="str">
        <f t="shared" si="99"/>
        <v>-06:35:00</v>
      </c>
      <c r="AC411" s="170" t="b">
        <f t="shared" si="100"/>
        <v>1</v>
      </c>
    </row>
    <row r="412" spans="1:29" s="128" customFormat="1" ht="9.75" hidden="1" customHeight="1" x14ac:dyDescent="0.3">
      <c r="A412" s="99">
        <v>46243</v>
      </c>
      <c r="B412" s="59">
        <v>8158231</v>
      </c>
      <c r="C412" s="60" t="s">
        <v>175</v>
      </c>
      <c r="D412" s="60" t="s">
        <v>306</v>
      </c>
      <c r="E412" s="61">
        <v>0.375</v>
      </c>
      <c r="F412" s="60" t="s">
        <v>13</v>
      </c>
      <c r="G412" s="71" t="s">
        <v>47</v>
      </c>
      <c r="H412" s="62">
        <v>46243.373611111114</v>
      </c>
      <c r="I412" s="113" t="str">
        <f t="shared" si="101"/>
        <v>09-08-2026T08:58:00</v>
      </c>
      <c r="J412" s="62">
        <v>46245.241666666669</v>
      </c>
      <c r="K412" s="62"/>
      <c r="L412" s="63">
        <f t="shared" si="102"/>
        <v>1.8680555555547471</v>
      </c>
      <c r="M412" s="64">
        <v>1.9166666666666667</v>
      </c>
      <c r="N412" s="65" t="str">
        <f t="shared" si="103"/>
        <v>01:10:00</v>
      </c>
      <c r="O412" s="66"/>
      <c r="P412" s="124"/>
      <c r="Q412" s="67" t="s">
        <v>96</v>
      </c>
      <c r="R412" s="68">
        <v>46244.972222222219</v>
      </c>
      <c r="S412" s="68">
        <v>46245.048611111109</v>
      </c>
      <c r="T412" s="69">
        <f t="shared" si="104"/>
        <v>7.6388888890505768E-2</v>
      </c>
      <c r="U412" s="61"/>
      <c r="V412" s="83">
        <v>8.3333333333333329E-2</v>
      </c>
      <c r="W412" s="61">
        <f t="shared" si="105"/>
        <v>-6.9444444428275603E-3</v>
      </c>
      <c r="X412" s="171">
        <v>46243.373611111114</v>
      </c>
      <c r="Y412" s="171">
        <v>46245.241666666669</v>
      </c>
      <c r="Z412" s="168">
        <f t="shared" si="97"/>
        <v>1.8680555555547471</v>
      </c>
      <c r="AA412" s="169">
        <f t="shared" si="98"/>
        <v>1.9166666666666667</v>
      </c>
      <c r="AB412" s="170" t="str">
        <f t="shared" si="99"/>
        <v>01:10:00</v>
      </c>
      <c r="AC412" s="170" t="b">
        <f t="shared" si="100"/>
        <v>1</v>
      </c>
    </row>
    <row r="413" spans="1:29" s="127" customFormat="1" ht="9.75" hidden="1" customHeight="1" x14ac:dyDescent="0.3">
      <c r="A413" s="98">
        <v>46243</v>
      </c>
      <c r="B413" s="48">
        <v>8158252</v>
      </c>
      <c r="C413" s="49" t="s">
        <v>51</v>
      </c>
      <c r="D413" s="49" t="s">
        <v>295</v>
      </c>
      <c r="E413" s="50">
        <v>0.375</v>
      </c>
      <c r="F413" s="49" t="s">
        <v>49</v>
      </c>
      <c r="G413" s="70" t="s">
        <v>13</v>
      </c>
      <c r="H413" s="51">
        <v>46243.382638888892</v>
      </c>
      <c r="I413" s="113" t="str">
        <f t="shared" si="101"/>
        <v>09-08-2026T09:11:00</v>
      </c>
      <c r="J413" s="51">
        <v>46244.018750000003</v>
      </c>
      <c r="K413" s="51"/>
      <c r="L413" s="52">
        <f t="shared" si="102"/>
        <v>0.63611111111094942</v>
      </c>
      <c r="M413" s="53">
        <v>0.58333333333333337</v>
      </c>
      <c r="N413" s="54" t="str">
        <f t="shared" si="103"/>
        <v>-01:16:00</v>
      </c>
      <c r="O413" s="55">
        <v>500</v>
      </c>
      <c r="P413" s="147" t="s">
        <v>455</v>
      </c>
      <c r="Q413" s="56" t="s">
        <v>13</v>
      </c>
      <c r="R413" s="57">
        <v>46243.974305555559</v>
      </c>
      <c r="S413" s="57">
        <v>46244.012499999997</v>
      </c>
      <c r="T413" s="58">
        <f t="shared" si="104"/>
        <v>3.8194444437976927E-2</v>
      </c>
      <c r="U413" s="50"/>
      <c r="V413" s="74">
        <v>8.3333333333333329E-2</v>
      </c>
      <c r="W413" s="50">
        <f t="shared" si="105"/>
        <v>-4.5138888895356402E-2</v>
      </c>
      <c r="X413" s="171">
        <v>46243.382638888892</v>
      </c>
      <c r="Y413" s="171">
        <v>46244.018750000003</v>
      </c>
      <c r="Z413" s="168">
        <f t="shared" si="97"/>
        <v>0.63611111111094942</v>
      </c>
      <c r="AA413" s="169">
        <f t="shared" si="98"/>
        <v>0.58333333333333337</v>
      </c>
      <c r="AB413" s="170" t="str">
        <f t="shared" si="99"/>
        <v>-01:16:00</v>
      </c>
      <c r="AC413" s="170" t="b">
        <f t="shared" si="100"/>
        <v>1</v>
      </c>
    </row>
    <row r="414" spans="1:29" s="127" customFormat="1" ht="9.75" hidden="1" customHeight="1" x14ac:dyDescent="0.3">
      <c r="A414" s="98">
        <v>46243</v>
      </c>
      <c r="B414" s="48">
        <v>8158281</v>
      </c>
      <c r="C414" s="49" t="s">
        <v>50</v>
      </c>
      <c r="D414" s="49" t="s">
        <v>329</v>
      </c>
      <c r="E414" s="50">
        <v>0.41666666666666669</v>
      </c>
      <c r="F414" s="49" t="s">
        <v>31</v>
      </c>
      <c r="G414" s="70" t="s">
        <v>13</v>
      </c>
      <c r="H414" s="51">
        <v>46243.40902777778</v>
      </c>
      <c r="I414" s="113" t="str">
        <f t="shared" si="101"/>
        <v>09-08-2026T09:49:00</v>
      </c>
      <c r="J414" s="51">
        <v>46244.193749999999</v>
      </c>
      <c r="K414" s="51"/>
      <c r="L414" s="52">
        <f t="shared" si="102"/>
        <v>0.78472222221898846</v>
      </c>
      <c r="M414" s="53">
        <v>0.75</v>
      </c>
      <c r="N414" s="54" t="str">
        <f t="shared" si="103"/>
        <v>-00:50:00</v>
      </c>
      <c r="O414" s="55">
        <v>200</v>
      </c>
      <c r="P414" s="147" t="s">
        <v>532</v>
      </c>
      <c r="Q414" s="56" t="s">
        <v>45</v>
      </c>
      <c r="R414" s="57">
        <v>46243.55972222222</v>
      </c>
      <c r="S414" s="57">
        <v>46243.677777777775</v>
      </c>
      <c r="T414" s="47">
        <f t="shared" si="104"/>
        <v>0.11805555555474712</v>
      </c>
      <c r="U414" s="50"/>
      <c r="V414" s="74">
        <v>8.3333333333333329E-2</v>
      </c>
      <c r="W414" s="50">
        <f t="shared" si="105"/>
        <v>3.4722222221413787E-2</v>
      </c>
      <c r="X414" s="171">
        <v>46243.40902777778</v>
      </c>
      <c r="Y414" s="171">
        <v>46244.193749999999</v>
      </c>
      <c r="Z414" s="168">
        <f t="shared" si="97"/>
        <v>0.78472222221898846</v>
      </c>
      <c r="AA414" s="169">
        <f t="shared" si="98"/>
        <v>0.75</v>
      </c>
      <c r="AB414" s="170" t="str">
        <f t="shared" si="99"/>
        <v>-00:50:00</v>
      </c>
      <c r="AC414" s="170" t="b">
        <f t="shared" si="100"/>
        <v>1</v>
      </c>
    </row>
    <row r="415" spans="1:29" s="128" customFormat="1" ht="9.75" hidden="1" customHeight="1" x14ac:dyDescent="0.3">
      <c r="A415" s="99">
        <v>46243</v>
      </c>
      <c r="B415" s="59">
        <v>8158445</v>
      </c>
      <c r="C415" s="60" t="s">
        <v>48</v>
      </c>
      <c r="D415" s="60" t="s">
        <v>183</v>
      </c>
      <c r="E415" s="61">
        <v>0.41666666666666669</v>
      </c>
      <c r="F415" s="60" t="s">
        <v>13</v>
      </c>
      <c r="G415" s="71" t="s">
        <v>49</v>
      </c>
      <c r="H415" s="62">
        <v>0.48125000000000001</v>
      </c>
      <c r="I415" s="113" t="str">
        <f t="shared" si="101"/>
        <v>09-08-2026T11:33:00</v>
      </c>
      <c r="J415" s="62">
        <v>0.97083333333333333</v>
      </c>
      <c r="K415" s="62"/>
      <c r="L415" s="63">
        <f t="shared" si="102"/>
        <v>0.48958333333333331</v>
      </c>
      <c r="M415" s="64">
        <v>0.5</v>
      </c>
      <c r="N415" s="65" t="str">
        <f t="shared" si="103"/>
        <v>00:15:00</v>
      </c>
      <c r="O415" s="66"/>
      <c r="P415" s="124"/>
      <c r="Q415" s="67"/>
      <c r="R415" s="68"/>
      <c r="S415" s="68"/>
      <c r="T415" s="69">
        <f t="shared" si="104"/>
        <v>0</v>
      </c>
      <c r="U415" s="61"/>
      <c r="V415" s="83">
        <v>0</v>
      </c>
      <c r="W415" s="61">
        <f t="shared" si="105"/>
        <v>0</v>
      </c>
      <c r="X415" s="171">
        <v>46243.481249999997</v>
      </c>
      <c r="Y415" s="171">
        <v>46243.970833333333</v>
      </c>
      <c r="Z415" s="168">
        <f t="shared" si="97"/>
        <v>0.48958333333575865</v>
      </c>
      <c r="AA415" s="169">
        <f t="shared" si="98"/>
        <v>0.5</v>
      </c>
      <c r="AB415" s="170" t="str">
        <f t="shared" si="99"/>
        <v>00:15:00</v>
      </c>
      <c r="AC415" s="170" t="b">
        <f t="shared" si="100"/>
        <v>1</v>
      </c>
    </row>
    <row r="416" spans="1:29" s="128" customFormat="1" ht="9.75" customHeight="1" x14ac:dyDescent="0.3">
      <c r="A416" s="99">
        <v>46243</v>
      </c>
      <c r="B416" s="59">
        <v>8157299</v>
      </c>
      <c r="C416" s="60" t="s">
        <v>90</v>
      </c>
      <c r="D416" s="60" t="s">
        <v>290</v>
      </c>
      <c r="E416" s="61">
        <v>0.99930555555555556</v>
      </c>
      <c r="F416" s="60" t="s">
        <v>13</v>
      </c>
      <c r="G416" s="71" t="s">
        <v>15</v>
      </c>
      <c r="H416" s="62">
        <v>1.3888888888888889E-3</v>
      </c>
      <c r="I416" s="113" t="str">
        <f t="shared" si="101"/>
        <v>09-08-2026T00:02:00</v>
      </c>
      <c r="J416" s="62">
        <v>0.26250000000000001</v>
      </c>
      <c r="K416" s="113" t="str">
        <f t="shared" ref="K416:K417" si="106">TEXT(A416,"dd-mm-yyyy")&amp;"T"&amp;TEXT(J416,"hh:mm:ss")</f>
        <v>09-08-2026T06:18:00</v>
      </c>
      <c r="L416" s="63">
        <f t="shared" si="102"/>
        <v>0.26111111111111113</v>
      </c>
      <c r="M416" s="64">
        <v>0.27083333333333331</v>
      </c>
      <c r="N416" s="65" t="str">
        <f t="shared" si="103"/>
        <v>00:14:00</v>
      </c>
      <c r="O416" s="66"/>
      <c r="P416" s="124"/>
      <c r="Q416" s="67" t="s">
        <v>13</v>
      </c>
      <c r="R416" s="68">
        <v>46243.009722222225</v>
      </c>
      <c r="S416" s="68">
        <v>46243.054166666669</v>
      </c>
      <c r="T416" s="69">
        <f t="shared" si="104"/>
        <v>4.4444444443797693E-2</v>
      </c>
      <c r="U416" s="61" t="s">
        <v>234</v>
      </c>
      <c r="V416" s="83">
        <v>4.1666666666666664E-2</v>
      </c>
      <c r="W416" s="61">
        <f t="shared" si="105"/>
        <v>2.7777777771310283E-3</v>
      </c>
      <c r="X416" s="171">
        <v>46243.001388888886</v>
      </c>
      <c r="Y416" s="171">
        <v>46243.262499999997</v>
      </c>
      <c r="Z416" s="168">
        <f t="shared" si="97"/>
        <v>0.26111111111094942</v>
      </c>
      <c r="AA416" s="169">
        <f t="shared" si="98"/>
        <v>0.27083333333333331</v>
      </c>
      <c r="AB416" s="170" t="str">
        <f t="shared" si="99"/>
        <v>00:14:00</v>
      </c>
      <c r="AC416" s="170" t="b">
        <f t="shared" si="100"/>
        <v>1</v>
      </c>
    </row>
    <row r="417" spans="1:29" s="127" customFormat="1" ht="9.75" hidden="1" customHeight="1" x14ac:dyDescent="0.3">
      <c r="A417" s="98">
        <v>46243</v>
      </c>
      <c r="B417" s="48">
        <v>8158320</v>
      </c>
      <c r="C417" s="49" t="s">
        <v>90</v>
      </c>
      <c r="D417" s="49" t="s">
        <v>290</v>
      </c>
      <c r="E417" s="50">
        <v>0.4375</v>
      </c>
      <c r="F417" s="49" t="s">
        <v>15</v>
      </c>
      <c r="G417" s="70" t="s">
        <v>13</v>
      </c>
      <c r="H417" s="51">
        <v>0.43888888888888888</v>
      </c>
      <c r="I417" s="113" t="str">
        <f t="shared" si="101"/>
        <v>09-08-2026T10:32:00</v>
      </c>
      <c r="J417" s="51">
        <v>0.68125000000000002</v>
      </c>
      <c r="K417" s="113" t="str">
        <f t="shared" si="106"/>
        <v>09-08-2026T16:21:00</v>
      </c>
      <c r="L417" s="52">
        <f t="shared" si="102"/>
        <v>0.24236111111111114</v>
      </c>
      <c r="M417" s="53">
        <v>0.20833333333333334</v>
      </c>
      <c r="N417" s="54" t="str">
        <f t="shared" si="103"/>
        <v>-00:49:00</v>
      </c>
      <c r="O417" s="55">
        <v>200</v>
      </c>
      <c r="P417" s="147" t="s">
        <v>533</v>
      </c>
      <c r="Q417" s="56"/>
      <c r="R417" s="57"/>
      <c r="S417" s="57"/>
      <c r="T417" s="58">
        <f t="shared" si="104"/>
        <v>0</v>
      </c>
      <c r="U417" s="50"/>
      <c r="V417" s="74">
        <v>0</v>
      </c>
      <c r="W417" s="50">
        <f t="shared" si="105"/>
        <v>0</v>
      </c>
      <c r="X417" s="171">
        <v>46243.438888888886</v>
      </c>
      <c r="Y417" s="171">
        <v>46243.681250000001</v>
      </c>
      <c r="Z417" s="168">
        <f t="shared" si="97"/>
        <v>0.242361111115315</v>
      </c>
      <c r="AA417" s="169">
        <f t="shared" si="98"/>
        <v>0.20833333333333334</v>
      </c>
      <c r="AB417" s="170" t="str">
        <f t="shared" si="99"/>
        <v>-00:49:00</v>
      </c>
      <c r="AC417" s="170" t="b">
        <f t="shared" si="100"/>
        <v>1</v>
      </c>
    </row>
    <row r="418" spans="1:29" s="128" customFormat="1" ht="9.75" hidden="1" customHeight="1" x14ac:dyDescent="0.3">
      <c r="A418" s="99">
        <v>46243</v>
      </c>
      <c r="B418" s="59">
        <v>8158420</v>
      </c>
      <c r="C418" s="60" t="s">
        <v>54</v>
      </c>
      <c r="D418" s="60" t="s">
        <v>288</v>
      </c>
      <c r="E418" s="61">
        <v>0.45833333333333331</v>
      </c>
      <c r="F418" s="60" t="s">
        <v>13</v>
      </c>
      <c r="G418" s="71" t="s">
        <v>24</v>
      </c>
      <c r="H418" s="62">
        <v>0.47222222222222221</v>
      </c>
      <c r="I418" s="113" t="str">
        <f t="shared" si="101"/>
        <v>09-08-2026T11:20:00</v>
      </c>
      <c r="J418" s="62">
        <v>0.54583333333333328</v>
      </c>
      <c r="K418" s="62"/>
      <c r="L418" s="63">
        <f t="shared" si="102"/>
        <v>7.3611111111111072E-2</v>
      </c>
      <c r="M418" s="64">
        <v>8.3333333333333329E-2</v>
      </c>
      <c r="N418" s="65" t="str">
        <f t="shared" si="103"/>
        <v>00:14:00</v>
      </c>
      <c r="O418" s="66"/>
      <c r="P418" s="124"/>
      <c r="Q418" s="67"/>
      <c r="R418" s="68"/>
      <c r="S418" s="68"/>
      <c r="T418" s="69">
        <f t="shared" si="104"/>
        <v>0</v>
      </c>
      <c r="U418" s="61"/>
      <c r="V418" s="83">
        <v>0</v>
      </c>
      <c r="W418" s="61">
        <f t="shared" si="105"/>
        <v>0</v>
      </c>
      <c r="X418" s="171">
        <v>46243.472222222219</v>
      </c>
      <c r="Y418" s="171">
        <v>46243.54583333333</v>
      </c>
      <c r="Z418" s="168">
        <f t="shared" si="97"/>
        <v>7.3611111110949423E-2</v>
      </c>
      <c r="AA418" s="169">
        <f t="shared" si="98"/>
        <v>8.3333333333333329E-2</v>
      </c>
      <c r="AB418" s="170" t="str">
        <f t="shared" si="99"/>
        <v>00:14:00</v>
      </c>
      <c r="AC418" s="170" t="b">
        <f t="shared" si="100"/>
        <v>1</v>
      </c>
    </row>
    <row r="419" spans="1:29" s="128" customFormat="1" ht="9.75" hidden="1" customHeight="1" x14ac:dyDescent="0.3">
      <c r="A419" s="99">
        <v>46243</v>
      </c>
      <c r="B419" s="59">
        <v>8157325</v>
      </c>
      <c r="C419" s="60" t="s">
        <v>20</v>
      </c>
      <c r="D419" s="60" t="s">
        <v>232</v>
      </c>
      <c r="E419" s="61">
        <v>0.95833333333333337</v>
      </c>
      <c r="F419" s="60" t="s">
        <v>21</v>
      </c>
      <c r="G419" s="71" t="s">
        <v>13</v>
      </c>
      <c r="H419" s="62">
        <v>2.4305555555555556E-2</v>
      </c>
      <c r="I419" s="113" t="str">
        <f t="shared" si="101"/>
        <v>09-08-2026T00:35:00</v>
      </c>
      <c r="J419" s="62">
        <v>0.2722222222222222</v>
      </c>
      <c r="K419" s="62"/>
      <c r="L419" s="63">
        <f t="shared" si="102"/>
        <v>0.24791666666666665</v>
      </c>
      <c r="M419" s="64">
        <v>0.25</v>
      </c>
      <c r="N419" s="65" t="str">
        <f t="shared" si="103"/>
        <v>00:03:00</v>
      </c>
      <c r="O419" s="66"/>
      <c r="P419" s="124"/>
      <c r="Q419" s="67"/>
      <c r="R419" s="68"/>
      <c r="S419" s="68"/>
      <c r="T419" s="69">
        <f t="shared" si="104"/>
        <v>0</v>
      </c>
      <c r="U419" s="61"/>
      <c r="V419" s="83">
        <v>0</v>
      </c>
      <c r="W419" s="61">
        <f t="shared" si="105"/>
        <v>0</v>
      </c>
      <c r="X419" s="171">
        <v>46243.024305555555</v>
      </c>
      <c r="Y419" s="171">
        <v>46243.272222222222</v>
      </c>
      <c r="Z419" s="168">
        <f t="shared" si="97"/>
        <v>0.24791666666715173</v>
      </c>
      <c r="AA419" s="169">
        <f t="shared" si="98"/>
        <v>0.25</v>
      </c>
      <c r="AB419" s="170" t="str">
        <f t="shared" si="99"/>
        <v>00:03:00</v>
      </c>
      <c r="AC419" s="170" t="b">
        <f t="shared" si="100"/>
        <v>1</v>
      </c>
    </row>
    <row r="420" spans="1:29" s="127" customFormat="1" ht="9.75" hidden="1" customHeight="1" x14ac:dyDescent="0.3">
      <c r="A420" s="98">
        <v>46243</v>
      </c>
      <c r="B420" s="48">
        <v>8158835</v>
      </c>
      <c r="C420" s="49" t="s">
        <v>20</v>
      </c>
      <c r="D420" s="49" t="s">
        <v>232</v>
      </c>
      <c r="E420" s="50">
        <v>0.5</v>
      </c>
      <c r="F420" s="49" t="s">
        <v>13</v>
      </c>
      <c r="G420" s="70" t="s">
        <v>21</v>
      </c>
      <c r="H420" s="51">
        <v>46243.623611111114</v>
      </c>
      <c r="I420" s="113" t="str">
        <f t="shared" si="101"/>
        <v>09-08-2026T14:58:00</v>
      </c>
      <c r="J420" s="51">
        <v>46244.25</v>
      </c>
      <c r="K420" s="51"/>
      <c r="L420" s="52">
        <f t="shared" ref="L420:L451" si="107">J420-H420</f>
        <v>0.62638888888614019</v>
      </c>
      <c r="M420" s="53">
        <v>0.25</v>
      </c>
      <c r="N420" s="54" t="str">
        <f t="shared" ref="N420:N451" si="108">IF(M420-L420&gt;0,TEXT(M420-L420,"HH:MM:SS"),TEXT(ABS(M420-L420),"-HH:MM:SS"))</f>
        <v>-09:02:00</v>
      </c>
      <c r="O420" s="55">
        <v>2500</v>
      </c>
      <c r="P420" s="147" t="s">
        <v>523</v>
      </c>
      <c r="Q420" s="56"/>
      <c r="R420" s="57"/>
      <c r="S420" s="57"/>
      <c r="T420" s="58">
        <f t="shared" ref="T420:T451" si="109">S420-R420</f>
        <v>0</v>
      </c>
      <c r="U420" s="50"/>
      <c r="V420" s="74">
        <v>0</v>
      </c>
      <c r="W420" s="50">
        <f t="shared" ref="W420:W451" si="110">T420-V420</f>
        <v>0</v>
      </c>
      <c r="X420" s="171">
        <v>46243.623611111114</v>
      </c>
      <c r="Y420" s="171">
        <v>46244.25</v>
      </c>
      <c r="Z420" s="168">
        <f t="shared" si="97"/>
        <v>0.62638888888614019</v>
      </c>
      <c r="AA420" s="169">
        <f t="shared" si="98"/>
        <v>0.25</v>
      </c>
      <c r="AB420" s="170" t="str">
        <f t="shared" si="99"/>
        <v>-09:02:00</v>
      </c>
      <c r="AC420" s="170" t="b">
        <f t="shared" si="100"/>
        <v>1</v>
      </c>
    </row>
    <row r="421" spans="1:29" s="127" customFormat="1" ht="9.75" hidden="1" customHeight="1" x14ac:dyDescent="0.3">
      <c r="A421" s="98">
        <v>46243</v>
      </c>
      <c r="B421" s="48">
        <v>8158570</v>
      </c>
      <c r="C421" s="49" t="s">
        <v>39</v>
      </c>
      <c r="D421" s="49" t="s">
        <v>392</v>
      </c>
      <c r="E421" s="50">
        <v>0.54166666666666663</v>
      </c>
      <c r="F421" s="49" t="s">
        <v>103</v>
      </c>
      <c r="G421" s="70" t="s">
        <v>13</v>
      </c>
      <c r="H421" s="51">
        <v>46243.527777777781</v>
      </c>
      <c r="I421" s="113" t="str">
        <f t="shared" si="101"/>
        <v>09-08-2026T12:40:00</v>
      </c>
      <c r="J421" s="51">
        <v>46244.363194444442</v>
      </c>
      <c r="K421" s="51"/>
      <c r="L421" s="52">
        <f t="shared" si="107"/>
        <v>0.83541666666133096</v>
      </c>
      <c r="M421" s="53">
        <v>0.70833333333333337</v>
      </c>
      <c r="N421" s="54" t="str">
        <f t="shared" si="108"/>
        <v>-03:03:00</v>
      </c>
      <c r="O421" s="55">
        <v>750</v>
      </c>
      <c r="P421" s="147" t="s">
        <v>524</v>
      </c>
      <c r="Q421" s="56" t="s">
        <v>13</v>
      </c>
      <c r="R421" s="57">
        <v>46244.319444444445</v>
      </c>
      <c r="S421" s="57">
        <v>46244.357638888891</v>
      </c>
      <c r="T421" s="58">
        <f t="shared" si="109"/>
        <v>3.8194444445252884E-2</v>
      </c>
      <c r="U421" s="50"/>
      <c r="V421" s="74">
        <v>8.3333333333333329E-2</v>
      </c>
      <c r="W421" s="50">
        <f t="shared" si="110"/>
        <v>-4.5138888888080445E-2</v>
      </c>
      <c r="X421" s="171">
        <v>46243.527777777781</v>
      </c>
      <c r="Y421" s="171">
        <v>46244.363194444442</v>
      </c>
      <c r="Z421" s="168">
        <f t="shared" si="97"/>
        <v>0.83541666666133096</v>
      </c>
      <c r="AA421" s="169">
        <f t="shared" si="98"/>
        <v>0.70833333333333337</v>
      </c>
      <c r="AB421" s="170" t="str">
        <f t="shared" si="99"/>
        <v>-03:03:00</v>
      </c>
      <c r="AC421" s="170" t="b">
        <f t="shared" si="100"/>
        <v>1</v>
      </c>
    </row>
    <row r="422" spans="1:29" s="128" customFormat="1" ht="9.75" hidden="1" customHeight="1" x14ac:dyDescent="0.3">
      <c r="A422" s="99">
        <v>46243</v>
      </c>
      <c r="B422" s="59">
        <v>8158656</v>
      </c>
      <c r="C422" s="60" t="s">
        <v>52</v>
      </c>
      <c r="D422" s="60" t="s">
        <v>616</v>
      </c>
      <c r="E422" s="61">
        <v>0.54166666666666663</v>
      </c>
      <c r="F422" s="60" t="s">
        <v>13</v>
      </c>
      <c r="G422" s="71" t="s">
        <v>15</v>
      </c>
      <c r="H422" s="62">
        <v>0.55486111111111114</v>
      </c>
      <c r="I422" s="113" t="str">
        <f t="shared" si="101"/>
        <v>09-08-2026T13:19:00</v>
      </c>
      <c r="J422" s="62">
        <v>0.76180555555555551</v>
      </c>
      <c r="K422" s="62"/>
      <c r="L422" s="63">
        <f t="shared" si="107"/>
        <v>0.20694444444444438</v>
      </c>
      <c r="M422" s="64">
        <v>0.20833333333333334</v>
      </c>
      <c r="N422" s="65" t="str">
        <f t="shared" si="108"/>
        <v>00:02:00</v>
      </c>
      <c r="O422" s="66"/>
      <c r="P422" s="124"/>
      <c r="Q422" s="67"/>
      <c r="R422" s="68"/>
      <c r="S422" s="68"/>
      <c r="T422" s="69">
        <f t="shared" si="109"/>
        <v>0</v>
      </c>
      <c r="U422" s="61"/>
      <c r="V422" s="83">
        <v>0</v>
      </c>
      <c r="W422" s="61">
        <f t="shared" si="110"/>
        <v>0</v>
      </c>
      <c r="X422" s="171">
        <v>46243.554861111108</v>
      </c>
      <c r="Y422" s="171">
        <v>46243.761805555558</v>
      </c>
      <c r="Z422" s="168">
        <f t="shared" si="97"/>
        <v>0.20694444444961846</v>
      </c>
      <c r="AA422" s="169">
        <f t="shared" si="98"/>
        <v>0.20833333333333334</v>
      </c>
      <c r="AB422" s="170" t="str">
        <f t="shared" si="99"/>
        <v>00:02:00</v>
      </c>
      <c r="AC422" s="170" t="b">
        <f t="shared" si="100"/>
        <v>1</v>
      </c>
    </row>
    <row r="423" spans="1:29" s="127" customFormat="1" ht="9.75" hidden="1" customHeight="1" x14ac:dyDescent="0.3">
      <c r="A423" s="98">
        <v>46243</v>
      </c>
      <c r="B423" s="48">
        <v>8158910</v>
      </c>
      <c r="C423" s="49" t="s">
        <v>53</v>
      </c>
      <c r="D423" s="49" t="s">
        <v>298</v>
      </c>
      <c r="E423" s="50">
        <v>0.64583333333333337</v>
      </c>
      <c r="F423" s="49" t="s">
        <v>19</v>
      </c>
      <c r="G423" s="70" t="s">
        <v>13</v>
      </c>
      <c r="H423" s="51">
        <v>46243.650694444441</v>
      </c>
      <c r="I423" s="113" t="str">
        <f t="shared" si="101"/>
        <v>09-08-2026T15:37:00</v>
      </c>
      <c r="J423" s="51">
        <v>46244.126388888886</v>
      </c>
      <c r="K423" s="51"/>
      <c r="L423" s="52">
        <f t="shared" si="107"/>
        <v>0.47569444444525288</v>
      </c>
      <c r="M423" s="53">
        <v>0.4375</v>
      </c>
      <c r="N423" s="54" t="str">
        <f t="shared" si="108"/>
        <v>-00:55:00</v>
      </c>
      <c r="O423" s="55">
        <v>200</v>
      </c>
      <c r="P423" s="147" t="s">
        <v>534</v>
      </c>
      <c r="Q423" s="56" t="s">
        <v>229</v>
      </c>
      <c r="R423" s="57">
        <v>46243.78125</v>
      </c>
      <c r="S423" s="57">
        <v>46243.854166666664</v>
      </c>
      <c r="T423" s="58">
        <f t="shared" si="109"/>
        <v>7.2916666664241347E-2</v>
      </c>
      <c r="U423" s="50"/>
      <c r="V423" s="74">
        <v>8.3333333333333329E-2</v>
      </c>
      <c r="W423" s="50">
        <f t="shared" si="110"/>
        <v>-1.0416666669091981E-2</v>
      </c>
      <c r="X423" s="171">
        <v>46243.650694444441</v>
      </c>
      <c r="Y423" s="171">
        <v>46244.126388888886</v>
      </c>
      <c r="Z423" s="168">
        <f t="shared" si="97"/>
        <v>0.47569444444525288</v>
      </c>
      <c r="AA423" s="169">
        <f t="shared" si="98"/>
        <v>0.4375</v>
      </c>
      <c r="AB423" s="170" t="str">
        <f t="shared" si="99"/>
        <v>-00:55:00</v>
      </c>
      <c r="AC423" s="170" t="b">
        <f t="shared" si="100"/>
        <v>1</v>
      </c>
    </row>
    <row r="424" spans="1:29" s="128" customFormat="1" ht="9.75" hidden="1" customHeight="1" x14ac:dyDescent="0.3">
      <c r="A424" s="99">
        <v>46243</v>
      </c>
      <c r="B424" s="59">
        <v>8159086</v>
      </c>
      <c r="C424" s="60" t="s">
        <v>57</v>
      </c>
      <c r="D424" s="60" t="s">
        <v>370</v>
      </c>
      <c r="E424" s="61">
        <v>0.70833333333333337</v>
      </c>
      <c r="F424" s="60" t="s">
        <v>13</v>
      </c>
      <c r="G424" s="71" t="s">
        <v>24</v>
      </c>
      <c r="H424" s="62">
        <v>0.70972222222222225</v>
      </c>
      <c r="I424" s="113" t="str">
        <f t="shared" si="101"/>
        <v>09-08-2026T17:02:00</v>
      </c>
      <c r="J424" s="62">
        <v>0.78125</v>
      </c>
      <c r="K424" s="62"/>
      <c r="L424" s="63">
        <f t="shared" si="107"/>
        <v>7.1527777777777746E-2</v>
      </c>
      <c r="M424" s="64">
        <v>8.3333333333333329E-2</v>
      </c>
      <c r="N424" s="65" t="str">
        <f t="shared" si="108"/>
        <v>00:17:00</v>
      </c>
      <c r="O424" s="66"/>
      <c r="P424" s="124"/>
      <c r="Q424" s="67"/>
      <c r="R424" s="68"/>
      <c r="S424" s="68"/>
      <c r="T424" s="69">
        <f t="shared" si="109"/>
        <v>0</v>
      </c>
      <c r="U424" s="61"/>
      <c r="V424" s="83">
        <v>0</v>
      </c>
      <c r="W424" s="61">
        <f t="shared" si="110"/>
        <v>0</v>
      </c>
      <c r="X424" s="171">
        <v>46243.709722222222</v>
      </c>
      <c r="Y424" s="171">
        <v>46243.78125</v>
      </c>
      <c r="Z424" s="168">
        <f t="shared" si="97"/>
        <v>7.1527777778101154E-2</v>
      </c>
      <c r="AA424" s="169">
        <f t="shared" si="98"/>
        <v>8.3333333333333329E-2</v>
      </c>
      <c r="AB424" s="170" t="str">
        <f t="shared" si="99"/>
        <v>00:17:00</v>
      </c>
      <c r="AC424" s="170" t="b">
        <f t="shared" si="100"/>
        <v>1</v>
      </c>
    </row>
    <row r="425" spans="1:29" s="128" customFormat="1" ht="9.75" hidden="1" customHeight="1" x14ac:dyDescent="0.3">
      <c r="A425" s="99">
        <v>46243</v>
      </c>
      <c r="B425" s="59">
        <v>8158748</v>
      </c>
      <c r="C425" s="60" t="s">
        <v>87</v>
      </c>
      <c r="D425" s="60" t="s">
        <v>367</v>
      </c>
      <c r="E425" s="61">
        <v>0.70833333333333337</v>
      </c>
      <c r="F425" s="60" t="s">
        <v>85</v>
      </c>
      <c r="G425" s="71" t="s">
        <v>13</v>
      </c>
      <c r="H425" s="62">
        <v>0.58819444444444446</v>
      </c>
      <c r="I425" s="113" t="str">
        <f t="shared" si="101"/>
        <v>09-08-2026T14:07:00</v>
      </c>
      <c r="J425" s="62">
        <v>0.90555555555555556</v>
      </c>
      <c r="K425" s="62"/>
      <c r="L425" s="63">
        <f t="shared" si="107"/>
        <v>0.31736111111111109</v>
      </c>
      <c r="M425" s="64">
        <v>0.33333333333333331</v>
      </c>
      <c r="N425" s="65" t="str">
        <f t="shared" si="108"/>
        <v>00:23:00</v>
      </c>
      <c r="O425" s="66"/>
      <c r="P425" s="124"/>
      <c r="Q425" s="67" t="s">
        <v>174</v>
      </c>
      <c r="R425" s="68">
        <v>46243.663194444445</v>
      </c>
      <c r="S425" s="68">
        <v>46243.666666666664</v>
      </c>
      <c r="T425" s="69">
        <f t="shared" si="109"/>
        <v>3.4722222189884633E-3</v>
      </c>
      <c r="U425" s="61"/>
      <c r="V425" s="83">
        <v>4.1666666666666664E-2</v>
      </c>
      <c r="W425" s="61">
        <f t="shared" si="110"/>
        <v>-3.8194444447678201E-2</v>
      </c>
      <c r="X425" s="171">
        <v>46243.588194444441</v>
      </c>
      <c r="Y425" s="171">
        <v>46243.905555555553</v>
      </c>
      <c r="Z425" s="168">
        <f t="shared" si="97"/>
        <v>0.31736111111240461</v>
      </c>
      <c r="AA425" s="169">
        <f t="shared" si="98"/>
        <v>0.33333333333333331</v>
      </c>
      <c r="AB425" s="170" t="str">
        <f t="shared" si="99"/>
        <v>00:23:00</v>
      </c>
      <c r="AC425" s="170" t="b">
        <f t="shared" si="100"/>
        <v>1</v>
      </c>
    </row>
    <row r="426" spans="1:29" s="128" customFormat="1" ht="9.75" hidden="1" customHeight="1" x14ac:dyDescent="0.3">
      <c r="A426" s="99">
        <v>46243</v>
      </c>
      <c r="B426" s="59">
        <v>8159097</v>
      </c>
      <c r="C426" s="60" t="s">
        <v>27</v>
      </c>
      <c r="D426" s="60" t="s">
        <v>378</v>
      </c>
      <c r="E426" s="61">
        <v>0.70833333333333337</v>
      </c>
      <c r="F426" s="60" t="s">
        <v>28</v>
      </c>
      <c r="G426" s="71" t="s">
        <v>13</v>
      </c>
      <c r="H426" s="62">
        <v>0.71597222222222223</v>
      </c>
      <c r="I426" s="113" t="str">
        <f t="shared" si="101"/>
        <v>09-08-2026T17:11:00</v>
      </c>
      <c r="J426" s="62">
        <v>0.88124999999999998</v>
      </c>
      <c r="K426" s="62"/>
      <c r="L426" s="63">
        <f t="shared" si="107"/>
        <v>0.16527777777777775</v>
      </c>
      <c r="M426" s="64">
        <v>0.16666666666666666</v>
      </c>
      <c r="N426" s="65" t="str">
        <f t="shared" si="108"/>
        <v>00:02:00</v>
      </c>
      <c r="O426" s="66"/>
      <c r="P426" s="124"/>
      <c r="Q426" s="67"/>
      <c r="R426" s="68"/>
      <c r="S426" s="68"/>
      <c r="T426" s="69">
        <f t="shared" si="109"/>
        <v>0</v>
      </c>
      <c r="U426" s="61"/>
      <c r="V426" s="83">
        <v>0</v>
      </c>
      <c r="W426" s="61">
        <f t="shared" si="110"/>
        <v>0</v>
      </c>
      <c r="X426" s="171">
        <v>46243.71597222222</v>
      </c>
      <c r="Y426" s="171">
        <v>46243.881249999999</v>
      </c>
      <c r="Z426" s="168">
        <f t="shared" si="97"/>
        <v>0.16527777777810115</v>
      </c>
      <c r="AA426" s="169">
        <f t="shared" si="98"/>
        <v>0.16666666666666666</v>
      </c>
      <c r="AB426" s="170" t="str">
        <f t="shared" si="99"/>
        <v>00:02:00</v>
      </c>
      <c r="AC426" s="170" t="b">
        <f t="shared" si="100"/>
        <v>1</v>
      </c>
    </row>
    <row r="427" spans="1:29" s="128" customFormat="1" ht="9.75" hidden="1" customHeight="1" x14ac:dyDescent="0.3">
      <c r="A427" s="99">
        <v>46243</v>
      </c>
      <c r="B427" s="59">
        <v>8159157</v>
      </c>
      <c r="C427" s="60" t="s">
        <v>89</v>
      </c>
      <c r="D427" s="60" t="s">
        <v>294</v>
      </c>
      <c r="E427" s="61">
        <v>0.75</v>
      </c>
      <c r="F427" s="60" t="s">
        <v>35</v>
      </c>
      <c r="G427" s="71" t="s">
        <v>13</v>
      </c>
      <c r="H427" s="62">
        <v>0.73888888888888893</v>
      </c>
      <c r="I427" s="113" t="str">
        <f t="shared" si="101"/>
        <v>09-08-2026T17:44:00</v>
      </c>
      <c r="J427" s="62">
        <v>0.76944444444444449</v>
      </c>
      <c r="K427" s="62"/>
      <c r="L427" s="63">
        <f t="shared" si="107"/>
        <v>3.0555555555555558E-2</v>
      </c>
      <c r="M427" s="64">
        <v>4.1666666666666664E-2</v>
      </c>
      <c r="N427" s="65" t="str">
        <f t="shared" si="108"/>
        <v>00:16:00</v>
      </c>
      <c r="O427" s="66"/>
      <c r="P427" s="124"/>
      <c r="Q427" s="67"/>
      <c r="R427" s="68"/>
      <c r="S427" s="68"/>
      <c r="T427" s="69">
        <f t="shared" si="109"/>
        <v>0</v>
      </c>
      <c r="U427" s="61"/>
      <c r="V427" s="83">
        <v>0</v>
      </c>
      <c r="W427" s="61">
        <f t="shared" si="110"/>
        <v>0</v>
      </c>
      <c r="X427" s="171">
        <v>46243.738888888889</v>
      </c>
      <c r="Y427" s="171">
        <v>46243.769444444442</v>
      </c>
      <c r="Z427" s="168">
        <f t="shared" si="97"/>
        <v>3.0555555553291924E-2</v>
      </c>
      <c r="AA427" s="169">
        <f t="shared" si="98"/>
        <v>4.1666666666666664E-2</v>
      </c>
      <c r="AB427" s="170" t="str">
        <f t="shared" si="99"/>
        <v>00:16:00</v>
      </c>
      <c r="AC427" s="170" t="b">
        <f t="shared" si="100"/>
        <v>1</v>
      </c>
    </row>
    <row r="428" spans="1:29" s="128" customFormat="1" ht="9.75" hidden="1" customHeight="1" x14ac:dyDescent="0.3">
      <c r="A428" s="99">
        <v>46243</v>
      </c>
      <c r="B428" s="59">
        <v>8159527</v>
      </c>
      <c r="C428" s="60" t="s">
        <v>56</v>
      </c>
      <c r="D428" s="60" t="s">
        <v>472</v>
      </c>
      <c r="E428" s="61">
        <v>0.875</v>
      </c>
      <c r="F428" s="60" t="s">
        <v>13</v>
      </c>
      <c r="G428" s="71" t="s">
        <v>15</v>
      </c>
      <c r="H428" s="62">
        <v>46243.876388888886</v>
      </c>
      <c r="I428" s="113" t="str">
        <f t="shared" si="101"/>
        <v>09-08-2026T21:02:00</v>
      </c>
      <c r="J428" s="62">
        <v>46244.072916666664</v>
      </c>
      <c r="K428" s="62"/>
      <c r="L428" s="63">
        <f t="shared" si="107"/>
        <v>0.19652777777810115</v>
      </c>
      <c r="M428" s="64">
        <v>0.20833333333333334</v>
      </c>
      <c r="N428" s="65" t="str">
        <f t="shared" si="108"/>
        <v>00:17:00</v>
      </c>
      <c r="O428" s="66"/>
      <c r="P428" s="124"/>
      <c r="Q428" s="67"/>
      <c r="R428" s="68"/>
      <c r="S428" s="68"/>
      <c r="T428" s="69">
        <f t="shared" si="109"/>
        <v>0</v>
      </c>
      <c r="U428" s="61"/>
      <c r="V428" s="83">
        <v>0</v>
      </c>
      <c r="W428" s="61">
        <f t="shared" si="110"/>
        <v>0</v>
      </c>
      <c r="X428" s="171">
        <v>46243.876388888886</v>
      </c>
      <c r="Y428" s="171">
        <v>46244.072916666664</v>
      </c>
      <c r="Z428" s="168">
        <f t="shared" si="97"/>
        <v>0.19652777777810115</v>
      </c>
      <c r="AA428" s="169">
        <f t="shared" si="98"/>
        <v>0.20833333333333334</v>
      </c>
      <c r="AB428" s="170" t="str">
        <f t="shared" si="99"/>
        <v>00:17:00</v>
      </c>
      <c r="AC428" s="170" t="b">
        <f t="shared" si="100"/>
        <v>1</v>
      </c>
    </row>
    <row r="429" spans="1:29" s="128" customFormat="1" ht="9.75" hidden="1" customHeight="1" x14ac:dyDescent="0.3">
      <c r="A429" s="99">
        <v>46243</v>
      </c>
      <c r="B429" s="59">
        <v>8159466</v>
      </c>
      <c r="C429" s="60" t="s">
        <v>102</v>
      </c>
      <c r="D429" s="60" t="s">
        <v>384</v>
      </c>
      <c r="E429" s="61">
        <v>0.875</v>
      </c>
      <c r="F429" s="60" t="s">
        <v>13</v>
      </c>
      <c r="G429" s="71" t="s">
        <v>23</v>
      </c>
      <c r="H429" s="62">
        <v>46243.85833333333</v>
      </c>
      <c r="I429" s="113" t="str">
        <f t="shared" si="101"/>
        <v>09-08-2026T20:36:00</v>
      </c>
      <c r="J429" s="62">
        <v>46244.961805555555</v>
      </c>
      <c r="K429" s="62"/>
      <c r="L429" s="63">
        <f t="shared" si="107"/>
        <v>1.1034722222248092</v>
      </c>
      <c r="M429" s="64">
        <v>1</v>
      </c>
      <c r="N429" s="65" t="str">
        <f t="shared" si="108"/>
        <v>-02:29:00</v>
      </c>
      <c r="O429" s="66"/>
      <c r="P429" s="124" t="s">
        <v>569</v>
      </c>
      <c r="Q429" s="67"/>
      <c r="R429" s="68"/>
      <c r="S429" s="68"/>
      <c r="T429" s="69">
        <f t="shared" si="109"/>
        <v>0</v>
      </c>
      <c r="U429" s="61"/>
      <c r="V429" s="83">
        <v>0</v>
      </c>
      <c r="W429" s="61">
        <f t="shared" si="110"/>
        <v>0</v>
      </c>
      <c r="X429" s="172">
        <v>46243.85833333333</v>
      </c>
      <c r="Y429" s="172">
        <v>46244.961805555555</v>
      </c>
      <c r="Z429" s="173">
        <f t="shared" si="97"/>
        <v>1.1034722222248092</v>
      </c>
      <c r="AA429" s="174">
        <f t="shared" si="98"/>
        <v>1</v>
      </c>
      <c r="AB429" s="175" t="str">
        <f t="shared" si="99"/>
        <v>-02:29:00</v>
      </c>
      <c r="AC429" s="175" t="b">
        <f t="shared" si="100"/>
        <v>1</v>
      </c>
    </row>
    <row r="430" spans="1:29" s="128" customFormat="1" ht="9.75" hidden="1" customHeight="1" x14ac:dyDescent="0.3">
      <c r="A430" s="99">
        <v>46243</v>
      </c>
      <c r="B430" s="59">
        <v>8158789</v>
      </c>
      <c r="C430" s="60" t="s">
        <v>42</v>
      </c>
      <c r="D430" s="60" t="s">
        <v>181</v>
      </c>
      <c r="E430" s="61">
        <v>0.875</v>
      </c>
      <c r="F430" s="60" t="s">
        <v>55</v>
      </c>
      <c r="G430" s="71" t="s">
        <v>13</v>
      </c>
      <c r="H430" s="62">
        <v>0.61111111111111116</v>
      </c>
      <c r="I430" s="113" t="str">
        <f t="shared" si="101"/>
        <v>09-08-2026T14:40:00</v>
      </c>
      <c r="J430" s="62">
        <v>0.66388888888888886</v>
      </c>
      <c r="K430" s="62"/>
      <c r="L430" s="63">
        <f t="shared" si="107"/>
        <v>5.2777777777777701E-2</v>
      </c>
      <c r="M430" s="64">
        <v>6.25E-2</v>
      </c>
      <c r="N430" s="65" t="str">
        <f t="shared" si="108"/>
        <v>00:14:00</v>
      </c>
      <c r="O430" s="66"/>
      <c r="P430" s="124"/>
      <c r="Q430" s="67"/>
      <c r="R430" s="68"/>
      <c r="S430" s="68"/>
      <c r="T430" s="69">
        <f t="shared" si="109"/>
        <v>0</v>
      </c>
      <c r="U430" s="61"/>
      <c r="V430" s="83">
        <v>0</v>
      </c>
      <c r="W430" s="61">
        <f t="shared" si="110"/>
        <v>0</v>
      </c>
      <c r="X430" s="171">
        <v>46243.611111111109</v>
      </c>
      <c r="Y430" s="171">
        <v>46243.663888888892</v>
      </c>
      <c r="Z430" s="168">
        <f t="shared" si="97"/>
        <v>5.2777777782466728E-2</v>
      </c>
      <c r="AA430" s="169">
        <f t="shared" si="98"/>
        <v>6.25E-2</v>
      </c>
      <c r="AB430" s="170" t="str">
        <f t="shared" si="99"/>
        <v>00:14:00</v>
      </c>
      <c r="AC430" s="170" t="b">
        <f t="shared" si="100"/>
        <v>1</v>
      </c>
    </row>
    <row r="431" spans="1:29" s="128" customFormat="1" ht="9.75" hidden="1" customHeight="1" x14ac:dyDescent="0.3">
      <c r="A431" s="99">
        <v>46243</v>
      </c>
      <c r="B431" s="59">
        <v>8158888</v>
      </c>
      <c r="C431" s="60" t="s">
        <v>41</v>
      </c>
      <c r="D431" s="60" t="s">
        <v>299</v>
      </c>
      <c r="E431" s="61">
        <v>0.875</v>
      </c>
      <c r="F431" s="60" t="s">
        <v>24</v>
      </c>
      <c r="G431" s="71" t="s">
        <v>13</v>
      </c>
      <c r="H431" s="62">
        <v>0.63888888888888884</v>
      </c>
      <c r="I431" s="113" t="str">
        <f t="shared" si="101"/>
        <v>09-08-2026T15:20:00</v>
      </c>
      <c r="J431" s="62">
        <v>0.71527777777777779</v>
      </c>
      <c r="K431" s="62"/>
      <c r="L431" s="63">
        <f t="shared" si="107"/>
        <v>7.6388888888888951E-2</v>
      </c>
      <c r="M431" s="64">
        <v>8.3333333333333329E-2</v>
      </c>
      <c r="N431" s="65" t="str">
        <f t="shared" si="108"/>
        <v>00:10:00</v>
      </c>
      <c r="O431" s="66"/>
      <c r="P431" s="124"/>
      <c r="Q431" s="67"/>
      <c r="R431" s="68"/>
      <c r="S431" s="68"/>
      <c r="T431" s="69">
        <f t="shared" si="109"/>
        <v>0</v>
      </c>
      <c r="U431" s="61"/>
      <c r="V431" s="83">
        <v>0</v>
      </c>
      <c r="W431" s="61">
        <f t="shared" si="110"/>
        <v>0</v>
      </c>
      <c r="X431" s="171">
        <v>46243.638888888891</v>
      </c>
      <c r="Y431" s="171">
        <v>46243.715277777781</v>
      </c>
      <c r="Z431" s="168">
        <f t="shared" si="97"/>
        <v>7.6388888890505768E-2</v>
      </c>
      <c r="AA431" s="169">
        <f t="shared" si="98"/>
        <v>8.3333333333333329E-2</v>
      </c>
      <c r="AB431" s="170" t="str">
        <f t="shared" si="99"/>
        <v>00:10:00</v>
      </c>
      <c r="AC431" s="170" t="b">
        <f t="shared" si="100"/>
        <v>1</v>
      </c>
    </row>
    <row r="432" spans="1:29" s="128" customFormat="1" ht="9.75" hidden="1" customHeight="1" x14ac:dyDescent="0.3">
      <c r="A432" s="99">
        <v>46243</v>
      </c>
      <c r="B432" s="59">
        <v>8159491</v>
      </c>
      <c r="C432" s="60" t="s">
        <v>54</v>
      </c>
      <c r="D432" s="60" t="s">
        <v>288</v>
      </c>
      <c r="E432" s="61">
        <v>0.875</v>
      </c>
      <c r="F432" s="60" t="s">
        <v>24</v>
      </c>
      <c r="G432" s="71" t="s">
        <v>13</v>
      </c>
      <c r="H432" s="62">
        <v>0.8666666666666667</v>
      </c>
      <c r="I432" s="113" t="str">
        <f t="shared" si="101"/>
        <v>09-08-2026T20:48:00</v>
      </c>
      <c r="J432" s="62">
        <v>0.94097222222222221</v>
      </c>
      <c r="K432" s="62"/>
      <c r="L432" s="63">
        <f t="shared" si="107"/>
        <v>7.4305555555555514E-2</v>
      </c>
      <c r="M432" s="64">
        <v>8.3333333333333329E-2</v>
      </c>
      <c r="N432" s="65" t="str">
        <f t="shared" si="108"/>
        <v>00:13:00</v>
      </c>
      <c r="O432" s="66"/>
      <c r="P432" s="124"/>
      <c r="Q432" s="67"/>
      <c r="R432" s="68"/>
      <c r="S432" s="68"/>
      <c r="T432" s="69">
        <f t="shared" si="109"/>
        <v>0</v>
      </c>
      <c r="U432" s="61"/>
      <c r="V432" s="83">
        <v>0</v>
      </c>
      <c r="W432" s="61">
        <f t="shared" si="110"/>
        <v>0</v>
      </c>
      <c r="X432" s="171">
        <v>46243.866666666669</v>
      </c>
      <c r="Y432" s="171">
        <v>46243.940972222219</v>
      </c>
      <c r="Z432" s="168">
        <f t="shared" si="97"/>
        <v>7.4305555550381541E-2</v>
      </c>
      <c r="AA432" s="169">
        <f t="shared" si="98"/>
        <v>8.3333333333333329E-2</v>
      </c>
      <c r="AB432" s="170" t="str">
        <f t="shared" si="99"/>
        <v>00:13:00</v>
      </c>
      <c r="AC432" s="170" t="b">
        <f t="shared" si="100"/>
        <v>1</v>
      </c>
    </row>
    <row r="433" spans="1:29" s="128" customFormat="1" ht="9.75" hidden="1" customHeight="1" x14ac:dyDescent="0.3">
      <c r="A433" s="99">
        <v>46243</v>
      </c>
      <c r="B433" s="59">
        <v>8159668</v>
      </c>
      <c r="C433" s="60" t="s">
        <v>46</v>
      </c>
      <c r="D433" s="60" t="s">
        <v>374</v>
      </c>
      <c r="E433" s="61">
        <v>0.95833333333333337</v>
      </c>
      <c r="F433" s="60" t="s">
        <v>173</v>
      </c>
      <c r="G433" s="71" t="s">
        <v>13</v>
      </c>
      <c r="H433" s="62">
        <v>46243.95208333333</v>
      </c>
      <c r="I433" s="113" t="str">
        <f t="shared" si="101"/>
        <v>09-08-2026T22:51:00</v>
      </c>
      <c r="J433" s="62">
        <v>46245.831944444442</v>
      </c>
      <c r="K433" s="62"/>
      <c r="L433" s="63">
        <f t="shared" si="107"/>
        <v>1.8798611111124046</v>
      </c>
      <c r="M433" s="64">
        <v>1.9166666666666667</v>
      </c>
      <c r="N433" s="65" t="str">
        <f t="shared" si="108"/>
        <v>00:53:00</v>
      </c>
      <c r="O433" s="66"/>
      <c r="P433" s="124" t="s">
        <v>525</v>
      </c>
      <c r="Q433" s="67" t="s">
        <v>96</v>
      </c>
      <c r="R433" s="68">
        <v>46244.07708333333</v>
      </c>
      <c r="S433" s="68">
        <v>46244.178472222222</v>
      </c>
      <c r="T433" s="47">
        <f t="shared" si="109"/>
        <v>0.10138888889196096</v>
      </c>
      <c r="U433" s="61"/>
      <c r="V433" s="83">
        <v>8.3333333333333329E-2</v>
      </c>
      <c r="W433" s="61">
        <f t="shared" si="110"/>
        <v>1.8055555558627631E-2</v>
      </c>
      <c r="X433" s="171">
        <v>46243.95208333333</v>
      </c>
      <c r="Y433" s="171">
        <v>46245.831944444442</v>
      </c>
      <c r="Z433" s="168">
        <f t="shared" si="97"/>
        <v>1.8798611111124046</v>
      </c>
      <c r="AA433" s="169">
        <f t="shared" si="98"/>
        <v>1.9166666666666667</v>
      </c>
      <c r="AB433" s="170" t="str">
        <f t="shared" si="99"/>
        <v>00:53:00</v>
      </c>
      <c r="AC433" s="170" t="b">
        <f t="shared" si="100"/>
        <v>1</v>
      </c>
    </row>
    <row r="434" spans="1:29" s="128" customFormat="1" ht="9.75" hidden="1" customHeight="1" x14ac:dyDescent="0.3">
      <c r="A434" s="99">
        <v>46243</v>
      </c>
      <c r="B434" s="59">
        <v>8159765</v>
      </c>
      <c r="C434" s="60" t="s">
        <v>52</v>
      </c>
      <c r="D434" s="60" t="s">
        <v>616</v>
      </c>
      <c r="E434" s="61">
        <v>0.99930555555555556</v>
      </c>
      <c r="F434" s="60" t="s">
        <v>15</v>
      </c>
      <c r="G434" s="71" t="s">
        <v>13</v>
      </c>
      <c r="H434" s="62">
        <v>46243.995833333334</v>
      </c>
      <c r="I434" s="113" t="str">
        <f t="shared" si="101"/>
        <v>09-08-2026T23:54:00</v>
      </c>
      <c r="J434" s="62">
        <v>46244.2</v>
      </c>
      <c r="K434" s="62"/>
      <c r="L434" s="63">
        <f t="shared" si="107"/>
        <v>0.20416666666278616</v>
      </c>
      <c r="M434" s="64">
        <v>0.20833333333333334</v>
      </c>
      <c r="N434" s="65" t="str">
        <f t="shared" si="108"/>
        <v>00:06:00</v>
      </c>
      <c r="O434" s="66"/>
      <c r="P434" s="124"/>
      <c r="Q434" s="67"/>
      <c r="R434" s="68"/>
      <c r="S434" s="68"/>
      <c r="T434" s="69">
        <f t="shared" si="109"/>
        <v>0</v>
      </c>
      <c r="U434" s="61"/>
      <c r="V434" s="83">
        <v>0</v>
      </c>
      <c r="W434" s="61">
        <f t="shared" si="110"/>
        <v>0</v>
      </c>
      <c r="X434" s="171">
        <v>46243.995833333334</v>
      </c>
      <c r="Y434" s="171">
        <v>46244.2</v>
      </c>
      <c r="Z434" s="168">
        <f t="shared" si="97"/>
        <v>0.20416666666278616</v>
      </c>
      <c r="AA434" s="169">
        <f t="shared" si="98"/>
        <v>0.20833333333333334</v>
      </c>
      <c r="AB434" s="170" t="str">
        <f t="shared" si="99"/>
        <v>00:06:00</v>
      </c>
      <c r="AC434" s="170" t="b">
        <f t="shared" si="100"/>
        <v>1</v>
      </c>
    </row>
    <row r="435" spans="1:29" s="128" customFormat="1" ht="9.75" hidden="1" customHeight="1" x14ac:dyDescent="0.3">
      <c r="A435" s="99">
        <v>46243</v>
      </c>
      <c r="B435" s="59">
        <v>8159754</v>
      </c>
      <c r="C435" s="60" t="s">
        <v>57</v>
      </c>
      <c r="D435" s="60" t="s">
        <v>370</v>
      </c>
      <c r="E435" s="61">
        <v>0.99930555555555556</v>
      </c>
      <c r="F435" s="60" t="s">
        <v>24</v>
      </c>
      <c r="G435" s="71" t="s">
        <v>13</v>
      </c>
      <c r="H435" s="62">
        <v>46243.994444444441</v>
      </c>
      <c r="I435" s="113" t="str">
        <f t="shared" si="101"/>
        <v>09-08-2026T23:52:00</v>
      </c>
      <c r="J435" s="62">
        <v>46244.074305555558</v>
      </c>
      <c r="K435" s="62"/>
      <c r="L435" s="63">
        <f t="shared" si="107"/>
        <v>7.9861111116770189E-2</v>
      </c>
      <c r="M435" s="64">
        <v>8.3333333333333329E-2</v>
      </c>
      <c r="N435" s="65" t="str">
        <f t="shared" si="108"/>
        <v>00:05:00</v>
      </c>
      <c r="O435" s="66"/>
      <c r="P435" s="124"/>
      <c r="Q435" s="67"/>
      <c r="R435" s="68"/>
      <c r="S435" s="68"/>
      <c r="T435" s="69">
        <f t="shared" si="109"/>
        <v>0</v>
      </c>
      <c r="U435" s="61"/>
      <c r="V435" s="83">
        <v>0</v>
      </c>
      <c r="W435" s="61">
        <f t="shared" si="110"/>
        <v>0</v>
      </c>
      <c r="X435" s="171">
        <v>46243.994444444441</v>
      </c>
      <c r="Y435" s="171">
        <v>46244.074305555558</v>
      </c>
      <c r="Z435" s="168">
        <f t="shared" si="97"/>
        <v>7.9861111116770189E-2</v>
      </c>
      <c r="AA435" s="169">
        <f t="shared" si="98"/>
        <v>8.3333333333333329E-2</v>
      </c>
      <c r="AB435" s="170" t="str">
        <f t="shared" si="99"/>
        <v>00:05:00</v>
      </c>
      <c r="AC435" s="170" t="b">
        <f t="shared" si="100"/>
        <v>1</v>
      </c>
    </row>
    <row r="436" spans="1:29" s="127" customFormat="1" ht="9.75" hidden="1" customHeight="1" x14ac:dyDescent="0.3">
      <c r="A436" s="98">
        <v>46243</v>
      </c>
      <c r="B436" s="48">
        <v>8159120</v>
      </c>
      <c r="C436" s="49" t="s">
        <v>307</v>
      </c>
      <c r="D436" s="49" t="s">
        <v>464</v>
      </c>
      <c r="E436" s="50" t="s">
        <v>184</v>
      </c>
      <c r="F436" s="49" t="s">
        <v>13</v>
      </c>
      <c r="G436" s="70" t="s">
        <v>665</v>
      </c>
      <c r="H436" s="51">
        <v>46243.722222222219</v>
      </c>
      <c r="I436" s="113" t="str">
        <f t="shared" si="101"/>
        <v>09-08-2026T17:20:00</v>
      </c>
      <c r="J436" s="51">
        <v>46246.065972222219</v>
      </c>
      <c r="K436" s="51"/>
      <c r="L436" s="52">
        <f t="shared" si="107"/>
        <v>2.34375</v>
      </c>
      <c r="M436" s="53">
        <v>1.4583333333333333</v>
      </c>
      <c r="N436" s="54" t="str">
        <f t="shared" si="108"/>
        <v>-21:15:00</v>
      </c>
      <c r="O436" s="55"/>
      <c r="P436" s="147" t="s">
        <v>562</v>
      </c>
      <c r="Q436" s="56"/>
      <c r="R436" s="57"/>
      <c r="S436" s="57"/>
      <c r="T436" s="58">
        <f t="shared" si="109"/>
        <v>0</v>
      </c>
      <c r="U436" s="50"/>
      <c r="V436" s="74" t="s">
        <v>393</v>
      </c>
      <c r="W436" s="50" t="e">
        <f t="shared" si="110"/>
        <v>#VALUE!</v>
      </c>
      <c r="X436" s="171">
        <v>46243.722222222219</v>
      </c>
      <c r="Y436" s="171">
        <v>46246.065972222219</v>
      </c>
      <c r="Z436" s="168">
        <f t="shared" si="97"/>
        <v>2.34375</v>
      </c>
      <c r="AA436" s="169">
        <f t="shared" si="98"/>
        <v>1.4583333333333333</v>
      </c>
      <c r="AB436" s="170" t="str">
        <f t="shared" si="99"/>
        <v>-21:15:00</v>
      </c>
      <c r="AC436" s="170" t="b">
        <f t="shared" si="100"/>
        <v>1</v>
      </c>
    </row>
    <row r="437" spans="1:29" s="127" customFormat="1" ht="9.75" hidden="1" customHeight="1" x14ac:dyDescent="0.3">
      <c r="A437" s="98">
        <v>46244</v>
      </c>
      <c r="B437" s="48">
        <v>8159839</v>
      </c>
      <c r="C437" s="49" t="s">
        <v>25</v>
      </c>
      <c r="D437" s="49" t="s">
        <v>477</v>
      </c>
      <c r="E437" s="50">
        <v>6.25E-2</v>
      </c>
      <c r="F437" s="49" t="s">
        <v>13</v>
      </c>
      <c r="G437" s="70" t="s">
        <v>26</v>
      </c>
      <c r="H437" s="51">
        <v>5.347222222222222E-2</v>
      </c>
      <c r="I437" s="113" t="str">
        <f t="shared" si="101"/>
        <v>10-08-2026T01:17:00</v>
      </c>
      <c r="J437" s="51">
        <v>0.57986111111111116</v>
      </c>
      <c r="K437" s="51"/>
      <c r="L437" s="52">
        <f t="shared" si="107"/>
        <v>0.52638888888888891</v>
      </c>
      <c r="M437" s="53">
        <v>0.41666666666666669</v>
      </c>
      <c r="N437" s="54" t="str">
        <f t="shared" si="108"/>
        <v>-02:38:00</v>
      </c>
      <c r="O437" s="55">
        <v>250</v>
      </c>
      <c r="P437" s="147" t="s">
        <v>540</v>
      </c>
      <c r="Q437" s="56" t="s">
        <v>312</v>
      </c>
      <c r="R437" s="57">
        <v>46244.25</v>
      </c>
      <c r="S437" s="57">
        <v>46244.399305555555</v>
      </c>
      <c r="T437" s="47">
        <f t="shared" si="109"/>
        <v>0.14930555555474712</v>
      </c>
      <c r="U437" s="50"/>
      <c r="V437" s="74">
        <v>4.1666666666666664E-2</v>
      </c>
      <c r="W437" s="50">
        <f t="shared" si="110"/>
        <v>0.10763888888808046</v>
      </c>
      <c r="X437" s="171">
        <v>46244.053472222222</v>
      </c>
      <c r="Y437" s="171">
        <v>46244.579861111109</v>
      </c>
      <c r="Z437" s="168">
        <f t="shared" si="97"/>
        <v>0.52638888888759539</v>
      </c>
      <c r="AA437" s="169">
        <f t="shared" si="98"/>
        <v>0.41666666666666669</v>
      </c>
      <c r="AB437" s="170" t="str">
        <f t="shared" si="99"/>
        <v>-02:38:00</v>
      </c>
      <c r="AC437" s="170" t="b">
        <f t="shared" si="100"/>
        <v>1</v>
      </c>
    </row>
    <row r="438" spans="1:29" s="127" customFormat="1" ht="9.75" hidden="1" customHeight="1" x14ac:dyDescent="0.3">
      <c r="A438" s="98">
        <v>46244</v>
      </c>
      <c r="B438" s="48">
        <v>8159893</v>
      </c>
      <c r="C438" s="49" t="s">
        <v>18</v>
      </c>
      <c r="D438" s="49" t="s">
        <v>389</v>
      </c>
      <c r="E438" s="50">
        <v>8.3333333333333329E-2</v>
      </c>
      <c r="F438" s="49" t="s">
        <v>13</v>
      </c>
      <c r="G438" s="70" t="s">
        <v>19</v>
      </c>
      <c r="H438" s="51">
        <v>8.4027777777777785E-2</v>
      </c>
      <c r="I438" s="113" t="str">
        <f t="shared" si="101"/>
        <v>10-08-2026T02:01:00</v>
      </c>
      <c r="J438" s="51">
        <v>0.53541666666666665</v>
      </c>
      <c r="K438" s="51"/>
      <c r="L438" s="52">
        <f t="shared" si="107"/>
        <v>0.45138888888888884</v>
      </c>
      <c r="M438" s="53">
        <v>0.41666666666666669</v>
      </c>
      <c r="N438" s="54" t="str">
        <f t="shared" si="108"/>
        <v>-00:50:00</v>
      </c>
      <c r="O438" s="55">
        <v>200</v>
      </c>
      <c r="P438" s="147" t="s">
        <v>541</v>
      </c>
      <c r="Q438" s="56" t="s">
        <v>229</v>
      </c>
      <c r="R438" s="57">
        <v>46244.416666666664</v>
      </c>
      <c r="S438" s="57">
        <v>46244.4375</v>
      </c>
      <c r="T438" s="58">
        <f t="shared" si="109"/>
        <v>2.0833333335758653E-2</v>
      </c>
      <c r="U438" s="50"/>
      <c r="V438" s="74">
        <v>6.25E-2</v>
      </c>
      <c r="W438" s="50">
        <f t="shared" si="110"/>
        <v>-4.1666666664241347E-2</v>
      </c>
      <c r="X438" s="171">
        <v>46244.084027777775</v>
      </c>
      <c r="Y438" s="171">
        <v>46244.535416666666</v>
      </c>
      <c r="Z438" s="168">
        <f t="shared" si="97"/>
        <v>0.45138888889050577</v>
      </c>
      <c r="AA438" s="169">
        <f t="shared" si="98"/>
        <v>0.41666666666666669</v>
      </c>
      <c r="AB438" s="170" t="str">
        <f t="shared" si="99"/>
        <v>-00:50:00</v>
      </c>
      <c r="AC438" s="170" t="b">
        <f t="shared" si="100"/>
        <v>1</v>
      </c>
    </row>
    <row r="439" spans="1:29" s="128" customFormat="1" ht="9.75" hidden="1" customHeight="1" x14ac:dyDescent="0.3">
      <c r="A439" s="99">
        <v>46244</v>
      </c>
      <c r="B439" s="59">
        <v>8159988</v>
      </c>
      <c r="C439" s="60" t="s">
        <v>84</v>
      </c>
      <c r="D439" s="60" t="s">
        <v>301</v>
      </c>
      <c r="E439" s="61">
        <v>0.125</v>
      </c>
      <c r="F439" s="60" t="s">
        <v>13</v>
      </c>
      <c r="G439" s="71" t="s">
        <v>284</v>
      </c>
      <c r="H439" s="62">
        <v>0.13194444444444445</v>
      </c>
      <c r="I439" s="113" t="str">
        <f t="shared" si="101"/>
        <v>10-08-2026T03:10:00</v>
      </c>
      <c r="J439" s="62">
        <v>0.47986111111111113</v>
      </c>
      <c r="K439" s="62"/>
      <c r="L439" s="63">
        <f t="shared" si="107"/>
        <v>0.34791666666666665</v>
      </c>
      <c r="M439" s="64">
        <v>0.35416666666666669</v>
      </c>
      <c r="N439" s="65" t="str">
        <f t="shared" si="108"/>
        <v>00:09:00</v>
      </c>
      <c r="O439" s="66"/>
      <c r="P439" s="124"/>
      <c r="Q439" s="67" t="s">
        <v>174</v>
      </c>
      <c r="R439" s="68">
        <v>46244.368055555555</v>
      </c>
      <c r="S439" s="68">
        <v>46244.413194444445</v>
      </c>
      <c r="T439" s="69">
        <f t="shared" si="109"/>
        <v>4.5138888890505768E-2</v>
      </c>
      <c r="U439" s="61" t="s">
        <v>234</v>
      </c>
      <c r="V439" s="83">
        <v>6.25E-2</v>
      </c>
      <c r="W439" s="61">
        <f t="shared" si="110"/>
        <v>-1.7361111109494232E-2</v>
      </c>
      <c r="X439" s="171">
        <v>46244.131944444445</v>
      </c>
      <c r="Y439" s="171">
        <v>46244.479861111111</v>
      </c>
      <c r="Z439" s="168">
        <f t="shared" si="97"/>
        <v>0.34791666666569654</v>
      </c>
      <c r="AA439" s="169">
        <f t="shared" si="98"/>
        <v>0.35416666666666669</v>
      </c>
      <c r="AB439" s="170" t="str">
        <f t="shared" si="99"/>
        <v>00:09:00</v>
      </c>
      <c r="AC439" s="170" t="b">
        <f t="shared" si="100"/>
        <v>1</v>
      </c>
    </row>
    <row r="440" spans="1:29" s="128" customFormat="1" ht="9.75" hidden="1" customHeight="1" x14ac:dyDescent="0.3">
      <c r="A440" s="99">
        <v>46244</v>
      </c>
      <c r="B440" s="59">
        <v>8160035</v>
      </c>
      <c r="C440" s="60" t="s">
        <v>41</v>
      </c>
      <c r="D440" s="60" t="s">
        <v>299</v>
      </c>
      <c r="E440" s="61">
        <v>0.16666666666666666</v>
      </c>
      <c r="F440" s="60" t="s">
        <v>13</v>
      </c>
      <c r="G440" s="71" t="s">
        <v>24</v>
      </c>
      <c r="H440" s="62">
        <v>0.15694444444444444</v>
      </c>
      <c r="I440" s="113" t="str">
        <f t="shared" si="101"/>
        <v>10-08-2026T03:46:00</v>
      </c>
      <c r="J440" s="62">
        <v>0.23194444444444445</v>
      </c>
      <c r="K440" s="62"/>
      <c r="L440" s="63">
        <f t="shared" si="107"/>
        <v>7.5000000000000011E-2</v>
      </c>
      <c r="M440" s="64">
        <v>8.3333333333333329E-2</v>
      </c>
      <c r="N440" s="65" t="str">
        <f t="shared" si="108"/>
        <v>00:12:00</v>
      </c>
      <c r="O440" s="66"/>
      <c r="P440" s="124"/>
      <c r="Q440" s="67"/>
      <c r="R440" s="68"/>
      <c r="S440" s="68"/>
      <c r="T440" s="69">
        <f t="shared" si="109"/>
        <v>0</v>
      </c>
      <c r="U440" s="61" t="s">
        <v>234</v>
      </c>
      <c r="V440" s="83">
        <v>0</v>
      </c>
      <c r="W440" s="61">
        <f t="shared" si="110"/>
        <v>0</v>
      </c>
      <c r="X440" s="171">
        <v>46244.156944444447</v>
      </c>
      <c r="Y440" s="171">
        <v>46244.231944444444</v>
      </c>
      <c r="Z440" s="168">
        <f t="shared" si="97"/>
        <v>7.4999999997089617E-2</v>
      </c>
      <c r="AA440" s="169">
        <f t="shared" si="98"/>
        <v>8.3333333333333329E-2</v>
      </c>
      <c r="AB440" s="170" t="str">
        <f t="shared" si="99"/>
        <v>00:12:00</v>
      </c>
      <c r="AC440" s="170" t="b">
        <f t="shared" si="100"/>
        <v>1</v>
      </c>
    </row>
    <row r="441" spans="1:29" s="128" customFormat="1" ht="9.75" hidden="1" customHeight="1" x14ac:dyDescent="0.3">
      <c r="A441" s="99">
        <v>46244</v>
      </c>
      <c r="B441" s="59">
        <v>8160935</v>
      </c>
      <c r="C441" s="60" t="s">
        <v>41</v>
      </c>
      <c r="D441" s="60" t="s">
        <v>299</v>
      </c>
      <c r="E441" s="61">
        <v>0.125</v>
      </c>
      <c r="F441" s="60" t="s">
        <v>24</v>
      </c>
      <c r="G441" s="71" t="s">
        <v>13</v>
      </c>
      <c r="H441" s="62">
        <v>0.52986111111111112</v>
      </c>
      <c r="I441" s="113" t="str">
        <f t="shared" si="101"/>
        <v>10-08-2026T12:43:00</v>
      </c>
      <c r="J441" s="62">
        <v>0.61041666666666672</v>
      </c>
      <c r="K441" s="62"/>
      <c r="L441" s="63">
        <f t="shared" si="107"/>
        <v>8.0555555555555602E-2</v>
      </c>
      <c r="M441" s="64">
        <v>8.3333333333333329E-2</v>
      </c>
      <c r="N441" s="65" t="str">
        <f t="shared" si="108"/>
        <v>00:04:00</v>
      </c>
      <c r="O441" s="66"/>
      <c r="P441" s="124"/>
      <c r="Q441" s="67"/>
      <c r="R441" s="68"/>
      <c r="S441" s="68"/>
      <c r="T441" s="69">
        <f t="shared" si="109"/>
        <v>0</v>
      </c>
      <c r="U441" s="61"/>
      <c r="V441" s="83">
        <v>0</v>
      </c>
      <c r="W441" s="61">
        <f t="shared" si="110"/>
        <v>0</v>
      </c>
      <c r="X441" s="171">
        <v>46244.529861111114</v>
      </c>
      <c r="Y441" s="171">
        <v>46244.61041666667</v>
      </c>
      <c r="Z441" s="168">
        <f t="shared" si="97"/>
        <v>8.0555555556202307E-2</v>
      </c>
      <c r="AA441" s="169">
        <f t="shared" si="98"/>
        <v>8.3333333333333329E-2</v>
      </c>
      <c r="AB441" s="170" t="str">
        <f t="shared" si="99"/>
        <v>00:04:00</v>
      </c>
      <c r="AC441" s="170" t="b">
        <f t="shared" si="100"/>
        <v>1</v>
      </c>
    </row>
    <row r="442" spans="1:29" s="128" customFormat="1" ht="9.75" hidden="1" customHeight="1" x14ac:dyDescent="0.3">
      <c r="A442" s="99">
        <v>46244</v>
      </c>
      <c r="B442" s="59">
        <v>8160106</v>
      </c>
      <c r="C442" s="60" t="s">
        <v>27</v>
      </c>
      <c r="D442" s="60" t="s">
        <v>378</v>
      </c>
      <c r="E442" s="61">
        <v>0.16666666666666666</v>
      </c>
      <c r="F442" s="60" t="s">
        <v>13</v>
      </c>
      <c r="G442" s="71" t="s">
        <v>28</v>
      </c>
      <c r="H442" s="62">
        <v>0.16805555555555557</v>
      </c>
      <c r="I442" s="113" t="str">
        <f t="shared" si="101"/>
        <v>10-08-2026T04:02:00</v>
      </c>
      <c r="J442" s="62">
        <v>0.33333333333333331</v>
      </c>
      <c r="K442" s="62"/>
      <c r="L442" s="63">
        <f t="shared" si="107"/>
        <v>0.16527777777777775</v>
      </c>
      <c r="M442" s="64">
        <v>0.16666666666666666</v>
      </c>
      <c r="N442" s="65" t="str">
        <f t="shared" si="108"/>
        <v>00:02:00</v>
      </c>
      <c r="O442" s="66"/>
      <c r="P442" s="124"/>
      <c r="Q442" s="67"/>
      <c r="R442" s="68"/>
      <c r="S442" s="68"/>
      <c r="T442" s="69">
        <f t="shared" si="109"/>
        <v>0</v>
      </c>
      <c r="U442" s="61" t="s">
        <v>234</v>
      </c>
      <c r="V442" s="83">
        <v>0</v>
      </c>
      <c r="W442" s="61">
        <f t="shared" si="110"/>
        <v>0</v>
      </c>
      <c r="X442" s="171">
        <v>46244.168055555558</v>
      </c>
      <c r="Y442" s="171">
        <v>46244.333333333336</v>
      </c>
      <c r="Z442" s="168">
        <f t="shared" si="97"/>
        <v>0.16527777777810115</v>
      </c>
      <c r="AA442" s="169">
        <f t="shared" si="98"/>
        <v>0.16666666666666666</v>
      </c>
      <c r="AB442" s="170" t="str">
        <f t="shared" si="99"/>
        <v>00:02:00</v>
      </c>
      <c r="AC442" s="170" t="b">
        <f t="shared" si="100"/>
        <v>1</v>
      </c>
    </row>
    <row r="443" spans="1:29" s="128" customFormat="1" ht="9.75" hidden="1" customHeight="1" x14ac:dyDescent="0.3">
      <c r="A443" s="99">
        <v>46244</v>
      </c>
      <c r="B443" s="59">
        <v>8160077</v>
      </c>
      <c r="C443" s="60" t="s">
        <v>29</v>
      </c>
      <c r="D443" s="60" t="s">
        <v>373</v>
      </c>
      <c r="E443" s="61">
        <v>0.16666666666666666</v>
      </c>
      <c r="F443" s="60" t="s">
        <v>17</v>
      </c>
      <c r="G443" s="71" t="s">
        <v>15</v>
      </c>
      <c r="H443" s="62">
        <v>0.16458333333333333</v>
      </c>
      <c r="I443" s="113" t="str">
        <f t="shared" si="101"/>
        <v>10-08-2026T03:57:00</v>
      </c>
      <c r="J443" s="62">
        <v>0.66319444444444442</v>
      </c>
      <c r="K443" s="62"/>
      <c r="L443" s="63">
        <f t="shared" si="107"/>
        <v>0.49861111111111112</v>
      </c>
      <c r="M443" s="64">
        <v>0.5</v>
      </c>
      <c r="N443" s="65" t="str">
        <f t="shared" si="108"/>
        <v>00:02:00</v>
      </c>
      <c r="O443" s="66"/>
      <c r="P443" s="124"/>
      <c r="Q443" s="67" t="s">
        <v>98</v>
      </c>
      <c r="R443" s="68">
        <v>46244.375</v>
      </c>
      <c r="S443" s="68">
        <v>46244.420138888891</v>
      </c>
      <c r="T443" s="69">
        <f t="shared" si="109"/>
        <v>4.5138888890505768E-2</v>
      </c>
      <c r="U443" s="61" t="s">
        <v>234</v>
      </c>
      <c r="V443" s="83">
        <v>8.3333333333333329E-2</v>
      </c>
      <c r="W443" s="61">
        <f t="shared" si="110"/>
        <v>-3.819444444282756E-2</v>
      </c>
      <c r="X443" s="171">
        <v>0.16458333333333333</v>
      </c>
      <c r="Y443" s="171">
        <v>0.66319444444444442</v>
      </c>
      <c r="Z443" s="168">
        <f t="shared" si="97"/>
        <v>0.49861111111111112</v>
      </c>
      <c r="AA443" s="169">
        <f t="shared" si="98"/>
        <v>0.5</v>
      </c>
      <c r="AB443" s="170" t="str">
        <f t="shared" si="99"/>
        <v>00:02:00</v>
      </c>
      <c r="AC443" s="170" t="b">
        <f t="shared" si="100"/>
        <v>1</v>
      </c>
    </row>
    <row r="444" spans="1:29" s="144" customFormat="1" ht="9.75" hidden="1" customHeight="1" x14ac:dyDescent="0.3">
      <c r="A444" s="129">
        <v>46244</v>
      </c>
      <c r="B444" s="130">
        <v>8160082</v>
      </c>
      <c r="C444" s="131" t="s">
        <v>16</v>
      </c>
      <c r="D444" s="131" t="s">
        <v>285</v>
      </c>
      <c r="E444" s="132">
        <v>0.16666666666666666</v>
      </c>
      <c r="F444" s="131" t="s">
        <v>17</v>
      </c>
      <c r="G444" s="133" t="s">
        <v>15</v>
      </c>
      <c r="H444" s="134">
        <v>0.16527777777777777</v>
      </c>
      <c r="I444" s="113" t="str">
        <f t="shared" si="101"/>
        <v>10-08-2026T03:58:00</v>
      </c>
      <c r="J444" s="134">
        <v>0.71319444444444446</v>
      </c>
      <c r="K444" s="134"/>
      <c r="L444" s="135">
        <f t="shared" si="107"/>
        <v>0.54791666666666672</v>
      </c>
      <c r="M444" s="136">
        <v>0.5</v>
      </c>
      <c r="N444" s="137" t="str">
        <f t="shared" si="108"/>
        <v>-01:09:00</v>
      </c>
      <c r="O444" s="138"/>
      <c r="P444" s="145" t="s">
        <v>542</v>
      </c>
      <c r="Q444" s="140" t="s">
        <v>98</v>
      </c>
      <c r="R444" s="141">
        <v>46244.375</v>
      </c>
      <c r="S444" s="141">
        <v>46244.513888888891</v>
      </c>
      <c r="T444" s="142">
        <f t="shared" si="109"/>
        <v>0.13888888889050577</v>
      </c>
      <c r="U444" s="132"/>
      <c r="V444" s="143">
        <v>8.3333333333333329E-2</v>
      </c>
      <c r="W444" s="132">
        <f t="shared" si="110"/>
        <v>5.555555555717244E-2</v>
      </c>
      <c r="X444" s="171">
        <v>0.16527777777777777</v>
      </c>
      <c r="Y444" s="171">
        <v>0.71319444444444446</v>
      </c>
      <c r="Z444" s="168">
        <f t="shared" ref="Z444:Z507" si="111">Y444-X444</f>
        <v>0.54791666666666672</v>
      </c>
      <c r="AA444" s="169">
        <f t="shared" ref="AA444:AA507" si="112">M444</f>
        <v>0.5</v>
      </c>
      <c r="AB444" s="170" t="str">
        <f t="shared" ref="AB444:AB507" si="113">IF(AA444-Z444&gt;0,TEXT(AA444-Z444,"HH:MM:SS"),TEXT(ABS(AA444-Z444),"-HH:MM:SS"))</f>
        <v>-01:09:00</v>
      </c>
      <c r="AC444" s="170" t="b">
        <f t="shared" ref="AC444:AC507" si="114">AB444=N444</f>
        <v>1</v>
      </c>
    </row>
    <row r="445" spans="1:29" s="127" customFormat="1" ht="9.75" hidden="1" customHeight="1" x14ac:dyDescent="0.3">
      <c r="A445" s="98">
        <v>46244</v>
      </c>
      <c r="B445" s="48">
        <v>8160027</v>
      </c>
      <c r="C445" s="49" t="s">
        <v>30</v>
      </c>
      <c r="D445" s="49" t="s">
        <v>286</v>
      </c>
      <c r="E445" s="50">
        <v>0.16666666666666666</v>
      </c>
      <c r="F445" s="49" t="s">
        <v>31</v>
      </c>
      <c r="G445" s="70" t="s">
        <v>13</v>
      </c>
      <c r="H445" s="51">
        <v>46244.152777777781</v>
      </c>
      <c r="I445" s="113" t="str">
        <f t="shared" si="101"/>
        <v>10-08-2026T03:40:00</v>
      </c>
      <c r="J445" s="51">
        <v>46244.870138888888</v>
      </c>
      <c r="K445" s="51"/>
      <c r="L445" s="52">
        <f t="shared" si="107"/>
        <v>0.71736111110658385</v>
      </c>
      <c r="M445" s="53">
        <v>0.70833333333333337</v>
      </c>
      <c r="N445" s="54" t="str">
        <f t="shared" si="108"/>
        <v>-00:13:00</v>
      </c>
      <c r="O445" s="55">
        <v>200</v>
      </c>
      <c r="P445" s="147" t="s">
        <v>543</v>
      </c>
      <c r="Q445" s="56" t="s">
        <v>13</v>
      </c>
      <c r="R445" s="57">
        <v>46244.754166666666</v>
      </c>
      <c r="S445" s="57">
        <v>46244.867361111108</v>
      </c>
      <c r="T445" s="47">
        <f t="shared" si="109"/>
        <v>0.1131944444423425</v>
      </c>
      <c r="U445" s="50"/>
      <c r="V445" s="74">
        <v>8.3333333333333329E-2</v>
      </c>
      <c r="W445" s="50">
        <f t="shared" si="110"/>
        <v>2.9861111109009172E-2</v>
      </c>
      <c r="X445" s="171">
        <v>46244.152777777781</v>
      </c>
      <c r="Y445" s="171">
        <v>46244.870138888888</v>
      </c>
      <c r="Z445" s="168">
        <f t="shared" si="111"/>
        <v>0.71736111110658385</v>
      </c>
      <c r="AA445" s="169">
        <f t="shared" si="112"/>
        <v>0.70833333333333337</v>
      </c>
      <c r="AB445" s="170" t="str">
        <f t="shared" si="113"/>
        <v>-00:13:00</v>
      </c>
      <c r="AC445" s="170" t="b">
        <f t="shared" si="114"/>
        <v>1</v>
      </c>
    </row>
    <row r="446" spans="1:29" s="127" customFormat="1" ht="9.75" hidden="1" customHeight="1" x14ac:dyDescent="0.3">
      <c r="A446" s="98">
        <v>46244</v>
      </c>
      <c r="B446" s="48">
        <v>8160443</v>
      </c>
      <c r="C446" s="49" t="s">
        <v>37</v>
      </c>
      <c r="D446" s="49" t="s">
        <v>466</v>
      </c>
      <c r="E446" s="50">
        <v>0.16666666666666666</v>
      </c>
      <c r="F446" s="49" t="s">
        <v>13</v>
      </c>
      <c r="G446" s="70" t="s">
        <v>14</v>
      </c>
      <c r="H446" s="51">
        <v>0.27986111111111112</v>
      </c>
      <c r="I446" s="113" t="str">
        <f t="shared" si="101"/>
        <v>10-08-2026T06:43:00</v>
      </c>
      <c r="J446" s="51">
        <v>0.88263888888888886</v>
      </c>
      <c r="K446" s="51"/>
      <c r="L446" s="52">
        <f t="shared" si="107"/>
        <v>0.60277777777777775</v>
      </c>
      <c r="M446" s="53">
        <v>0.54166666666666663</v>
      </c>
      <c r="N446" s="54" t="str">
        <f t="shared" si="108"/>
        <v>-01:28:00</v>
      </c>
      <c r="O446" s="55">
        <v>400</v>
      </c>
      <c r="P446" s="147" t="s">
        <v>572</v>
      </c>
      <c r="Q446" s="56"/>
      <c r="R446" s="57"/>
      <c r="S446" s="57"/>
      <c r="T446" s="58">
        <f t="shared" si="109"/>
        <v>0</v>
      </c>
      <c r="U446" s="50" t="s">
        <v>234</v>
      </c>
      <c r="V446" s="74">
        <v>0</v>
      </c>
      <c r="W446" s="50">
        <f t="shared" si="110"/>
        <v>0</v>
      </c>
      <c r="X446" s="171">
        <v>46244.279861111114</v>
      </c>
      <c r="Y446" s="171">
        <v>46244.882638888892</v>
      </c>
      <c r="Z446" s="168">
        <f t="shared" si="111"/>
        <v>0.60277777777810115</v>
      </c>
      <c r="AA446" s="169">
        <f t="shared" si="112"/>
        <v>0.54166666666666663</v>
      </c>
      <c r="AB446" s="170" t="str">
        <f t="shared" si="113"/>
        <v>-01:28:00</v>
      </c>
      <c r="AC446" s="170" t="b">
        <f t="shared" si="114"/>
        <v>1</v>
      </c>
    </row>
    <row r="447" spans="1:29" s="128" customFormat="1" ht="9.75" hidden="1" customHeight="1" x14ac:dyDescent="0.3">
      <c r="A447" s="99">
        <v>46244</v>
      </c>
      <c r="B447" s="59">
        <v>8160235</v>
      </c>
      <c r="C447" s="60" t="s">
        <v>32</v>
      </c>
      <c r="D447" s="60" t="s">
        <v>476</v>
      </c>
      <c r="E447" s="61">
        <v>0.20833333333333334</v>
      </c>
      <c r="F447" s="60" t="s">
        <v>13</v>
      </c>
      <c r="G447" s="71" t="s">
        <v>287</v>
      </c>
      <c r="H447" s="62">
        <v>0.20833333333333334</v>
      </c>
      <c r="I447" s="113" t="str">
        <f t="shared" si="101"/>
        <v>10-08-2026T05:00:00</v>
      </c>
      <c r="J447" s="62">
        <v>0.34722222222222221</v>
      </c>
      <c r="K447" s="62"/>
      <c r="L447" s="63">
        <f t="shared" si="107"/>
        <v>0.13888888888888887</v>
      </c>
      <c r="M447" s="64">
        <v>0.14583333333333334</v>
      </c>
      <c r="N447" s="65" t="str">
        <f t="shared" si="108"/>
        <v>00:10:00</v>
      </c>
      <c r="O447" s="66"/>
      <c r="P447" s="124"/>
      <c r="Q447" s="67"/>
      <c r="R447" s="68"/>
      <c r="S447" s="68"/>
      <c r="T447" s="69">
        <f t="shared" si="109"/>
        <v>0</v>
      </c>
      <c r="U447" s="61"/>
      <c r="V447" s="83">
        <v>0</v>
      </c>
      <c r="W447" s="61">
        <f t="shared" si="110"/>
        <v>0</v>
      </c>
      <c r="X447" s="171">
        <v>46244.208333333336</v>
      </c>
      <c r="Y447" s="171">
        <v>46244.347222222219</v>
      </c>
      <c r="Z447" s="168">
        <f t="shared" si="111"/>
        <v>0.13888888888322981</v>
      </c>
      <c r="AA447" s="169">
        <f t="shared" si="112"/>
        <v>0.14583333333333334</v>
      </c>
      <c r="AB447" s="170" t="str">
        <f t="shared" si="113"/>
        <v>00:10:00</v>
      </c>
      <c r="AC447" s="170" t="b">
        <f t="shared" si="114"/>
        <v>1</v>
      </c>
    </row>
    <row r="448" spans="1:29" s="128" customFormat="1" ht="9.75" hidden="1" customHeight="1" x14ac:dyDescent="0.3">
      <c r="A448" s="99">
        <v>46244</v>
      </c>
      <c r="B448" s="59">
        <v>8160218</v>
      </c>
      <c r="C448" s="60" t="s">
        <v>82</v>
      </c>
      <c r="D448" s="60" t="s">
        <v>333</v>
      </c>
      <c r="E448" s="61">
        <v>0.20833333333333334</v>
      </c>
      <c r="F448" s="60" t="s">
        <v>26</v>
      </c>
      <c r="G448" s="71" t="s">
        <v>13</v>
      </c>
      <c r="H448" s="62">
        <v>0.20624999999999999</v>
      </c>
      <c r="I448" s="113" t="str">
        <f t="shared" si="101"/>
        <v>10-08-2026T04:57:00</v>
      </c>
      <c r="J448" s="62">
        <v>0.65347222222222223</v>
      </c>
      <c r="K448" s="62"/>
      <c r="L448" s="63">
        <f t="shared" si="107"/>
        <v>0.44722222222222224</v>
      </c>
      <c r="M448" s="64">
        <v>0.45833333333333331</v>
      </c>
      <c r="N448" s="65" t="str">
        <f t="shared" si="108"/>
        <v>00:16:00</v>
      </c>
      <c r="O448" s="66"/>
      <c r="P448" s="124"/>
      <c r="Q448" s="67" t="s">
        <v>13</v>
      </c>
      <c r="R448" s="68">
        <v>46244.577777777777</v>
      </c>
      <c r="S448" s="68">
        <v>46244.645138888889</v>
      </c>
      <c r="T448" s="69">
        <f t="shared" si="109"/>
        <v>6.7361111112404615E-2</v>
      </c>
      <c r="U448" s="61"/>
      <c r="V448" s="83">
        <v>8.3333333333333329E-2</v>
      </c>
      <c r="W448" s="61">
        <f t="shared" si="110"/>
        <v>-1.5972222220928714E-2</v>
      </c>
      <c r="X448" s="171">
        <v>46244.206250000003</v>
      </c>
      <c r="Y448" s="171">
        <v>46244.65347222222</v>
      </c>
      <c r="Z448" s="168">
        <f t="shared" si="111"/>
        <v>0.44722222221753327</v>
      </c>
      <c r="AA448" s="169">
        <f t="shared" si="112"/>
        <v>0.45833333333333331</v>
      </c>
      <c r="AB448" s="170" t="str">
        <f t="shared" si="113"/>
        <v>00:16:00</v>
      </c>
      <c r="AC448" s="170" t="b">
        <f t="shared" si="114"/>
        <v>1</v>
      </c>
    </row>
    <row r="449" spans="1:29" s="128" customFormat="1" ht="9.75" hidden="1" customHeight="1" x14ac:dyDescent="0.3">
      <c r="A449" s="99">
        <v>46244</v>
      </c>
      <c r="B449" s="59">
        <v>8160828</v>
      </c>
      <c r="C449" s="60" t="s">
        <v>36</v>
      </c>
      <c r="D449" s="60" t="s">
        <v>300</v>
      </c>
      <c r="E449" s="61">
        <v>0.25</v>
      </c>
      <c r="F449" s="60" t="s">
        <v>14</v>
      </c>
      <c r="G449" s="71" t="s">
        <v>13</v>
      </c>
      <c r="H449" s="62">
        <v>46244.48333333333</v>
      </c>
      <c r="I449" s="113" t="str">
        <f t="shared" si="101"/>
        <v>10-08-2026T11:36:00</v>
      </c>
      <c r="J449" s="62">
        <v>46245.021527777775</v>
      </c>
      <c r="K449" s="62"/>
      <c r="L449" s="63">
        <f t="shared" si="107"/>
        <v>0.53819444444525288</v>
      </c>
      <c r="M449" s="64">
        <v>0.54166666666666663</v>
      </c>
      <c r="N449" s="65" t="str">
        <f t="shared" si="108"/>
        <v>00:05:00</v>
      </c>
      <c r="O449" s="66"/>
      <c r="P449" s="124"/>
      <c r="Q449" s="67"/>
      <c r="R449" s="68"/>
      <c r="S449" s="68"/>
      <c r="T449" s="69">
        <f t="shared" si="109"/>
        <v>0</v>
      </c>
      <c r="U449" s="61"/>
      <c r="V449" s="83">
        <v>0</v>
      </c>
      <c r="W449" s="61">
        <f t="shared" si="110"/>
        <v>0</v>
      </c>
      <c r="X449" s="171">
        <v>46244.48333333333</v>
      </c>
      <c r="Y449" s="171">
        <v>46245.021527777775</v>
      </c>
      <c r="Z449" s="168">
        <f t="shared" si="111"/>
        <v>0.53819444444525288</v>
      </c>
      <c r="AA449" s="169">
        <f t="shared" si="112"/>
        <v>0.54166666666666663</v>
      </c>
      <c r="AB449" s="170" t="str">
        <f t="shared" si="113"/>
        <v>00:05:00</v>
      </c>
      <c r="AC449" s="170" t="b">
        <f t="shared" si="114"/>
        <v>1</v>
      </c>
    </row>
    <row r="450" spans="1:29" s="128" customFormat="1" ht="9.75" hidden="1" customHeight="1" x14ac:dyDescent="0.3">
      <c r="A450" s="99">
        <v>46244</v>
      </c>
      <c r="B450" s="59">
        <v>8160378</v>
      </c>
      <c r="C450" s="60" t="s">
        <v>89</v>
      </c>
      <c r="D450" s="60" t="s">
        <v>294</v>
      </c>
      <c r="E450" s="61">
        <v>0.25</v>
      </c>
      <c r="F450" s="60" t="s">
        <v>13</v>
      </c>
      <c r="G450" s="71" t="s">
        <v>35</v>
      </c>
      <c r="H450" s="62">
        <v>0.25138888888888888</v>
      </c>
      <c r="I450" s="113" t="str">
        <f t="shared" si="101"/>
        <v>10-08-2026T06:02:00</v>
      </c>
      <c r="J450" s="62">
        <v>0.28472222222222221</v>
      </c>
      <c r="K450" s="62"/>
      <c r="L450" s="63">
        <f t="shared" si="107"/>
        <v>3.3333333333333326E-2</v>
      </c>
      <c r="M450" s="64">
        <v>4.1666666666666664E-2</v>
      </c>
      <c r="N450" s="65" t="str">
        <f t="shared" si="108"/>
        <v>00:12:00</v>
      </c>
      <c r="O450" s="66"/>
      <c r="P450" s="124"/>
      <c r="Q450" s="67"/>
      <c r="R450" s="68"/>
      <c r="S450" s="68"/>
      <c r="T450" s="69">
        <f t="shared" si="109"/>
        <v>0</v>
      </c>
      <c r="U450" s="61" t="s">
        <v>234</v>
      </c>
      <c r="V450" s="83">
        <v>0</v>
      </c>
      <c r="W450" s="61">
        <f t="shared" si="110"/>
        <v>0</v>
      </c>
      <c r="X450" s="171">
        <v>46244.251388888886</v>
      </c>
      <c r="Y450" s="171">
        <v>46244.284722222219</v>
      </c>
      <c r="Z450" s="168">
        <f t="shared" si="111"/>
        <v>3.3333333332848269E-2</v>
      </c>
      <c r="AA450" s="169">
        <f t="shared" si="112"/>
        <v>4.1666666666666664E-2</v>
      </c>
      <c r="AB450" s="170" t="str">
        <f t="shared" si="113"/>
        <v>00:12:00</v>
      </c>
      <c r="AC450" s="170" t="b">
        <f t="shared" si="114"/>
        <v>1</v>
      </c>
    </row>
    <row r="451" spans="1:29" s="127" customFormat="1" ht="9.75" hidden="1" customHeight="1" x14ac:dyDescent="0.3">
      <c r="A451" s="98">
        <v>46244</v>
      </c>
      <c r="B451" s="48">
        <v>8160415</v>
      </c>
      <c r="C451" s="49" t="s">
        <v>83</v>
      </c>
      <c r="D451" s="49" t="s">
        <v>383</v>
      </c>
      <c r="E451" s="50">
        <v>0.27083333333333331</v>
      </c>
      <c r="F451" s="49" t="s">
        <v>14</v>
      </c>
      <c r="G451" s="70" t="s">
        <v>13</v>
      </c>
      <c r="H451" s="51">
        <v>46244.267361111109</v>
      </c>
      <c r="I451" s="113" t="str">
        <f t="shared" si="101"/>
        <v>10-08-2026T06:25:00</v>
      </c>
      <c r="J451" s="51">
        <v>46245.14166666667</v>
      </c>
      <c r="K451" s="51"/>
      <c r="L451" s="52">
        <f t="shared" si="107"/>
        <v>0.87430555556056788</v>
      </c>
      <c r="M451" s="53">
        <v>0.625</v>
      </c>
      <c r="N451" s="54" t="str">
        <f t="shared" si="108"/>
        <v>-05:59:00</v>
      </c>
      <c r="O451" s="55">
        <v>1200</v>
      </c>
      <c r="P451" s="147" t="s">
        <v>561</v>
      </c>
      <c r="Q451" s="56" t="s">
        <v>126</v>
      </c>
      <c r="R451" s="57">
        <v>46244.395833333336</v>
      </c>
      <c r="S451" s="57">
        <v>46244.458333333336</v>
      </c>
      <c r="T451" s="58">
        <f t="shared" si="109"/>
        <v>6.25E-2</v>
      </c>
      <c r="U451" s="50"/>
      <c r="V451" s="74">
        <v>6.25E-2</v>
      </c>
      <c r="W451" s="50">
        <f t="shared" si="110"/>
        <v>0</v>
      </c>
      <c r="X451" s="171">
        <v>46244.267361111109</v>
      </c>
      <c r="Y451" s="171">
        <v>46245.14166666667</v>
      </c>
      <c r="Z451" s="168">
        <f t="shared" si="111"/>
        <v>0.87430555556056788</v>
      </c>
      <c r="AA451" s="169">
        <f t="shared" si="112"/>
        <v>0.625</v>
      </c>
      <c r="AB451" s="170" t="str">
        <f t="shared" si="113"/>
        <v>-05:59:00</v>
      </c>
      <c r="AC451" s="170" t="b">
        <f t="shared" si="114"/>
        <v>1</v>
      </c>
    </row>
    <row r="452" spans="1:29" s="128" customFormat="1" ht="9.75" hidden="1" customHeight="1" x14ac:dyDescent="0.3">
      <c r="A452" s="99">
        <v>46244</v>
      </c>
      <c r="B452" s="59">
        <v>8160428</v>
      </c>
      <c r="C452" s="60" t="s">
        <v>58</v>
      </c>
      <c r="D452" s="60" t="s">
        <v>368</v>
      </c>
      <c r="E452" s="61">
        <v>0.27083333333333331</v>
      </c>
      <c r="F452" s="60" t="s">
        <v>13</v>
      </c>
      <c r="G452" s="71" t="s">
        <v>14</v>
      </c>
      <c r="H452" s="62">
        <v>0.27291666666666664</v>
      </c>
      <c r="I452" s="113" t="str">
        <f t="shared" ref="I452:I515" si="115">TEXT(A452,"dd-mm-yyyy")&amp;"T"&amp;TEXT(H452,"hh:mm:ss")</f>
        <v>10-08-2026T06:33:00</v>
      </c>
      <c r="J452" s="62">
        <v>0.87916666666666665</v>
      </c>
      <c r="K452" s="62"/>
      <c r="L452" s="63">
        <f t="shared" ref="L452:L457" si="116">J452-H452</f>
        <v>0.60624999999999996</v>
      </c>
      <c r="M452" s="64">
        <v>0.625</v>
      </c>
      <c r="N452" s="65" t="str">
        <f t="shared" ref="N452:N457" si="117">IF(M452-L452&gt;0,TEXT(M452-L452,"HH:MM:SS"),TEXT(ABS(M452-L452),"-HH:MM:SS"))</f>
        <v>00:27:00</v>
      </c>
      <c r="O452" s="66"/>
      <c r="P452" s="124"/>
      <c r="Q452" s="67" t="s">
        <v>15</v>
      </c>
      <c r="R452" s="68">
        <v>46244.529166666667</v>
      </c>
      <c r="S452" s="68">
        <v>46244.538888888892</v>
      </c>
      <c r="T452" s="69">
        <f t="shared" ref="T452:T457" si="118">S452-R452</f>
        <v>9.7222222248092294E-3</v>
      </c>
      <c r="U452" s="61"/>
      <c r="V452" s="83">
        <v>6.25E-2</v>
      </c>
      <c r="W452" s="61">
        <f t="shared" ref="W452:W457" si="119">T452-V452</f>
        <v>-5.2777777775190771E-2</v>
      </c>
      <c r="X452" s="171">
        <v>46244.272916666669</v>
      </c>
      <c r="Y452" s="171">
        <v>46244.879166666666</v>
      </c>
      <c r="Z452" s="168">
        <f t="shared" si="111"/>
        <v>0.60624999999708962</v>
      </c>
      <c r="AA452" s="169">
        <f t="shared" si="112"/>
        <v>0.625</v>
      </c>
      <c r="AB452" s="170" t="str">
        <f t="shared" si="113"/>
        <v>00:27:00</v>
      </c>
      <c r="AC452" s="170" t="b">
        <f t="shared" si="114"/>
        <v>1</v>
      </c>
    </row>
    <row r="453" spans="1:29" s="128" customFormat="1" ht="9.75" hidden="1" customHeight="1" x14ac:dyDescent="0.3">
      <c r="A453" s="99">
        <v>46244</v>
      </c>
      <c r="B453" s="59">
        <v>8160485</v>
      </c>
      <c r="C453" s="60" t="s">
        <v>99</v>
      </c>
      <c r="D453" s="60" t="s">
        <v>375</v>
      </c>
      <c r="E453" s="61">
        <v>0.29166666666666669</v>
      </c>
      <c r="F453" s="60" t="s">
        <v>13</v>
      </c>
      <c r="G453" s="71" t="s">
        <v>103</v>
      </c>
      <c r="H453" s="62">
        <v>0.29236111111111113</v>
      </c>
      <c r="I453" s="113" t="str">
        <f t="shared" si="115"/>
        <v>10-08-2026T07:01:00</v>
      </c>
      <c r="J453" s="62">
        <v>0.90694444444444444</v>
      </c>
      <c r="K453" s="62"/>
      <c r="L453" s="63">
        <f t="shared" si="116"/>
        <v>0.61458333333333326</v>
      </c>
      <c r="M453" s="64">
        <v>0.625</v>
      </c>
      <c r="N453" s="65" t="str">
        <f t="shared" si="117"/>
        <v>00:15:00</v>
      </c>
      <c r="O453" s="66"/>
      <c r="P453" s="124"/>
      <c r="Q453" s="67"/>
      <c r="R453" s="68"/>
      <c r="S453" s="68"/>
      <c r="T453" s="69">
        <f t="shared" si="118"/>
        <v>0</v>
      </c>
      <c r="U453" s="61"/>
      <c r="V453" s="83">
        <v>0</v>
      </c>
      <c r="W453" s="61">
        <f t="shared" si="119"/>
        <v>0</v>
      </c>
      <c r="X453" s="171">
        <v>46244.292361111111</v>
      </c>
      <c r="Y453" s="171">
        <v>46244.906944444447</v>
      </c>
      <c r="Z453" s="168">
        <f t="shared" si="111"/>
        <v>0.61458333333575865</v>
      </c>
      <c r="AA453" s="169">
        <f t="shared" si="112"/>
        <v>0.625</v>
      </c>
      <c r="AB453" s="170" t="str">
        <f t="shared" si="113"/>
        <v>00:15:00</v>
      </c>
      <c r="AC453" s="170" t="b">
        <f t="shared" si="114"/>
        <v>1</v>
      </c>
    </row>
    <row r="454" spans="1:29" s="127" customFormat="1" ht="9.75" hidden="1" customHeight="1" x14ac:dyDescent="0.3">
      <c r="A454" s="98">
        <v>46244</v>
      </c>
      <c r="B454" s="48">
        <v>8160532</v>
      </c>
      <c r="C454" s="49" t="s">
        <v>56</v>
      </c>
      <c r="D454" s="49" t="s">
        <v>472</v>
      </c>
      <c r="E454" s="50">
        <v>0.3125</v>
      </c>
      <c r="F454" s="49" t="s">
        <v>15</v>
      </c>
      <c r="G454" s="70" t="s">
        <v>13</v>
      </c>
      <c r="H454" s="51">
        <v>0.31180555555555556</v>
      </c>
      <c r="I454" s="113" t="str">
        <f t="shared" si="115"/>
        <v>10-08-2026T07:29:00</v>
      </c>
      <c r="J454" s="51">
        <v>0.60555555555555551</v>
      </c>
      <c r="K454" s="51"/>
      <c r="L454" s="52">
        <f t="shared" si="116"/>
        <v>0.29374999999999996</v>
      </c>
      <c r="M454" s="53">
        <v>0.25</v>
      </c>
      <c r="N454" s="54" t="str">
        <f t="shared" si="117"/>
        <v>-01:03:00</v>
      </c>
      <c r="O454" s="55">
        <v>500</v>
      </c>
      <c r="P454" s="147" t="s">
        <v>544</v>
      </c>
      <c r="Q454" s="56" t="s">
        <v>205</v>
      </c>
      <c r="R454" s="57">
        <v>46244.378472222219</v>
      </c>
      <c r="S454" s="57">
        <v>46244.420138888891</v>
      </c>
      <c r="T454" s="58">
        <f t="shared" si="118"/>
        <v>4.1666666671517305E-2</v>
      </c>
      <c r="U454" s="50"/>
      <c r="V454" s="74">
        <v>4.1666666666666664E-2</v>
      </c>
      <c r="W454" s="50">
        <f t="shared" si="119"/>
        <v>4.8506407224202519E-12</v>
      </c>
      <c r="X454" s="171">
        <v>46244.311805555553</v>
      </c>
      <c r="Y454" s="171">
        <v>46244.605555555558</v>
      </c>
      <c r="Z454" s="168">
        <f t="shared" si="111"/>
        <v>0.29375000000436557</v>
      </c>
      <c r="AA454" s="169">
        <f t="shared" si="112"/>
        <v>0.25</v>
      </c>
      <c r="AB454" s="170" t="str">
        <f t="shared" si="113"/>
        <v>-01:03:00</v>
      </c>
      <c r="AC454" s="170" t="b">
        <f t="shared" si="114"/>
        <v>1</v>
      </c>
    </row>
    <row r="455" spans="1:29" s="127" customFormat="1" ht="9.75" hidden="1" customHeight="1" x14ac:dyDescent="0.3">
      <c r="A455" s="98">
        <v>46244</v>
      </c>
      <c r="B455" s="48">
        <v>8160486</v>
      </c>
      <c r="C455" s="49" t="s">
        <v>40</v>
      </c>
      <c r="D455" s="49" t="s">
        <v>460</v>
      </c>
      <c r="E455" s="50">
        <v>0.29166666666666669</v>
      </c>
      <c r="F455" s="49" t="s">
        <v>13</v>
      </c>
      <c r="G455" s="70" t="s">
        <v>31</v>
      </c>
      <c r="H455" s="51">
        <v>0.29236111111111113</v>
      </c>
      <c r="I455" s="113" t="str">
        <f t="shared" si="115"/>
        <v>10-08-2026T07:01:00</v>
      </c>
      <c r="J455" s="51">
        <v>46245.067361111112</v>
      </c>
      <c r="K455" s="51"/>
      <c r="L455" s="52">
        <f t="shared" si="116"/>
        <v>46244.775000000001</v>
      </c>
      <c r="M455" s="53">
        <v>0.625</v>
      </c>
      <c r="N455" s="54" t="str">
        <f t="shared" si="117"/>
        <v>-03:36:00</v>
      </c>
      <c r="O455" s="55">
        <v>800</v>
      </c>
      <c r="P455" s="147" t="s">
        <v>545</v>
      </c>
      <c r="Q455" s="56"/>
      <c r="R455" s="57"/>
      <c r="S455" s="57"/>
      <c r="T455" s="58">
        <f t="shared" si="118"/>
        <v>0</v>
      </c>
      <c r="U455" s="50"/>
      <c r="V455" s="74">
        <v>0</v>
      </c>
      <c r="W455" s="50">
        <f t="shared" si="119"/>
        <v>0</v>
      </c>
      <c r="X455" s="171">
        <v>46244.292361111111</v>
      </c>
      <c r="Y455" s="171">
        <v>46245.067361111112</v>
      </c>
      <c r="Z455" s="168">
        <f t="shared" si="111"/>
        <v>0.77500000000145519</v>
      </c>
      <c r="AA455" s="169">
        <f t="shared" si="112"/>
        <v>0.625</v>
      </c>
      <c r="AB455" s="170" t="str">
        <f t="shared" si="113"/>
        <v>-03:36:00</v>
      </c>
      <c r="AC455" s="170" t="b">
        <f t="shared" si="114"/>
        <v>1</v>
      </c>
    </row>
    <row r="456" spans="1:29" s="128" customFormat="1" ht="9.75" hidden="1" customHeight="1" x14ac:dyDescent="0.3">
      <c r="A456" s="99">
        <v>46244</v>
      </c>
      <c r="B456" s="59">
        <v>8160551</v>
      </c>
      <c r="C456" s="60" t="s">
        <v>42</v>
      </c>
      <c r="D456" s="60" t="s">
        <v>181</v>
      </c>
      <c r="E456" s="61">
        <v>0.3125</v>
      </c>
      <c r="F456" s="60" t="s">
        <v>13</v>
      </c>
      <c r="G456" s="71" t="s">
        <v>55</v>
      </c>
      <c r="H456" s="62">
        <v>0.32569444444444445</v>
      </c>
      <c r="I456" s="113" t="str">
        <f t="shared" si="115"/>
        <v>10-08-2026T07:49:00</v>
      </c>
      <c r="J456" s="62">
        <v>0.38611111111111113</v>
      </c>
      <c r="K456" s="62"/>
      <c r="L456" s="63">
        <f t="shared" si="116"/>
        <v>6.0416666666666674E-2</v>
      </c>
      <c r="M456" s="64">
        <v>6.25E-2</v>
      </c>
      <c r="N456" s="65" t="str">
        <f t="shared" si="117"/>
        <v>00:03:00</v>
      </c>
      <c r="O456" s="66"/>
      <c r="P456" s="124"/>
      <c r="Q456" s="67"/>
      <c r="R456" s="68"/>
      <c r="S456" s="68"/>
      <c r="T456" s="69">
        <f t="shared" si="118"/>
        <v>0</v>
      </c>
      <c r="U456" s="61" t="s">
        <v>546</v>
      </c>
      <c r="V456" s="83">
        <v>0</v>
      </c>
      <c r="W456" s="61">
        <f t="shared" si="119"/>
        <v>0</v>
      </c>
      <c r="X456" s="171">
        <v>46244.325694444444</v>
      </c>
      <c r="Y456" s="171">
        <v>46244.386111111111</v>
      </c>
      <c r="Z456" s="168">
        <f t="shared" si="111"/>
        <v>6.0416666667151731E-2</v>
      </c>
      <c r="AA456" s="169">
        <f t="shared" si="112"/>
        <v>6.25E-2</v>
      </c>
      <c r="AB456" s="170" t="str">
        <f t="shared" si="113"/>
        <v>00:03:00</v>
      </c>
      <c r="AC456" s="170" t="b">
        <f t="shared" si="114"/>
        <v>1</v>
      </c>
    </row>
    <row r="457" spans="1:29" s="127" customFormat="1" ht="9.75" hidden="1" customHeight="1" x14ac:dyDescent="0.3">
      <c r="A457" s="98">
        <v>46244</v>
      </c>
      <c r="B457" s="48">
        <v>8160610</v>
      </c>
      <c r="C457" s="49" t="s">
        <v>86</v>
      </c>
      <c r="D457" s="49" t="s">
        <v>547</v>
      </c>
      <c r="E457" s="50">
        <v>0.375</v>
      </c>
      <c r="F457" s="49" t="s">
        <v>13</v>
      </c>
      <c r="G457" s="70" t="s">
        <v>31</v>
      </c>
      <c r="H457" s="51">
        <v>46244.361111111109</v>
      </c>
      <c r="I457" s="113" t="str">
        <f t="shared" si="115"/>
        <v>10-08-2026T08:40:00</v>
      </c>
      <c r="J457" s="51">
        <v>46245.445833333331</v>
      </c>
      <c r="K457" s="51"/>
      <c r="L457" s="52">
        <f t="shared" si="116"/>
        <v>1.0847222222218988</v>
      </c>
      <c r="M457" s="53">
        <v>0.75</v>
      </c>
      <c r="N457" s="54" t="str">
        <f t="shared" si="117"/>
        <v>-08:02:00</v>
      </c>
      <c r="O457" s="55">
        <v>1800</v>
      </c>
      <c r="P457" s="147" t="s">
        <v>553</v>
      </c>
      <c r="Q457" s="56" t="s">
        <v>45</v>
      </c>
      <c r="R457" s="57">
        <v>46245.232638888891</v>
      </c>
      <c r="S457" s="57">
        <v>46245.268055555556</v>
      </c>
      <c r="T457" s="58">
        <f t="shared" si="118"/>
        <v>3.5416666665696539E-2</v>
      </c>
      <c r="U457" s="50"/>
      <c r="V457" s="74">
        <v>8.3333333333333329E-2</v>
      </c>
      <c r="W457" s="50">
        <f t="shared" si="119"/>
        <v>-4.791666666763679E-2</v>
      </c>
      <c r="X457" s="171" t="s">
        <v>371</v>
      </c>
      <c r="Y457" s="171" t="s">
        <v>371</v>
      </c>
      <c r="Z457" s="168" t="e">
        <f t="shared" si="111"/>
        <v>#VALUE!</v>
      </c>
      <c r="AA457" s="169">
        <f t="shared" si="112"/>
        <v>0.75</v>
      </c>
      <c r="AB457" s="170" t="e">
        <f t="shared" si="113"/>
        <v>#VALUE!</v>
      </c>
      <c r="AC457" s="170" t="e">
        <f t="shared" si="114"/>
        <v>#VALUE!</v>
      </c>
    </row>
    <row r="458" spans="1:29" ht="9.75" hidden="1" customHeight="1" x14ac:dyDescent="0.3">
      <c r="A458" s="149">
        <v>46243</v>
      </c>
      <c r="B458" s="150" t="s">
        <v>687</v>
      </c>
      <c r="C458" s="151" t="s">
        <v>100</v>
      </c>
      <c r="D458" s="151" t="s">
        <v>391</v>
      </c>
      <c r="E458" s="152">
        <v>0</v>
      </c>
      <c r="F458" s="151"/>
      <c r="G458" s="153"/>
      <c r="H458" s="154">
        <v>0</v>
      </c>
      <c r="I458" s="113" t="str">
        <f t="shared" si="115"/>
        <v>09-08-2026T00:00:00</v>
      </c>
      <c r="J458" s="154">
        <v>0</v>
      </c>
      <c r="K458" s="154"/>
      <c r="L458" s="155">
        <v>0</v>
      </c>
      <c r="M458" s="160">
        <v>0</v>
      </c>
      <c r="N458" s="156">
        <v>0</v>
      </c>
      <c r="O458" s="157"/>
      <c r="P458" s="158" t="s">
        <v>480</v>
      </c>
      <c r="Q458" s="159" t="s">
        <v>480</v>
      </c>
      <c r="R458" s="148" t="s">
        <v>480</v>
      </c>
      <c r="S458" s="148" t="s">
        <v>480</v>
      </c>
      <c r="T458" s="161" t="s">
        <v>480</v>
      </c>
      <c r="U458" s="152" t="s">
        <v>480</v>
      </c>
      <c r="V458" s="146" t="s">
        <v>480</v>
      </c>
      <c r="W458" s="152" t="s">
        <v>480</v>
      </c>
      <c r="X458" s="171" t="s">
        <v>668</v>
      </c>
      <c r="Y458" s="171" t="s">
        <v>668</v>
      </c>
      <c r="Z458" s="168" t="e">
        <f t="shared" si="111"/>
        <v>#VALUE!</v>
      </c>
      <c r="AA458" s="169">
        <f t="shared" si="112"/>
        <v>0</v>
      </c>
      <c r="AB458" s="170" t="e">
        <f t="shared" si="113"/>
        <v>#VALUE!</v>
      </c>
      <c r="AC458" s="170" t="e">
        <f t="shared" si="114"/>
        <v>#VALUE!</v>
      </c>
    </row>
    <row r="459" spans="1:29" s="128" customFormat="1" ht="9.75" hidden="1" customHeight="1" x14ac:dyDescent="0.3">
      <c r="A459" s="99">
        <v>46244</v>
      </c>
      <c r="B459" s="59">
        <v>8160625</v>
      </c>
      <c r="C459" s="60" t="s">
        <v>100</v>
      </c>
      <c r="D459" s="60" t="s">
        <v>391</v>
      </c>
      <c r="E459" s="61">
        <v>0.375</v>
      </c>
      <c r="F459" s="60" t="s">
        <v>13</v>
      </c>
      <c r="G459" s="71" t="s">
        <v>47</v>
      </c>
      <c r="H459" s="62">
        <v>46244.367361111108</v>
      </c>
      <c r="I459" s="113" t="str">
        <f t="shared" si="115"/>
        <v>10-08-2026T08:49:00</v>
      </c>
      <c r="J459" s="62">
        <v>46246.230555555558</v>
      </c>
      <c r="K459" s="62"/>
      <c r="L459" s="63">
        <f t="shared" ref="L459:L485" si="120">J459-H459</f>
        <v>1.8631944444496185</v>
      </c>
      <c r="M459" s="64">
        <v>1.9166666666666667</v>
      </c>
      <c r="N459" s="65" t="str">
        <f t="shared" ref="N459:N485" si="121">IF(M459-L459&gt;0,TEXT(M459-L459,"HH:MM:SS"),TEXT(ABS(M459-L459),"-HH:MM:SS"))</f>
        <v>01:17:00</v>
      </c>
      <c r="O459" s="66"/>
      <c r="P459" s="124" t="s">
        <v>560</v>
      </c>
      <c r="Q459" s="67" t="s">
        <v>96</v>
      </c>
      <c r="R459" s="68">
        <v>46246.025694444441</v>
      </c>
      <c r="S459" s="68" t="s">
        <v>480</v>
      </c>
      <c r="T459" s="69" t="e">
        <f t="shared" ref="T459:T485" si="122">S459-R459</f>
        <v>#VALUE!</v>
      </c>
      <c r="U459" s="61"/>
      <c r="V459" s="83">
        <v>8.3333333333333329E-2</v>
      </c>
      <c r="W459" s="61" t="e">
        <f t="shared" ref="W459:W485" si="123">T459-V459</f>
        <v>#VALUE!</v>
      </c>
      <c r="X459" s="171">
        <v>46244.367361111108</v>
      </c>
      <c r="Y459" s="171">
        <v>46246.230555555558</v>
      </c>
      <c r="Z459" s="168">
        <f t="shared" si="111"/>
        <v>1.8631944444496185</v>
      </c>
      <c r="AA459" s="169">
        <f t="shared" si="112"/>
        <v>1.9166666666666667</v>
      </c>
      <c r="AB459" s="170" t="str">
        <f t="shared" si="113"/>
        <v>01:17:00</v>
      </c>
      <c r="AC459" s="170" t="b">
        <f t="shared" si="114"/>
        <v>1</v>
      </c>
    </row>
    <row r="460" spans="1:29" s="239" customFormat="1" ht="9.75" hidden="1" customHeight="1" x14ac:dyDescent="0.3">
      <c r="A460" s="220">
        <v>46244</v>
      </c>
      <c r="B460" s="221">
        <v>8160646</v>
      </c>
      <c r="C460" s="222" t="s">
        <v>48</v>
      </c>
      <c r="D460" s="222" t="s">
        <v>183</v>
      </c>
      <c r="E460" s="223">
        <v>0.375</v>
      </c>
      <c r="F460" s="222" t="s">
        <v>49</v>
      </c>
      <c r="G460" s="224" t="s">
        <v>13</v>
      </c>
      <c r="H460" s="225">
        <v>46244.374305555553</v>
      </c>
      <c r="I460" s="113" t="str">
        <f t="shared" si="115"/>
        <v>10-08-2026T08:59:00</v>
      </c>
      <c r="J460" s="225">
        <v>46245.025000000001</v>
      </c>
      <c r="K460" s="225"/>
      <c r="L460" s="226">
        <f t="shared" si="120"/>
        <v>0.65069444444816327</v>
      </c>
      <c r="M460" s="227">
        <v>0.58333333333333337</v>
      </c>
      <c r="N460" s="228" t="str">
        <f t="shared" si="121"/>
        <v>-01:37:00</v>
      </c>
      <c r="O460" s="229">
        <v>250</v>
      </c>
      <c r="P460" s="240" t="s">
        <v>548</v>
      </c>
      <c r="Q460" s="231" t="s">
        <v>13</v>
      </c>
      <c r="R460" s="232">
        <v>46244.859027777777</v>
      </c>
      <c r="S460" s="232">
        <v>46245.009027777778</v>
      </c>
      <c r="T460" s="233">
        <f t="shared" si="122"/>
        <v>0.15000000000145519</v>
      </c>
      <c r="U460" s="223"/>
      <c r="V460" s="234">
        <v>8.3333333333333329E-2</v>
      </c>
      <c r="W460" s="223">
        <f t="shared" si="123"/>
        <v>6.6666666668121863E-2</v>
      </c>
      <c r="X460" s="235">
        <v>46244.374305555553</v>
      </c>
      <c r="Y460" s="235">
        <v>46245.025000000001</v>
      </c>
      <c r="Z460" s="236">
        <f t="shared" si="111"/>
        <v>0.65069444444816327</v>
      </c>
      <c r="AA460" s="237">
        <f t="shared" si="112"/>
        <v>0.58333333333333337</v>
      </c>
      <c r="AB460" s="238" t="str">
        <f t="shared" si="113"/>
        <v>-01:37:00</v>
      </c>
      <c r="AC460" s="238" t="b">
        <f t="shared" si="114"/>
        <v>1</v>
      </c>
    </row>
    <row r="461" spans="1:29" s="127" customFormat="1" ht="9.75" hidden="1" customHeight="1" x14ac:dyDescent="0.3">
      <c r="A461" s="98">
        <v>46244</v>
      </c>
      <c r="B461" s="48">
        <v>8160700</v>
      </c>
      <c r="C461" s="49" t="s">
        <v>51</v>
      </c>
      <c r="D461" s="49" t="s">
        <v>295</v>
      </c>
      <c r="E461" s="50">
        <v>0.41666666666666669</v>
      </c>
      <c r="F461" s="49" t="s">
        <v>13</v>
      </c>
      <c r="G461" s="70" t="s">
        <v>49</v>
      </c>
      <c r="H461" s="51">
        <v>0.41875000000000001</v>
      </c>
      <c r="I461" s="113" t="str">
        <f t="shared" si="115"/>
        <v>10-08-2026T10:03:00</v>
      </c>
      <c r="J461" s="51">
        <v>0.96527777777777779</v>
      </c>
      <c r="K461" s="51"/>
      <c r="L461" s="52">
        <f t="shared" si="120"/>
        <v>0.54652777777777772</v>
      </c>
      <c r="M461" s="53">
        <v>0.5</v>
      </c>
      <c r="N461" s="54" t="str">
        <f t="shared" si="121"/>
        <v>-01:07:00</v>
      </c>
      <c r="O461" s="55">
        <v>500</v>
      </c>
      <c r="P461" s="147" t="s">
        <v>573</v>
      </c>
      <c r="Q461" s="56"/>
      <c r="R461" s="57"/>
      <c r="S461" s="57"/>
      <c r="T461" s="58">
        <f t="shared" si="122"/>
        <v>0</v>
      </c>
      <c r="U461" s="50" t="s">
        <v>234</v>
      </c>
      <c r="V461" s="74">
        <v>0</v>
      </c>
      <c r="W461" s="50">
        <f t="shared" si="123"/>
        <v>0</v>
      </c>
      <c r="X461" s="171">
        <v>46244.418749999997</v>
      </c>
      <c r="Y461" s="171">
        <v>46244.965277777781</v>
      </c>
      <c r="Z461" s="168">
        <f t="shared" si="111"/>
        <v>0.54652777778392192</v>
      </c>
      <c r="AA461" s="169">
        <f t="shared" si="112"/>
        <v>0.5</v>
      </c>
      <c r="AB461" s="170" t="str">
        <f t="shared" si="113"/>
        <v>-01:07:00</v>
      </c>
      <c r="AC461" s="170" t="b">
        <f t="shared" si="114"/>
        <v>1</v>
      </c>
    </row>
    <row r="462" spans="1:29" s="128" customFormat="1" ht="9.75" customHeight="1" x14ac:dyDescent="0.3">
      <c r="A462" s="99">
        <v>46244</v>
      </c>
      <c r="B462" s="59">
        <v>8159773</v>
      </c>
      <c r="C462" s="60" t="s">
        <v>90</v>
      </c>
      <c r="D462" s="60" t="s">
        <v>290</v>
      </c>
      <c r="E462" s="61">
        <v>0.99930555555555556</v>
      </c>
      <c r="F462" s="60" t="s">
        <v>13</v>
      </c>
      <c r="G462" s="71" t="s">
        <v>15</v>
      </c>
      <c r="H462" s="62">
        <v>1.3888888888888889E-3</v>
      </c>
      <c r="I462" s="113" t="str">
        <f t="shared" si="115"/>
        <v>10-08-2026T00:02:00</v>
      </c>
      <c r="J462" s="62">
        <v>0.25347222222222221</v>
      </c>
      <c r="K462" s="113" t="str">
        <f t="shared" ref="K462:K463" si="124">TEXT(A462,"dd-mm-yyyy")&amp;"T"&amp;TEXT(J462,"hh:mm:ss")</f>
        <v>10-08-2026T06:05:00</v>
      </c>
      <c r="L462" s="63">
        <f t="shared" si="120"/>
        <v>0.25208333333333333</v>
      </c>
      <c r="M462" s="64">
        <v>0.27083333333333331</v>
      </c>
      <c r="N462" s="65" t="str">
        <f t="shared" si="121"/>
        <v>00:27:00</v>
      </c>
      <c r="O462" s="66"/>
      <c r="P462" s="124"/>
      <c r="Q462" s="67" t="s">
        <v>13</v>
      </c>
      <c r="R462" s="68">
        <v>46244.008333333331</v>
      </c>
      <c r="S462" s="68">
        <v>46244.045138888891</v>
      </c>
      <c r="T462" s="69">
        <f t="shared" si="122"/>
        <v>3.680555555911269E-2</v>
      </c>
      <c r="U462" s="61"/>
      <c r="V462" s="83">
        <v>4.1666666666666664E-2</v>
      </c>
      <c r="W462" s="61">
        <f t="shared" si="123"/>
        <v>-4.861111107553974E-3</v>
      </c>
      <c r="X462" s="171">
        <v>46244.001388888886</v>
      </c>
      <c r="Y462" s="171">
        <v>46244.253472222219</v>
      </c>
      <c r="Z462" s="168">
        <f t="shared" si="111"/>
        <v>0.25208333333284827</v>
      </c>
      <c r="AA462" s="169">
        <f t="shared" si="112"/>
        <v>0.27083333333333331</v>
      </c>
      <c r="AB462" s="170" t="str">
        <f t="shared" si="113"/>
        <v>00:27:00</v>
      </c>
      <c r="AC462" s="170" t="b">
        <f t="shared" si="114"/>
        <v>1</v>
      </c>
    </row>
    <row r="463" spans="1:29" s="127" customFormat="1" ht="9.75" hidden="1" customHeight="1" x14ac:dyDescent="0.3">
      <c r="A463" s="98">
        <v>46244</v>
      </c>
      <c r="B463" s="48">
        <v>8160753</v>
      </c>
      <c r="C463" s="49" t="s">
        <v>90</v>
      </c>
      <c r="D463" s="49" t="s">
        <v>290</v>
      </c>
      <c r="E463" s="50">
        <v>0.4375</v>
      </c>
      <c r="F463" s="49" t="s">
        <v>15</v>
      </c>
      <c r="G463" s="70" t="s">
        <v>13</v>
      </c>
      <c r="H463" s="51">
        <v>0.44861111111111113</v>
      </c>
      <c r="I463" s="113" t="str">
        <f t="shared" si="115"/>
        <v>10-08-2026T10:46:00</v>
      </c>
      <c r="J463" s="51">
        <v>0.66736111111111107</v>
      </c>
      <c r="K463" s="113" t="str">
        <f t="shared" si="124"/>
        <v>10-08-2026T16:01:00</v>
      </c>
      <c r="L463" s="52">
        <f t="shared" si="120"/>
        <v>0.21874999999999994</v>
      </c>
      <c r="M463" s="53">
        <v>0.20833333333333334</v>
      </c>
      <c r="N463" s="54" t="str">
        <f t="shared" si="121"/>
        <v>-00:15:00</v>
      </c>
      <c r="O463" s="55">
        <v>200</v>
      </c>
      <c r="P463" s="147" t="s">
        <v>455</v>
      </c>
      <c r="Q463" s="56"/>
      <c r="R463" s="57"/>
      <c r="S463" s="57"/>
      <c r="T463" s="58">
        <f t="shared" si="122"/>
        <v>0</v>
      </c>
      <c r="U463" s="50"/>
      <c r="V463" s="74">
        <v>0</v>
      </c>
      <c r="W463" s="50">
        <f t="shared" si="123"/>
        <v>0</v>
      </c>
      <c r="X463" s="171">
        <v>46244.448611111111</v>
      </c>
      <c r="Y463" s="171">
        <v>46244.667361111111</v>
      </c>
      <c r="Z463" s="168">
        <f t="shared" si="111"/>
        <v>0.21875</v>
      </c>
      <c r="AA463" s="169">
        <f t="shared" si="112"/>
        <v>0.20833333333333334</v>
      </c>
      <c r="AB463" s="170" t="str">
        <f t="shared" si="113"/>
        <v>-00:15:00</v>
      </c>
      <c r="AC463" s="170" t="b">
        <f t="shared" si="114"/>
        <v>1</v>
      </c>
    </row>
    <row r="464" spans="1:29" s="128" customFormat="1" ht="9.75" hidden="1" customHeight="1" x14ac:dyDescent="0.3">
      <c r="A464" s="99">
        <v>46244</v>
      </c>
      <c r="B464" s="59">
        <v>8160741</v>
      </c>
      <c r="C464" s="60" t="s">
        <v>54</v>
      </c>
      <c r="D464" s="60" t="s">
        <v>288</v>
      </c>
      <c r="E464" s="61">
        <v>0.45833333333333331</v>
      </c>
      <c r="F464" s="60" t="s">
        <v>13</v>
      </c>
      <c r="G464" s="71" t="s">
        <v>24</v>
      </c>
      <c r="H464" s="62">
        <v>0.44097222222222221</v>
      </c>
      <c r="I464" s="113" t="str">
        <f t="shared" si="115"/>
        <v>10-08-2026T10:35:00</v>
      </c>
      <c r="J464" s="62">
        <v>0.51527777777777772</v>
      </c>
      <c r="K464" s="62"/>
      <c r="L464" s="63">
        <f t="shared" si="120"/>
        <v>7.4305555555555514E-2</v>
      </c>
      <c r="M464" s="64">
        <v>8.3333333333333329E-2</v>
      </c>
      <c r="N464" s="65" t="str">
        <f t="shared" si="121"/>
        <v>00:13:00</v>
      </c>
      <c r="O464" s="66"/>
      <c r="P464" s="124"/>
      <c r="Q464" s="67"/>
      <c r="R464" s="68"/>
      <c r="S464" s="68"/>
      <c r="T464" s="69">
        <f t="shared" si="122"/>
        <v>0</v>
      </c>
      <c r="U464" s="61" t="s">
        <v>234</v>
      </c>
      <c r="V464" s="83">
        <v>0</v>
      </c>
      <c r="W464" s="61">
        <f t="shared" si="123"/>
        <v>0</v>
      </c>
      <c r="X464" s="171">
        <v>46244.440972222219</v>
      </c>
      <c r="Y464" s="171">
        <v>46244.515277777777</v>
      </c>
      <c r="Z464" s="168">
        <f t="shared" si="111"/>
        <v>7.4305555557657499E-2</v>
      </c>
      <c r="AA464" s="169">
        <f t="shared" si="112"/>
        <v>8.3333333333333329E-2</v>
      </c>
      <c r="AB464" s="170" t="str">
        <f t="shared" si="113"/>
        <v>00:13:00</v>
      </c>
      <c r="AC464" s="170" t="b">
        <f t="shared" si="114"/>
        <v>1</v>
      </c>
    </row>
    <row r="465" spans="1:30" s="128" customFormat="1" ht="9.75" hidden="1" customHeight="1" x14ac:dyDescent="0.3">
      <c r="A465" s="99">
        <v>46244</v>
      </c>
      <c r="B465" s="59">
        <v>8160973</v>
      </c>
      <c r="C465" s="60" t="s">
        <v>52</v>
      </c>
      <c r="D465" s="60" t="s">
        <v>616</v>
      </c>
      <c r="E465" s="61">
        <v>0.54166666666666663</v>
      </c>
      <c r="F465" s="60" t="s">
        <v>13</v>
      </c>
      <c r="G465" s="71" t="s">
        <v>15</v>
      </c>
      <c r="H465" s="62">
        <v>0.54305555555555551</v>
      </c>
      <c r="I465" s="113" t="str">
        <f t="shared" si="115"/>
        <v>10-08-2026T13:02:00</v>
      </c>
      <c r="J465" s="62">
        <v>0.74930555555555556</v>
      </c>
      <c r="K465" s="62"/>
      <c r="L465" s="63">
        <f t="shared" si="120"/>
        <v>0.20625000000000004</v>
      </c>
      <c r="M465" s="64">
        <v>0.20833333333333334</v>
      </c>
      <c r="N465" s="65" t="str">
        <f t="shared" si="121"/>
        <v>00:03:00</v>
      </c>
      <c r="O465" s="66"/>
      <c r="P465" s="124" t="s">
        <v>549</v>
      </c>
      <c r="Q465" s="67"/>
      <c r="R465" s="68"/>
      <c r="S465" s="68"/>
      <c r="T465" s="69">
        <f t="shared" si="122"/>
        <v>0</v>
      </c>
      <c r="U465" s="61"/>
      <c r="V465" s="83">
        <v>0</v>
      </c>
      <c r="W465" s="61">
        <f t="shared" si="123"/>
        <v>0</v>
      </c>
      <c r="X465" s="171">
        <v>46244.543055555558</v>
      </c>
      <c r="Y465" s="171">
        <v>46244.749305555553</v>
      </c>
      <c r="Z465" s="168">
        <f t="shared" si="111"/>
        <v>0.20624999999563443</v>
      </c>
      <c r="AA465" s="169">
        <f t="shared" si="112"/>
        <v>0.20833333333333334</v>
      </c>
      <c r="AB465" s="170" t="str">
        <f t="shared" si="113"/>
        <v>00:03:00</v>
      </c>
      <c r="AC465" s="170" t="b">
        <f t="shared" si="114"/>
        <v>1</v>
      </c>
    </row>
    <row r="466" spans="1:30" s="128" customFormat="1" ht="9.75" hidden="1" customHeight="1" x14ac:dyDescent="0.3">
      <c r="A466" s="99">
        <v>46244</v>
      </c>
      <c r="B466" s="59">
        <v>8161165</v>
      </c>
      <c r="C466" s="60" t="s">
        <v>18</v>
      </c>
      <c r="D466" s="60" t="s">
        <v>389</v>
      </c>
      <c r="E466" s="61">
        <v>0.64583333333333337</v>
      </c>
      <c r="F466" s="60" t="s">
        <v>19</v>
      </c>
      <c r="G466" s="71" t="s">
        <v>13</v>
      </c>
      <c r="H466" s="62">
        <v>46244.643750000003</v>
      </c>
      <c r="I466" s="113" t="str">
        <f t="shared" si="115"/>
        <v>10-08-2026T15:27:00</v>
      </c>
      <c r="J466" s="62">
        <v>46245.074305555558</v>
      </c>
      <c r="K466" s="62"/>
      <c r="L466" s="63">
        <f t="shared" si="120"/>
        <v>0.43055555555474712</v>
      </c>
      <c r="M466" s="64">
        <v>0.4375</v>
      </c>
      <c r="N466" s="65" t="str">
        <f t="shared" si="121"/>
        <v>00:10:00</v>
      </c>
      <c r="O466" s="66"/>
      <c r="P466" s="124"/>
      <c r="Q466" s="67" t="s">
        <v>229</v>
      </c>
      <c r="R466" s="68">
        <v>0.75</v>
      </c>
      <c r="S466" s="68">
        <v>0.8125</v>
      </c>
      <c r="T466" s="69">
        <f t="shared" si="122"/>
        <v>6.25E-2</v>
      </c>
      <c r="U466" s="61"/>
      <c r="V466" s="83">
        <v>8.3333333333333329E-2</v>
      </c>
      <c r="W466" s="61">
        <f t="shared" si="123"/>
        <v>-2.0833333333333329E-2</v>
      </c>
      <c r="X466" s="171">
        <v>46244.643750000003</v>
      </c>
      <c r="Y466" s="171">
        <v>46245.074305555558</v>
      </c>
      <c r="Z466" s="168">
        <f t="shared" si="111"/>
        <v>0.43055555555474712</v>
      </c>
      <c r="AA466" s="169">
        <f t="shared" si="112"/>
        <v>0.4375</v>
      </c>
      <c r="AB466" s="170" t="str">
        <f t="shared" si="113"/>
        <v>00:10:00</v>
      </c>
      <c r="AC466" s="170" t="b">
        <f t="shared" si="114"/>
        <v>1</v>
      </c>
    </row>
    <row r="467" spans="1:30" s="128" customFormat="1" ht="9.75" hidden="1" customHeight="1" x14ac:dyDescent="0.3">
      <c r="A467" s="99">
        <v>46244</v>
      </c>
      <c r="B467" s="59">
        <v>8160806</v>
      </c>
      <c r="C467" s="60" t="s">
        <v>57</v>
      </c>
      <c r="D467" s="60" t="s">
        <v>370</v>
      </c>
      <c r="E467" s="61">
        <v>0.70833333333333337</v>
      </c>
      <c r="F467" s="60" t="s">
        <v>13</v>
      </c>
      <c r="G467" s="71" t="s">
        <v>24</v>
      </c>
      <c r="H467" s="62">
        <v>0.47291666666666665</v>
      </c>
      <c r="I467" s="113" t="str">
        <f t="shared" si="115"/>
        <v>10-08-2026T11:21:00</v>
      </c>
      <c r="J467" s="62">
        <v>0.54513888888888884</v>
      </c>
      <c r="K467" s="62"/>
      <c r="L467" s="63">
        <f t="shared" si="120"/>
        <v>7.2222222222222188E-2</v>
      </c>
      <c r="M467" s="64">
        <v>8.3333333333333329E-2</v>
      </c>
      <c r="N467" s="65" t="str">
        <f t="shared" si="121"/>
        <v>00:16:00</v>
      </c>
      <c r="O467" s="66"/>
      <c r="P467" s="124"/>
      <c r="Q467" s="67"/>
      <c r="R467" s="68"/>
      <c r="S467" s="68"/>
      <c r="T467" s="69">
        <f t="shared" si="122"/>
        <v>0</v>
      </c>
      <c r="U467" s="61" t="s">
        <v>234</v>
      </c>
      <c r="V467" s="83">
        <v>0</v>
      </c>
      <c r="W467" s="61">
        <f t="shared" si="123"/>
        <v>0</v>
      </c>
      <c r="X467" s="171">
        <v>46244.472916666666</v>
      </c>
      <c r="Y467" s="171">
        <v>46244.545138888891</v>
      </c>
      <c r="Z467" s="168">
        <f t="shared" si="111"/>
        <v>7.2222222224809229E-2</v>
      </c>
      <c r="AA467" s="169">
        <f t="shared" si="112"/>
        <v>8.3333333333333329E-2</v>
      </c>
      <c r="AB467" s="170" t="str">
        <f t="shared" si="113"/>
        <v>00:16:00</v>
      </c>
      <c r="AC467" s="170" t="b">
        <f t="shared" si="114"/>
        <v>1</v>
      </c>
    </row>
    <row r="468" spans="1:30" s="128" customFormat="1" ht="9.75" hidden="1" customHeight="1" x14ac:dyDescent="0.3">
      <c r="A468" s="99">
        <v>46244</v>
      </c>
      <c r="B468" s="59">
        <v>8161329</v>
      </c>
      <c r="C468" s="60" t="s">
        <v>41</v>
      </c>
      <c r="D468" s="60" t="s">
        <v>299</v>
      </c>
      <c r="E468" s="61">
        <v>0.70833333333333337</v>
      </c>
      <c r="F468" s="60" t="s">
        <v>13</v>
      </c>
      <c r="G468" s="71" t="s">
        <v>24</v>
      </c>
      <c r="H468" s="62">
        <v>0.71527777777777779</v>
      </c>
      <c r="I468" s="113" t="str">
        <f t="shared" si="115"/>
        <v>10-08-2026T17:10:00</v>
      </c>
      <c r="J468" s="62">
        <v>0.79166666666666663</v>
      </c>
      <c r="K468" s="62"/>
      <c r="L468" s="63">
        <f t="shared" si="120"/>
        <v>7.638888888888884E-2</v>
      </c>
      <c r="M468" s="64">
        <v>8.3333333333333329E-2</v>
      </c>
      <c r="N468" s="65" t="str">
        <f t="shared" si="121"/>
        <v>00:10:00</v>
      </c>
      <c r="O468" s="66"/>
      <c r="P468" s="124"/>
      <c r="Q468" s="67"/>
      <c r="R468" s="68"/>
      <c r="S468" s="68"/>
      <c r="T468" s="69">
        <f t="shared" si="122"/>
        <v>0</v>
      </c>
      <c r="U468" s="61" t="s">
        <v>234</v>
      </c>
      <c r="V468" s="83">
        <v>0</v>
      </c>
      <c r="W468" s="61">
        <f t="shared" si="123"/>
        <v>0</v>
      </c>
      <c r="X468" s="171">
        <v>46244.715277777781</v>
      </c>
      <c r="Y468" s="171">
        <v>46244.791666666664</v>
      </c>
      <c r="Z468" s="168">
        <f t="shared" si="111"/>
        <v>7.6388888883229811E-2</v>
      </c>
      <c r="AA468" s="169">
        <f t="shared" si="112"/>
        <v>8.3333333333333329E-2</v>
      </c>
      <c r="AB468" s="170" t="str">
        <f t="shared" si="113"/>
        <v>00:10:00</v>
      </c>
      <c r="AC468" s="170" t="b">
        <f t="shared" si="114"/>
        <v>1</v>
      </c>
    </row>
    <row r="469" spans="1:30" s="128" customFormat="1" ht="9.75" hidden="1" customHeight="1" x14ac:dyDescent="0.3">
      <c r="A469" s="99">
        <v>46244</v>
      </c>
      <c r="B469" s="59">
        <v>8161427</v>
      </c>
      <c r="C469" s="60" t="s">
        <v>84</v>
      </c>
      <c r="D469" s="60" t="s">
        <v>301</v>
      </c>
      <c r="E469" s="61">
        <v>0.70833333333333337</v>
      </c>
      <c r="F469" s="60" t="s">
        <v>85</v>
      </c>
      <c r="G469" s="71" t="s">
        <v>13</v>
      </c>
      <c r="H469" s="62">
        <v>46244.755555555559</v>
      </c>
      <c r="I469" s="113" t="str">
        <f t="shared" si="115"/>
        <v>10-08-2026T18:08:00</v>
      </c>
      <c r="J469" s="62">
        <v>46245.086111111108</v>
      </c>
      <c r="K469" s="62"/>
      <c r="L469" s="63">
        <f t="shared" si="120"/>
        <v>0.33055555554892635</v>
      </c>
      <c r="M469" s="64">
        <v>0.33333333333333331</v>
      </c>
      <c r="N469" s="65" t="str">
        <f t="shared" si="121"/>
        <v>00:04:00</v>
      </c>
      <c r="O469" s="66"/>
      <c r="P469" s="124" t="s">
        <v>552</v>
      </c>
      <c r="Q469" s="67" t="s">
        <v>174</v>
      </c>
      <c r="R469" s="68" t="s">
        <v>480</v>
      </c>
      <c r="S469" s="68" t="s">
        <v>480</v>
      </c>
      <c r="T469" s="69" t="e">
        <f t="shared" si="122"/>
        <v>#VALUE!</v>
      </c>
      <c r="U469" s="61"/>
      <c r="V469" s="83">
        <v>4.1666666666666664E-2</v>
      </c>
      <c r="W469" s="61" t="e">
        <f t="shared" si="123"/>
        <v>#VALUE!</v>
      </c>
      <c r="X469" s="171">
        <v>46244.755555555559</v>
      </c>
      <c r="Y469" s="171">
        <v>46245.086111111108</v>
      </c>
      <c r="Z469" s="168">
        <f t="shared" si="111"/>
        <v>0.33055555554892635</v>
      </c>
      <c r="AA469" s="169">
        <f t="shared" si="112"/>
        <v>0.33333333333333331</v>
      </c>
      <c r="AB469" s="170" t="str">
        <f t="shared" si="113"/>
        <v>00:04:00</v>
      </c>
      <c r="AC469" s="170" t="b">
        <f t="shared" si="114"/>
        <v>1</v>
      </c>
    </row>
    <row r="470" spans="1:30" s="128" customFormat="1" ht="9.75" hidden="1" customHeight="1" x14ac:dyDescent="0.3">
      <c r="A470" s="99">
        <v>46244</v>
      </c>
      <c r="B470" s="59">
        <v>8161325</v>
      </c>
      <c r="C470" s="60" t="s">
        <v>27</v>
      </c>
      <c r="D470" s="60" t="s">
        <v>378</v>
      </c>
      <c r="E470" s="61">
        <v>0.70833333333333337</v>
      </c>
      <c r="F470" s="60" t="s">
        <v>28</v>
      </c>
      <c r="G470" s="71" t="s">
        <v>13</v>
      </c>
      <c r="H470" s="62">
        <v>0.71388888888888891</v>
      </c>
      <c r="I470" s="113" t="str">
        <f t="shared" si="115"/>
        <v>10-08-2026T17:08:00</v>
      </c>
      <c r="J470" s="62">
        <v>0.88055555555555554</v>
      </c>
      <c r="K470" s="62"/>
      <c r="L470" s="63">
        <f t="shared" si="120"/>
        <v>0.16666666666666663</v>
      </c>
      <c r="M470" s="64">
        <v>0.16666666666666666</v>
      </c>
      <c r="N470" s="65" t="str">
        <f t="shared" si="121"/>
        <v>00:00:00</v>
      </c>
      <c r="O470" s="66"/>
      <c r="P470" s="124"/>
      <c r="Q470" s="67"/>
      <c r="R470" s="68"/>
      <c r="S470" s="68"/>
      <c r="T470" s="69">
        <f t="shared" si="122"/>
        <v>0</v>
      </c>
      <c r="U470" s="61"/>
      <c r="V470" s="83">
        <v>0</v>
      </c>
      <c r="W470" s="61">
        <f t="shared" si="123"/>
        <v>0</v>
      </c>
      <c r="X470" s="171">
        <v>46244.713888888888</v>
      </c>
      <c r="Y470" s="171">
        <v>46244.880555555559</v>
      </c>
      <c r="Z470" s="168">
        <f t="shared" si="111"/>
        <v>0.16666666667151731</v>
      </c>
      <c r="AA470" s="169">
        <f t="shared" si="112"/>
        <v>0.16666666666666666</v>
      </c>
      <c r="AB470" s="170" t="str">
        <f t="shared" si="113"/>
        <v>-00:00:00</v>
      </c>
      <c r="AC470" s="170" t="b">
        <f t="shared" si="114"/>
        <v>0</v>
      </c>
      <c r="AD470" s="128">
        <v>0</v>
      </c>
    </row>
    <row r="471" spans="1:30" s="127" customFormat="1" ht="9.75" hidden="1" customHeight="1" x14ac:dyDescent="0.3">
      <c r="A471" s="98">
        <v>46244</v>
      </c>
      <c r="B471" s="48">
        <v>8161352</v>
      </c>
      <c r="C471" s="49" t="s">
        <v>89</v>
      </c>
      <c r="D471" s="49" t="s">
        <v>294</v>
      </c>
      <c r="E471" s="50">
        <v>0.75</v>
      </c>
      <c r="F471" s="49" t="s">
        <v>35</v>
      </c>
      <c r="G471" s="70" t="s">
        <v>13</v>
      </c>
      <c r="H471" s="51">
        <v>0.73124999999999996</v>
      </c>
      <c r="I471" s="113" t="str">
        <f t="shared" si="115"/>
        <v>10-08-2026T17:33:00</v>
      </c>
      <c r="J471" s="51">
        <v>0.85486111111111107</v>
      </c>
      <c r="K471" s="51"/>
      <c r="L471" s="52">
        <f t="shared" si="120"/>
        <v>0.12361111111111112</v>
      </c>
      <c r="M471" s="53">
        <v>4.1666666666666664E-2</v>
      </c>
      <c r="N471" s="54" t="str">
        <f t="shared" si="121"/>
        <v>-01:58:00</v>
      </c>
      <c r="O471" s="55">
        <v>500</v>
      </c>
      <c r="P471" s="147" t="s">
        <v>550</v>
      </c>
      <c r="Q471" s="56"/>
      <c r="R471" s="57"/>
      <c r="S471" s="57"/>
      <c r="T471" s="58">
        <f t="shared" si="122"/>
        <v>0</v>
      </c>
      <c r="U471" s="50"/>
      <c r="V471" s="74">
        <v>0</v>
      </c>
      <c r="W471" s="50">
        <f t="shared" si="123"/>
        <v>0</v>
      </c>
      <c r="X471" s="171">
        <v>46244.731249999997</v>
      </c>
      <c r="Y471" s="171">
        <v>46244.854861111111</v>
      </c>
      <c r="Z471" s="168">
        <f t="shared" si="111"/>
        <v>0.12361111111385981</v>
      </c>
      <c r="AA471" s="169">
        <f t="shared" si="112"/>
        <v>4.1666666666666664E-2</v>
      </c>
      <c r="AB471" s="170" t="str">
        <f t="shared" si="113"/>
        <v>-01:58:00</v>
      </c>
      <c r="AC471" s="170" t="b">
        <f t="shared" si="114"/>
        <v>1</v>
      </c>
    </row>
    <row r="472" spans="1:30" s="128" customFormat="1" ht="9.75" hidden="1" customHeight="1" x14ac:dyDescent="0.3">
      <c r="A472" s="99">
        <v>46244</v>
      </c>
      <c r="B472" s="59">
        <v>8161585</v>
      </c>
      <c r="C472" s="60" t="s">
        <v>32</v>
      </c>
      <c r="D472" s="60" t="s">
        <v>476</v>
      </c>
      <c r="E472" s="61">
        <v>0.83333333333333337</v>
      </c>
      <c r="F472" s="60" t="s">
        <v>287</v>
      </c>
      <c r="G472" s="71" t="s">
        <v>13</v>
      </c>
      <c r="H472" s="62">
        <v>0.82499999999999996</v>
      </c>
      <c r="I472" s="113" t="str">
        <f t="shared" si="115"/>
        <v>10-08-2026T19:48:00</v>
      </c>
      <c r="J472" s="62">
        <v>0.96111111111111114</v>
      </c>
      <c r="K472" s="62"/>
      <c r="L472" s="63">
        <f t="shared" si="120"/>
        <v>0.13611111111111118</v>
      </c>
      <c r="M472" s="64">
        <v>0.14583333333333334</v>
      </c>
      <c r="N472" s="65" t="str">
        <f t="shared" si="121"/>
        <v>00:14:00</v>
      </c>
      <c r="O472" s="66"/>
      <c r="P472" s="124"/>
      <c r="Q472" s="67"/>
      <c r="R472" s="68"/>
      <c r="S472" s="68"/>
      <c r="T472" s="69">
        <f t="shared" si="122"/>
        <v>0</v>
      </c>
      <c r="U472" s="61"/>
      <c r="V472" s="83">
        <v>0</v>
      </c>
      <c r="W472" s="61">
        <f t="shared" si="123"/>
        <v>0</v>
      </c>
      <c r="X472" s="171">
        <v>46244.824999999997</v>
      </c>
      <c r="Y472" s="171">
        <v>46244.961111111108</v>
      </c>
      <c r="Z472" s="168">
        <f t="shared" si="111"/>
        <v>0.13611111111094942</v>
      </c>
      <c r="AA472" s="169">
        <f t="shared" si="112"/>
        <v>0.14583333333333334</v>
      </c>
      <c r="AB472" s="170" t="str">
        <f t="shared" si="113"/>
        <v>00:14:00</v>
      </c>
      <c r="AC472" s="170" t="b">
        <f t="shared" si="114"/>
        <v>1</v>
      </c>
    </row>
    <row r="473" spans="1:30" s="128" customFormat="1" ht="9.75" hidden="1" customHeight="1" x14ac:dyDescent="0.3">
      <c r="A473" s="99">
        <v>46244</v>
      </c>
      <c r="B473" s="59">
        <v>8161741</v>
      </c>
      <c r="C473" s="60" t="s">
        <v>56</v>
      </c>
      <c r="D473" s="60" t="s">
        <v>472</v>
      </c>
      <c r="E473" s="61">
        <v>0.875</v>
      </c>
      <c r="F473" s="60" t="s">
        <v>13</v>
      </c>
      <c r="G473" s="71" t="s">
        <v>15</v>
      </c>
      <c r="H473" s="62">
        <v>46244.875694444447</v>
      </c>
      <c r="I473" s="113" t="str">
        <f t="shared" si="115"/>
        <v>10-08-2026T21:01:00</v>
      </c>
      <c r="J473" s="62">
        <v>46245.076388888891</v>
      </c>
      <c r="K473" s="62"/>
      <c r="L473" s="63">
        <f t="shared" si="120"/>
        <v>0.20069444444379769</v>
      </c>
      <c r="M473" s="64">
        <v>0.20833333333333334</v>
      </c>
      <c r="N473" s="65" t="str">
        <f t="shared" si="121"/>
        <v>00:11:00</v>
      </c>
      <c r="O473" s="66"/>
      <c r="P473" s="124"/>
      <c r="Q473" s="67"/>
      <c r="R473" s="68"/>
      <c r="S473" s="68"/>
      <c r="T473" s="69">
        <f t="shared" si="122"/>
        <v>0</v>
      </c>
      <c r="U473" s="61" t="s">
        <v>234</v>
      </c>
      <c r="V473" s="83">
        <v>0</v>
      </c>
      <c r="W473" s="61">
        <f t="shared" si="123"/>
        <v>0</v>
      </c>
      <c r="X473" s="171">
        <v>46244.875694444447</v>
      </c>
      <c r="Y473" s="171">
        <v>46245.076388888891</v>
      </c>
      <c r="Z473" s="168">
        <f t="shared" si="111"/>
        <v>0.20069444444379769</v>
      </c>
      <c r="AA473" s="169">
        <f t="shared" si="112"/>
        <v>0.20833333333333334</v>
      </c>
      <c r="AB473" s="170" t="str">
        <f t="shared" si="113"/>
        <v>00:11:00</v>
      </c>
      <c r="AC473" s="170" t="b">
        <f t="shared" si="114"/>
        <v>1</v>
      </c>
    </row>
    <row r="474" spans="1:30" s="128" customFormat="1" ht="9.75" hidden="1" customHeight="1" x14ac:dyDescent="0.3">
      <c r="A474" s="99">
        <v>46244</v>
      </c>
      <c r="B474" s="59">
        <v>8161661</v>
      </c>
      <c r="C474" s="60" t="s">
        <v>42</v>
      </c>
      <c r="D474" s="60" t="s">
        <v>181</v>
      </c>
      <c r="E474" s="61">
        <v>0.875</v>
      </c>
      <c r="F474" s="60" t="s">
        <v>55</v>
      </c>
      <c r="G474" s="71" t="s">
        <v>13</v>
      </c>
      <c r="H474" s="62">
        <v>0.84930555555555554</v>
      </c>
      <c r="I474" s="113" t="str">
        <f t="shared" si="115"/>
        <v>10-08-2026T20:23:00</v>
      </c>
      <c r="J474" s="62">
        <v>0.90347222222222223</v>
      </c>
      <c r="K474" s="62"/>
      <c r="L474" s="63">
        <f t="shared" si="120"/>
        <v>5.4166666666666696E-2</v>
      </c>
      <c r="M474" s="64">
        <v>6.25E-2</v>
      </c>
      <c r="N474" s="65" t="str">
        <f t="shared" si="121"/>
        <v>00:12:00</v>
      </c>
      <c r="O474" s="66"/>
      <c r="P474" s="124"/>
      <c r="Q474" s="67"/>
      <c r="R474" s="68"/>
      <c r="S474" s="68"/>
      <c r="T474" s="69">
        <f t="shared" si="122"/>
        <v>0</v>
      </c>
      <c r="U474" s="61"/>
      <c r="V474" s="83">
        <v>0</v>
      </c>
      <c r="W474" s="61">
        <f t="shared" si="123"/>
        <v>0</v>
      </c>
      <c r="X474" s="171">
        <v>46244.849305555559</v>
      </c>
      <c r="Y474" s="171">
        <v>46244.90347222222</v>
      </c>
      <c r="Z474" s="168">
        <f t="shared" si="111"/>
        <v>5.4166666661330964E-2</v>
      </c>
      <c r="AA474" s="169">
        <f t="shared" si="112"/>
        <v>6.25E-2</v>
      </c>
      <c r="AB474" s="170" t="str">
        <f t="shared" si="113"/>
        <v>00:12:00</v>
      </c>
      <c r="AC474" s="170" t="b">
        <f t="shared" si="114"/>
        <v>1</v>
      </c>
    </row>
    <row r="475" spans="1:30" s="128" customFormat="1" ht="9.75" hidden="1" customHeight="1" x14ac:dyDescent="0.3">
      <c r="A475" s="99">
        <v>46244</v>
      </c>
      <c r="B475" s="59">
        <v>8161689</v>
      </c>
      <c r="C475" s="60" t="s">
        <v>54</v>
      </c>
      <c r="D475" s="60" t="s">
        <v>288</v>
      </c>
      <c r="E475" s="61">
        <v>0.875</v>
      </c>
      <c r="F475" s="60" t="s">
        <v>24</v>
      </c>
      <c r="G475" s="71" t="s">
        <v>13</v>
      </c>
      <c r="H475" s="62">
        <v>0.86111111111111116</v>
      </c>
      <c r="I475" s="113" t="str">
        <f t="shared" si="115"/>
        <v>10-08-2026T20:40:00</v>
      </c>
      <c r="J475" s="62">
        <v>0.93402777777777779</v>
      </c>
      <c r="K475" s="62"/>
      <c r="L475" s="63">
        <f t="shared" si="120"/>
        <v>7.291666666666663E-2</v>
      </c>
      <c r="M475" s="64">
        <v>8.3333333333333329E-2</v>
      </c>
      <c r="N475" s="65" t="str">
        <f t="shared" si="121"/>
        <v>00:15:00</v>
      </c>
      <c r="O475" s="66"/>
      <c r="P475" s="124"/>
      <c r="Q475" s="67"/>
      <c r="R475" s="68"/>
      <c r="S475" s="68"/>
      <c r="T475" s="69">
        <f t="shared" si="122"/>
        <v>0</v>
      </c>
      <c r="U475" s="61"/>
      <c r="V475" s="83">
        <v>0</v>
      </c>
      <c r="W475" s="61">
        <f t="shared" si="123"/>
        <v>0</v>
      </c>
      <c r="X475" s="171">
        <v>46244.861111111109</v>
      </c>
      <c r="Y475" s="171">
        <v>46244.934027777781</v>
      </c>
      <c r="Z475" s="168">
        <f t="shared" si="111"/>
        <v>7.2916666671517305E-2</v>
      </c>
      <c r="AA475" s="169">
        <f t="shared" si="112"/>
        <v>8.3333333333333329E-2</v>
      </c>
      <c r="AB475" s="170" t="str">
        <f t="shared" si="113"/>
        <v>00:15:00</v>
      </c>
      <c r="AC475" s="170" t="b">
        <f t="shared" si="114"/>
        <v>1</v>
      </c>
    </row>
    <row r="476" spans="1:30" s="128" customFormat="1" ht="9.75" hidden="1" customHeight="1" x14ac:dyDescent="0.3">
      <c r="A476" s="99">
        <v>46244</v>
      </c>
      <c r="B476" s="59">
        <v>8161995</v>
      </c>
      <c r="C476" s="60" t="s">
        <v>57</v>
      </c>
      <c r="D476" s="60" t="s">
        <v>370</v>
      </c>
      <c r="E476" s="61">
        <v>0.99930555555555556</v>
      </c>
      <c r="F476" s="60" t="s">
        <v>24</v>
      </c>
      <c r="G476" s="71" t="s">
        <v>13</v>
      </c>
      <c r="H476" s="62">
        <v>46244.993750000001</v>
      </c>
      <c r="I476" s="113" t="str">
        <f t="shared" si="115"/>
        <v>10-08-2026T23:51:00</v>
      </c>
      <c r="J476" s="62">
        <v>46245.068749999999</v>
      </c>
      <c r="K476" s="62"/>
      <c r="L476" s="63">
        <f t="shared" si="120"/>
        <v>7.4999999997089617E-2</v>
      </c>
      <c r="M476" s="64">
        <v>8.3333333333333329E-2</v>
      </c>
      <c r="N476" s="65" t="str">
        <f t="shared" si="121"/>
        <v>00:12:00</v>
      </c>
      <c r="O476" s="66"/>
      <c r="P476" s="124"/>
      <c r="Q476" s="67"/>
      <c r="R476" s="68"/>
      <c r="S476" s="68"/>
      <c r="T476" s="69">
        <f t="shared" si="122"/>
        <v>0</v>
      </c>
      <c r="U476" s="61"/>
      <c r="V476" s="83">
        <v>0</v>
      </c>
      <c r="W476" s="61">
        <f t="shared" si="123"/>
        <v>0</v>
      </c>
      <c r="X476" s="171">
        <v>46244.993750000001</v>
      </c>
      <c r="Y476" s="171">
        <v>46245.068749999999</v>
      </c>
      <c r="Z476" s="168">
        <f t="shared" si="111"/>
        <v>7.4999999997089617E-2</v>
      </c>
      <c r="AA476" s="169">
        <f t="shared" si="112"/>
        <v>8.3333333333333329E-2</v>
      </c>
      <c r="AB476" s="170" t="str">
        <f t="shared" si="113"/>
        <v>00:12:00</v>
      </c>
      <c r="AC476" s="170" t="b">
        <f t="shared" si="114"/>
        <v>1</v>
      </c>
    </row>
    <row r="477" spans="1:30" s="128" customFormat="1" ht="9.75" hidden="1" customHeight="1" x14ac:dyDescent="0.3">
      <c r="A477" s="99">
        <v>46244</v>
      </c>
      <c r="B477" s="59">
        <v>8161950</v>
      </c>
      <c r="C477" s="60" t="s">
        <v>20</v>
      </c>
      <c r="D477" s="60" t="s">
        <v>232</v>
      </c>
      <c r="E477" s="61">
        <v>0.95833333333333337</v>
      </c>
      <c r="F477" s="60" t="s">
        <v>21</v>
      </c>
      <c r="G477" s="71" t="s">
        <v>13</v>
      </c>
      <c r="H477" s="62">
        <v>46244.959722222222</v>
      </c>
      <c r="I477" s="113" t="str">
        <f t="shared" si="115"/>
        <v>10-08-2026T23:02:00</v>
      </c>
      <c r="J477" s="62">
        <v>46245.206250000003</v>
      </c>
      <c r="K477" s="62"/>
      <c r="L477" s="63">
        <f t="shared" si="120"/>
        <v>0.24652777778101154</v>
      </c>
      <c r="M477" s="64">
        <v>0.25</v>
      </c>
      <c r="N477" s="65" t="str">
        <f t="shared" si="121"/>
        <v>00:05:00</v>
      </c>
      <c r="O477" s="66"/>
      <c r="P477" s="124"/>
      <c r="Q477" s="67"/>
      <c r="R477" s="68"/>
      <c r="S477" s="68"/>
      <c r="T477" s="69">
        <f t="shared" si="122"/>
        <v>0</v>
      </c>
      <c r="U477" s="61"/>
      <c r="V477" s="83">
        <v>0</v>
      </c>
      <c r="W477" s="61">
        <f t="shared" si="123"/>
        <v>0</v>
      </c>
      <c r="X477" s="171">
        <v>46244.959722222222</v>
      </c>
      <c r="Y477" s="171">
        <v>46245.206250000003</v>
      </c>
      <c r="Z477" s="168">
        <f t="shared" si="111"/>
        <v>0.24652777778101154</v>
      </c>
      <c r="AA477" s="169">
        <f t="shared" si="112"/>
        <v>0.25</v>
      </c>
      <c r="AB477" s="170" t="str">
        <f t="shared" si="113"/>
        <v>00:05:00</v>
      </c>
      <c r="AC477" s="170" t="b">
        <f t="shared" si="114"/>
        <v>1</v>
      </c>
    </row>
    <row r="478" spans="1:30" s="128" customFormat="1" ht="9.75" hidden="1" customHeight="1" x14ac:dyDescent="0.3">
      <c r="A478" s="99">
        <v>46244</v>
      </c>
      <c r="B478" s="59">
        <v>8161918</v>
      </c>
      <c r="C478" s="60" t="s">
        <v>104</v>
      </c>
      <c r="D478" s="60" t="s">
        <v>382</v>
      </c>
      <c r="E478" s="61">
        <v>0.95833333333333337</v>
      </c>
      <c r="F478" s="60" t="s">
        <v>173</v>
      </c>
      <c r="G478" s="71" t="s">
        <v>13</v>
      </c>
      <c r="H478" s="62">
        <v>46244.951388888891</v>
      </c>
      <c r="I478" s="113" t="str">
        <f t="shared" si="115"/>
        <v>10-08-2026T22:50:00</v>
      </c>
      <c r="J478" s="62">
        <v>46246.82916666667</v>
      </c>
      <c r="K478" s="62"/>
      <c r="L478" s="63">
        <f t="shared" si="120"/>
        <v>1.8777777777795563</v>
      </c>
      <c r="M478" s="64">
        <v>1.9166666666666667</v>
      </c>
      <c r="N478" s="65" t="str">
        <f t="shared" si="121"/>
        <v>00:56:00</v>
      </c>
      <c r="O478" s="66"/>
      <c r="P478" s="124"/>
      <c r="Q478" s="67" t="s">
        <v>96</v>
      </c>
      <c r="R478" s="68">
        <v>46245.106944444444</v>
      </c>
      <c r="S478" s="68">
        <v>46245.1875</v>
      </c>
      <c r="T478" s="69">
        <f t="shared" si="122"/>
        <v>8.0555555556202307E-2</v>
      </c>
      <c r="U478" s="61"/>
      <c r="V478" s="83">
        <v>8.3333333333333329E-2</v>
      </c>
      <c r="W478" s="61">
        <f t="shared" si="123"/>
        <v>-2.7777777771310214E-3</v>
      </c>
      <c r="X478" s="171">
        <v>46244.951388888891</v>
      </c>
      <c r="Y478" s="171">
        <v>46246.82916666667</v>
      </c>
      <c r="Z478" s="168">
        <f t="shared" si="111"/>
        <v>1.8777777777795563</v>
      </c>
      <c r="AA478" s="169">
        <f t="shared" si="112"/>
        <v>1.9166666666666667</v>
      </c>
      <c r="AB478" s="170" t="str">
        <f t="shared" si="113"/>
        <v>00:56:00</v>
      </c>
      <c r="AC478" s="170" t="b">
        <f t="shared" si="114"/>
        <v>1</v>
      </c>
    </row>
    <row r="479" spans="1:30" s="128" customFormat="1" ht="9.75" hidden="1" customHeight="1" x14ac:dyDescent="0.3">
      <c r="A479" s="99">
        <v>46244</v>
      </c>
      <c r="B479" s="59">
        <v>8162000</v>
      </c>
      <c r="C479" s="60" t="s">
        <v>52</v>
      </c>
      <c r="D479" s="60" t="s">
        <v>616</v>
      </c>
      <c r="E479" s="61">
        <v>0.99930555555555556</v>
      </c>
      <c r="F479" s="60" t="s">
        <v>15</v>
      </c>
      <c r="G479" s="71" t="s">
        <v>13</v>
      </c>
      <c r="H479" s="62">
        <v>46244.995833333334</v>
      </c>
      <c r="I479" s="113" t="str">
        <f t="shared" si="115"/>
        <v>10-08-2026T23:54:00</v>
      </c>
      <c r="J479" s="62">
        <v>46245.199305555558</v>
      </c>
      <c r="K479" s="62"/>
      <c r="L479" s="63">
        <f t="shared" si="120"/>
        <v>0.20347222222335404</v>
      </c>
      <c r="M479" s="64">
        <v>0.20833333333333334</v>
      </c>
      <c r="N479" s="65" t="str">
        <f t="shared" si="121"/>
        <v>00:07:00</v>
      </c>
      <c r="O479" s="66"/>
      <c r="P479" s="124"/>
      <c r="Q479" s="67"/>
      <c r="R479" s="68"/>
      <c r="S479" s="68"/>
      <c r="T479" s="69">
        <f t="shared" si="122"/>
        <v>0</v>
      </c>
      <c r="U479" s="61"/>
      <c r="V479" s="83">
        <v>0</v>
      </c>
      <c r="W479" s="61">
        <f t="shared" si="123"/>
        <v>0</v>
      </c>
      <c r="X479" s="171">
        <v>46244.995833333334</v>
      </c>
      <c r="Y479" s="171">
        <v>46245.199305555558</v>
      </c>
      <c r="Z479" s="168">
        <f t="shared" si="111"/>
        <v>0.20347222222335404</v>
      </c>
      <c r="AA479" s="169">
        <f t="shared" si="112"/>
        <v>0.20833333333333334</v>
      </c>
      <c r="AB479" s="170" t="str">
        <f t="shared" si="113"/>
        <v>00:07:00</v>
      </c>
      <c r="AC479" s="170" t="b">
        <f t="shared" si="114"/>
        <v>1</v>
      </c>
    </row>
    <row r="480" spans="1:30" s="127" customFormat="1" ht="9.75" hidden="1" customHeight="1" x14ac:dyDescent="0.3">
      <c r="A480" s="98">
        <v>46244</v>
      </c>
      <c r="B480" s="48">
        <v>8160866</v>
      </c>
      <c r="C480" s="49" t="s">
        <v>171</v>
      </c>
      <c r="D480" s="49" t="s">
        <v>296</v>
      </c>
      <c r="E480" s="50" t="s">
        <v>184</v>
      </c>
      <c r="F480" s="49" t="s">
        <v>13</v>
      </c>
      <c r="G480" s="70" t="s">
        <v>516</v>
      </c>
      <c r="H480" s="51">
        <v>0.49722222222222223</v>
      </c>
      <c r="I480" s="113" t="str">
        <f t="shared" si="115"/>
        <v>10-08-2026T11:56:00</v>
      </c>
      <c r="J480" s="51">
        <v>0.77083333333333337</v>
      </c>
      <c r="K480" s="51"/>
      <c r="L480" s="52">
        <f t="shared" si="120"/>
        <v>0.27361111111111114</v>
      </c>
      <c r="M480" s="53">
        <v>0.25</v>
      </c>
      <c r="N480" s="54" t="str">
        <f t="shared" si="121"/>
        <v>-00:34:00</v>
      </c>
      <c r="O480" s="55"/>
      <c r="P480" s="147" t="s">
        <v>551</v>
      </c>
      <c r="Q480" s="56"/>
      <c r="R480" s="57"/>
      <c r="S480" s="57"/>
      <c r="T480" s="58">
        <f t="shared" si="122"/>
        <v>0</v>
      </c>
      <c r="U480" s="50" t="s">
        <v>234</v>
      </c>
      <c r="V480" s="74" t="s">
        <v>393</v>
      </c>
      <c r="W480" s="50" t="e">
        <f t="shared" si="123"/>
        <v>#VALUE!</v>
      </c>
      <c r="X480" s="171">
        <v>46244.49722222222</v>
      </c>
      <c r="Y480" s="171">
        <v>46244.770833333336</v>
      </c>
      <c r="Z480" s="168">
        <f t="shared" si="111"/>
        <v>0.273611111115315</v>
      </c>
      <c r="AA480" s="169">
        <f t="shared" si="112"/>
        <v>0.25</v>
      </c>
      <c r="AB480" s="170" t="str">
        <f t="shared" si="113"/>
        <v>-00:34:00</v>
      </c>
      <c r="AC480" s="170" t="b">
        <f t="shared" si="114"/>
        <v>1</v>
      </c>
    </row>
    <row r="481" spans="1:29" s="127" customFormat="1" ht="9.75" hidden="1" customHeight="1" x14ac:dyDescent="0.3">
      <c r="A481" s="98">
        <v>46244</v>
      </c>
      <c r="B481" s="48">
        <v>8161790</v>
      </c>
      <c r="C481" s="49" t="s">
        <v>171</v>
      </c>
      <c r="D481" s="49" t="s">
        <v>296</v>
      </c>
      <c r="E481" s="50" t="s">
        <v>184</v>
      </c>
      <c r="F481" s="49" t="s">
        <v>516</v>
      </c>
      <c r="G481" s="70" t="s">
        <v>13</v>
      </c>
      <c r="H481" s="51">
        <v>0.89166666666666672</v>
      </c>
      <c r="I481" s="113" t="str">
        <f t="shared" si="115"/>
        <v>10-08-2026T21:24:00</v>
      </c>
      <c r="J481" s="51">
        <v>46245.167361111111</v>
      </c>
      <c r="K481" s="51"/>
      <c r="L481" s="52">
        <f t="shared" si="120"/>
        <v>46244.275694444441</v>
      </c>
      <c r="M481" s="53">
        <v>0.27083333333333331</v>
      </c>
      <c r="N481" s="54" t="str">
        <f t="shared" si="121"/>
        <v>-00:07:00</v>
      </c>
      <c r="O481" s="55"/>
      <c r="P481" s="147" t="s">
        <v>184</v>
      </c>
      <c r="Q481" s="56"/>
      <c r="R481" s="57"/>
      <c r="S481" s="57"/>
      <c r="T481" s="58">
        <f t="shared" si="122"/>
        <v>0</v>
      </c>
      <c r="U481" s="50" t="s">
        <v>234</v>
      </c>
      <c r="V481" s="74" t="s">
        <v>393</v>
      </c>
      <c r="W481" s="50" t="e">
        <f t="shared" si="123"/>
        <v>#VALUE!</v>
      </c>
      <c r="X481" s="171">
        <v>46244.89166666667</v>
      </c>
      <c r="Y481" s="171">
        <v>46245.167361111111</v>
      </c>
      <c r="Z481" s="168">
        <f t="shared" si="111"/>
        <v>0.27569444444088731</v>
      </c>
      <c r="AA481" s="169">
        <f t="shared" si="112"/>
        <v>0.27083333333333331</v>
      </c>
      <c r="AB481" s="170" t="str">
        <f t="shared" si="113"/>
        <v>-00:07:00</v>
      </c>
      <c r="AC481" s="170" t="b">
        <f t="shared" si="114"/>
        <v>1</v>
      </c>
    </row>
    <row r="482" spans="1:29" s="144" customFormat="1" ht="9.75" hidden="1" customHeight="1" x14ac:dyDescent="0.3">
      <c r="A482" s="129">
        <v>46245</v>
      </c>
      <c r="B482" s="130">
        <v>8162097</v>
      </c>
      <c r="C482" s="131" t="s">
        <v>82</v>
      </c>
      <c r="D482" s="131" t="s">
        <v>333</v>
      </c>
      <c r="E482" s="132">
        <v>6.25E-2</v>
      </c>
      <c r="F482" s="131" t="s">
        <v>13</v>
      </c>
      <c r="G482" s="133" t="s">
        <v>26</v>
      </c>
      <c r="H482" s="134">
        <v>6.25E-2</v>
      </c>
      <c r="I482" s="113" t="str">
        <f t="shared" si="115"/>
        <v>11-08-2026T01:30:00</v>
      </c>
      <c r="J482" s="134">
        <v>0.54652777777777772</v>
      </c>
      <c r="K482" s="134"/>
      <c r="L482" s="135">
        <f t="shared" si="120"/>
        <v>0.48402777777777772</v>
      </c>
      <c r="M482" s="136">
        <v>0.41666666666666669</v>
      </c>
      <c r="N482" s="137" t="str">
        <f t="shared" si="121"/>
        <v>-01:37:00</v>
      </c>
      <c r="O482" s="138"/>
      <c r="P482" s="145" t="s">
        <v>525</v>
      </c>
      <c r="Q482" s="140" t="s">
        <v>312</v>
      </c>
      <c r="R482" s="141">
        <v>46245.25</v>
      </c>
      <c r="S482" s="141">
        <v>46245.375</v>
      </c>
      <c r="T482" s="142">
        <f t="shared" si="122"/>
        <v>0.125</v>
      </c>
      <c r="U482" s="132"/>
      <c r="V482" s="143">
        <v>4.1666666666666664E-2</v>
      </c>
      <c r="W482" s="132">
        <f t="shared" si="123"/>
        <v>8.3333333333333343E-2</v>
      </c>
      <c r="X482" s="171">
        <v>46245.0625</v>
      </c>
      <c r="Y482" s="171">
        <v>46245.546527777777</v>
      </c>
      <c r="Z482" s="168">
        <f t="shared" si="111"/>
        <v>0.48402777777664596</v>
      </c>
      <c r="AA482" s="169">
        <f t="shared" si="112"/>
        <v>0.41666666666666669</v>
      </c>
      <c r="AB482" s="170" t="str">
        <f t="shared" si="113"/>
        <v>-01:37:00</v>
      </c>
      <c r="AC482" s="170" t="b">
        <f t="shared" si="114"/>
        <v>1</v>
      </c>
    </row>
    <row r="483" spans="1:29" s="127" customFormat="1" ht="9.75" hidden="1" customHeight="1" x14ac:dyDescent="0.3">
      <c r="A483" s="98">
        <v>46245</v>
      </c>
      <c r="B483" s="48">
        <v>8162142</v>
      </c>
      <c r="C483" s="49" t="s">
        <v>53</v>
      </c>
      <c r="D483" s="49" t="s">
        <v>298</v>
      </c>
      <c r="E483" s="50">
        <v>8.3333333333333329E-2</v>
      </c>
      <c r="F483" s="49" t="s">
        <v>13</v>
      </c>
      <c r="G483" s="70" t="s">
        <v>19</v>
      </c>
      <c r="H483" s="51">
        <v>8.3333333333333329E-2</v>
      </c>
      <c r="I483" s="113" t="str">
        <f t="shared" si="115"/>
        <v>11-08-2026T02:00:00</v>
      </c>
      <c r="J483" s="51">
        <v>0.52708333333333335</v>
      </c>
      <c r="K483" s="51"/>
      <c r="L483" s="52">
        <f t="shared" si="120"/>
        <v>0.44375000000000003</v>
      </c>
      <c r="M483" s="53">
        <v>0.41666666666666669</v>
      </c>
      <c r="N483" s="54" t="str">
        <f t="shared" si="121"/>
        <v>-00:39:00</v>
      </c>
      <c r="O483" s="55">
        <v>200</v>
      </c>
      <c r="P483" s="147" t="s">
        <v>555</v>
      </c>
      <c r="Q483" s="56" t="s">
        <v>229</v>
      </c>
      <c r="R483" s="57">
        <v>46245.354166666664</v>
      </c>
      <c r="S483" s="57">
        <v>46245.395833333336</v>
      </c>
      <c r="T483" s="58">
        <f t="shared" si="122"/>
        <v>4.1666666671517305E-2</v>
      </c>
      <c r="U483" s="50" t="s">
        <v>234</v>
      </c>
      <c r="V483" s="74">
        <v>6.25E-2</v>
      </c>
      <c r="W483" s="50">
        <f t="shared" si="123"/>
        <v>-2.0833333328482695E-2</v>
      </c>
      <c r="X483" s="171">
        <v>46245.083333333336</v>
      </c>
      <c r="Y483" s="171">
        <v>46245.527083333334</v>
      </c>
      <c r="Z483" s="168">
        <f t="shared" si="111"/>
        <v>0.44374999999854481</v>
      </c>
      <c r="AA483" s="169">
        <f t="shared" si="112"/>
        <v>0.41666666666666669</v>
      </c>
      <c r="AB483" s="170" t="str">
        <f t="shared" si="113"/>
        <v>-00:39:00</v>
      </c>
      <c r="AC483" s="170" t="b">
        <f t="shared" si="114"/>
        <v>1</v>
      </c>
    </row>
    <row r="484" spans="1:29" s="128" customFormat="1" ht="9.75" hidden="1" customHeight="1" x14ac:dyDescent="0.3">
      <c r="A484" s="99">
        <v>46245</v>
      </c>
      <c r="B484" s="59">
        <v>8162139</v>
      </c>
      <c r="C484" s="60" t="s">
        <v>29</v>
      </c>
      <c r="D484" s="60" t="s">
        <v>373</v>
      </c>
      <c r="E484" s="61">
        <v>8.3333333333333329E-2</v>
      </c>
      <c r="F484" s="60" t="s">
        <v>15</v>
      </c>
      <c r="G484" s="71" t="s">
        <v>17</v>
      </c>
      <c r="H484" s="62">
        <v>8.1944444444444445E-2</v>
      </c>
      <c r="I484" s="113" t="str">
        <f t="shared" si="115"/>
        <v>11-08-2026T01:58:00</v>
      </c>
      <c r="J484" s="62">
        <v>0.49375000000000002</v>
      </c>
      <c r="K484" s="62"/>
      <c r="L484" s="63">
        <f t="shared" si="120"/>
        <v>0.41180555555555559</v>
      </c>
      <c r="M484" s="64">
        <v>0.41666666666666669</v>
      </c>
      <c r="N484" s="65" t="str">
        <f t="shared" si="121"/>
        <v>00:07:00</v>
      </c>
      <c r="O484" s="66"/>
      <c r="P484" s="124"/>
      <c r="Q484" s="67"/>
      <c r="R484" s="68"/>
      <c r="S484" s="68"/>
      <c r="T484" s="69">
        <f t="shared" si="122"/>
        <v>0</v>
      </c>
      <c r="U484" s="61"/>
      <c r="V484" s="83">
        <v>0</v>
      </c>
      <c r="W484" s="61">
        <f t="shared" si="123"/>
        <v>0</v>
      </c>
      <c r="X484" s="171">
        <v>8.1944444444444445E-2</v>
      </c>
      <c r="Y484" s="171">
        <v>0.49375000000000002</v>
      </c>
      <c r="Z484" s="168">
        <f t="shared" si="111"/>
        <v>0.41180555555555559</v>
      </c>
      <c r="AA484" s="169">
        <f t="shared" si="112"/>
        <v>0.41666666666666669</v>
      </c>
      <c r="AB484" s="170" t="str">
        <f t="shared" si="113"/>
        <v>00:07:00</v>
      </c>
      <c r="AC484" s="170" t="b">
        <f t="shared" si="114"/>
        <v>1</v>
      </c>
    </row>
    <row r="485" spans="1:29" s="128" customFormat="1" ht="9.75" hidden="1" customHeight="1" x14ac:dyDescent="0.3">
      <c r="A485" s="99">
        <v>46245</v>
      </c>
      <c r="B485" s="59">
        <v>8162134</v>
      </c>
      <c r="C485" s="60" t="s">
        <v>16</v>
      </c>
      <c r="D485" s="60" t="s">
        <v>285</v>
      </c>
      <c r="E485" s="61">
        <v>8.3333333333333329E-2</v>
      </c>
      <c r="F485" s="60" t="s">
        <v>15</v>
      </c>
      <c r="G485" s="71" t="s">
        <v>17</v>
      </c>
      <c r="H485" s="62">
        <v>8.1944444444444445E-2</v>
      </c>
      <c r="I485" s="113" t="str">
        <f t="shared" si="115"/>
        <v>11-08-2026T01:58:00</v>
      </c>
      <c r="J485" s="62">
        <v>0.49236111111111114</v>
      </c>
      <c r="K485" s="62"/>
      <c r="L485" s="63">
        <f t="shared" si="120"/>
        <v>0.41041666666666671</v>
      </c>
      <c r="M485" s="64">
        <v>0.41666666666666669</v>
      </c>
      <c r="N485" s="65" t="str">
        <f t="shared" si="121"/>
        <v>00:09:00</v>
      </c>
      <c r="O485" s="66"/>
      <c r="P485" s="124"/>
      <c r="Q485" s="67"/>
      <c r="R485" s="68"/>
      <c r="S485" s="68"/>
      <c r="T485" s="69">
        <f t="shared" si="122"/>
        <v>0</v>
      </c>
      <c r="U485" s="61" t="s">
        <v>234</v>
      </c>
      <c r="V485" s="83">
        <v>0</v>
      </c>
      <c r="W485" s="61">
        <f t="shared" si="123"/>
        <v>0</v>
      </c>
      <c r="X485" s="171">
        <v>8.1944444444444445E-2</v>
      </c>
      <c r="Y485" s="171">
        <v>0.49236111111111114</v>
      </c>
      <c r="Z485" s="168">
        <f t="shared" si="111"/>
        <v>0.41041666666666671</v>
      </c>
      <c r="AA485" s="169">
        <f t="shared" si="112"/>
        <v>0.41666666666666669</v>
      </c>
      <c r="AB485" s="170" t="str">
        <f t="shared" si="113"/>
        <v>00:09:00</v>
      </c>
      <c r="AC485" s="170" t="b">
        <f t="shared" si="114"/>
        <v>1</v>
      </c>
    </row>
    <row r="486" spans="1:29" ht="9.75" hidden="1" customHeight="1" x14ac:dyDescent="0.3">
      <c r="A486" s="149">
        <v>46244</v>
      </c>
      <c r="B486" s="150" t="s">
        <v>667</v>
      </c>
      <c r="C486" s="151" t="s">
        <v>94</v>
      </c>
      <c r="D486" s="151" t="s">
        <v>293</v>
      </c>
      <c r="E486" s="152">
        <v>0</v>
      </c>
      <c r="F486" s="151"/>
      <c r="G486" s="153"/>
      <c r="H486" s="154">
        <v>0</v>
      </c>
      <c r="I486" s="113" t="str">
        <f t="shared" si="115"/>
        <v>10-08-2026T00:00:00</v>
      </c>
      <c r="J486" s="154">
        <v>0</v>
      </c>
      <c r="K486" s="154"/>
      <c r="L486" s="155">
        <v>0</v>
      </c>
      <c r="M486" s="160">
        <v>0</v>
      </c>
      <c r="N486" s="156">
        <v>0</v>
      </c>
      <c r="O486" s="157"/>
      <c r="P486" s="158" t="s">
        <v>480</v>
      </c>
      <c r="Q486" s="159" t="s">
        <v>480</v>
      </c>
      <c r="R486" s="148" t="s">
        <v>480</v>
      </c>
      <c r="S486" s="148" t="s">
        <v>480</v>
      </c>
      <c r="T486" s="161" t="s">
        <v>480</v>
      </c>
      <c r="U486" s="152" t="s">
        <v>480</v>
      </c>
      <c r="V486" s="146" t="s">
        <v>480</v>
      </c>
      <c r="W486" s="152" t="s">
        <v>480</v>
      </c>
      <c r="X486" s="171" t="s">
        <v>668</v>
      </c>
      <c r="Y486" s="171" t="s">
        <v>668</v>
      </c>
      <c r="Z486" s="168" t="e">
        <f t="shared" si="111"/>
        <v>#VALUE!</v>
      </c>
      <c r="AA486" s="169">
        <f t="shared" si="112"/>
        <v>0</v>
      </c>
      <c r="AB486" s="170" t="e">
        <f t="shared" si="113"/>
        <v>#VALUE!</v>
      </c>
      <c r="AC486" s="170" t="e">
        <f t="shared" si="114"/>
        <v>#VALUE!</v>
      </c>
    </row>
    <row r="487" spans="1:29" s="128" customFormat="1" ht="9.75" hidden="1" customHeight="1" x14ac:dyDescent="0.3">
      <c r="A487" s="99">
        <v>46245</v>
      </c>
      <c r="B487" s="59">
        <v>8162268</v>
      </c>
      <c r="C487" s="60" t="s">
        <v>94</v>
      </c>
      <c r="D487" s="60" t="s">
        <v>293</v>
      </c>
      <c r="E487" s="61">
        <v>0.125</v>
      </c>
      <c r="F487" s="60" t="s">
        <v>23</v>
      </c>
      <c r="G487" s="71" t="s">
        <v>13</v>
      </c>
      <c r="H487" s="62">
        <v>46245.14166666667</v>
      </c>
      <c r="I487" s="113" t="str">
        <f t="shared" si="115"/>
        <v>11-08-2026T03:24:00</v>
      </c>
      <c r="J487" s="62">
        <v>46246.298611111109</v>
      </c>
      <c r="K487" s="62"/>
      <c r="L487" s="63">
        <f t="shared" ref="L487:L533" si="125">J487-H487</f>
        <v>1.1569444444394321</v>
      </c>
      <c r="M487" s="64">
        <v>1.0833333333333333</v>
      </c>
      <c r="N487" s="65" t="str">
        <f t="shared" ref="N487:N533" si="126">IF(M487-L487&gt;0,TEXT(M487-L487,"HH:MM:SS"),TEXT(ABS(M487-L487),"-HH:MM:SS"))</f>
        <v>-01:46:00</v>
      </c>
      <c r="O487" s="66"/>
      <c r="P487" s="124" t="s">
        <v>569</v>
      </c>
      <c r="Q487" s="67" t="s">
        <v>13</v>
      </c>
      <c r="R487" s="68">
        <v>46246.261805555558</v>
      </c>
      <c r="S487" s="68">
        <v>46246.295138888891</v>
      </c>
      <c r="T487" s="69">
        <f t="shared" ref="T487:T533" si="127">S487-R487</f>
        <v>3.3333333332848269E-2</v>
      </c>
      <c r="U487" s="61"/>
      <c r="V487" s="83">
        <v>8.3333333333333329E-2</v>
      </c>
      <c r="W487" s="61">
        <f t="shared" ref="W487:W533" si="128">T487-V487</f>
        <v>-5.0000000000485059E-2</v>
      </c>
      <c r="X487" s="172">
        <v>46245.14166666667</v>
      </c>
      <c r="Y487" s="172">
        <v>46246.298611111109</v>
      </c>
      <c r="Z487" s="173">
        <f t="shared" si="111"/>
        <v>1.1569444444394321</v>
      </c>
      <c r="AA487" s="174">
        <f t="shared" si="112"/>
        <v>1.0833333333333333</v>
      </c>
      <c r="AB487" s="175" t="str">
        <f t="shared" si="113"/>
        <v>-01:46:00</v>
      </c>
      <c r="AC487" s="175" t="b">
        <f t="shared" si="114"/>
        <v>1</v>
      </c>
    </row>
    <row r="488" spans="1:29" s="128" customFormat="1" ht="9.75" hidden="1" customHeight="1" x14ac:dyDescent="0.3">
      <c r="A488" s="99">
        <v>46245</v>
      </c>
      <c r="B488" s="59">
        <v>8162247</v>
      </c>
      <c r="C488" s="60" t="s">
        <v>87</v>
      </c>
      <c r="D488" s="60" t="s">
        <v>367</v>
      </c>
      <c r="E488" s="61">
        <v>0.125</v>
      </c>
      <c r="F488" s="60" t="s">
        <v>13</v>
      </c>
      <c r="G488" s="71" t="s">
        <v>284</v>
      </c>
      <c r="H488" s="62">
        <v>0.12916666666666668</v>
      </c>
      <c r="I488" s="113" t="str">
        <f t="shared" si="115"/>
        <v>11-08-2026T03:06:00</v>
      </c>
      <c r="J488" s="62">
        <v>0.47361111111111109</v>
      </c>
      <c r="K488" s="62"/>
      <c r="L488" s="63">
        <f t="shared" si="125"/>
        <v>0.34444444444444444</v>
      </c>
      <c r="M488" s="64">
        <v>0.35416666666666669</v>
      </c>
      <c r="N488" s="65" t="str">
        <f t="shared" si="126"/>
        <v>00:14:00</v>
      </c>
      <c r="O488" s="66"/>
      <c r="P488" s="124"/>
      <c r="Q488" s="67" t="s">
        <v>174</v>
      </c>
      <c r="R488" s="68">
        <v>46245.375</v>
      </c>
      <c r="S488" s="68">
        <v>46245.418749999997</v>
      </c>
      <c r="T488" s="69">
        <f t="shared" si="127"/>
        <v>4.3749999997089617E-2</v>
      </c>
      <c r="U488" s="61" t="s">
        <v>234</v>
      </c>
      <c r="V488" s="83">
        <v>6.25E-2</v>
      </c>
      <c r="W488" s="61">
        <f t="shared" si="128"/>
        <v>-1.8750000002910383E-2</v>
      </c>
      <c r="X488" s="171">
        <v>46245.129166666666</v>
      </c>
      <c r="Y488" s="171">
        <v>46245.473611111112</v>
      </c>
      <c r="Z488" s="168">
        <f t="shared" si="111"/>
        <v>0.34444444444670808</v>
      </c>
      <c r="AA488" s="169">
        <f t="shared" si="112"/>
        <v>0.35416666666666669</v>
      </c>
      <c r="AB488" s="170" t="str">
        <f t="shared" si="113"/>
        <v>00:14:00</v>
      </c>
      <c r="AC488" s="170" t="b">
        <f t="shared" si="114"/>
        <v>1</v>
      </c>
    </row>
    <row r="489" spans="1:29" s="128" customFormat="1" ht="9.75" hidden="1" customHeight="1" x14ac:dyDescent="0.3">
      <c r="A489" s="99">
        <v>46245</v>
      </c>
      <c r="B489" s="59">
        <v>8162232</v>
      </c>
      <c r="C489" s="60" t="s">
        <v>41</v>
      </c>
      <c r="D489" s="60" t="s">
        <v>299</v>
      </c>
      <c r="E489" s="61">
        <v>0.125</v>
      </c>
      <c r="F489" s="60" t="s">
        <v>24</v>
      </c>
      <c r="G489" s="71" t="s">
        <v>13</v>
      </c>
      <c r="H489" s="62">
        <v>0.12430555555555556</v>
      </c>
      <c r="I489" s="113" t="str">
        <f t="shared" si="115"/>
        <v>11-08-2026T02:59:00</v>
      </c>
      <c r="J489" s="62">
        <v>0.20347222222222222</v>
      </c>
      <c r="K489" s="62"/>
      <c r="L489" s="63">
        <f t="shared" si="125"/>
        <v>7.9166666666666663E-2</v>
      </c>
      <c r="M489" s="64">
        <v>8.3333333333333329E-2</v>
      </c>
      <c r="N489" s="65" t="str">
        <f t="shared" si="126"/>
        <v>00:06:00</v>
      </c>
      <c r="O489" s="66"/>
      <c r="P489" s="124"/>
      <c r="Q489" s="67"/>
      <c r="R489" s="68"/>
      <c r="S489" s="68"/>
      <c r="T489" s="69">
        <f t="shared" si="127"/>
        <v>0</v>
      </c>
      <c r="U489" s="61"/>
      <c r="V489" s="83">
        <v>0</v>
      </c>
      <c r="W489" s="61">
        <f t="shared" si="128"/>
        <v>0</v>
      </c>
      <c r="X489" s="171">
        <v>46245.124305555553</v>
      </c>
      <c r="Y489" s="171">
        <v>46245.203472222223</v>
      </c>
      <c r="Z489" s="168">
        <f t="shared" si="111"/>
        <v>7.9166666670062114E-2</v>
      </c>
      <c r="AA489" s="169">
        <f t="shared" si="112"/>
        <v>8.3333333333333329E-2</v>
      </c>
      <c r="AB489" s="170" t="str">
        <f t="shared" si="113"/>
        <v>00:06:00</v>
      </c>
      <c r="AC489" s="170" t="b">
        <f t="shared" si="114"/>
        <v>1</v>
      </c>
    </row>
    <row r="490" spans="1:29" s="128" customFormat="1" ht="9.75" hidden="1" customHeight="1" x14ac:dyDescent="0.3">
      <c r="A490" s="99">
        <v>46245</v>
      </c>
      <c r="B490" s="59">
        <v>8162391</v>
      </c>
      <c r="C490" s="60" t="s">
        <v>54</v>
      </c>
      <c r="D490" s="60" t="s">
        <v>288</v>
      </c>
      <c r="E490" s="61">
        <v>0.16666666666666666</v>
      </c>
      <c r="F490" s="60" t="s">
        <v>13</v>
      </c>
      <c r="G490" s="71" t="s">
        <v>24</v>
      </c>
      <c r="H490" s="62">
        <v>0.17499999999999999</v>
      </c>
      <c r="I490" s="113" t="str">
        <f t="shared" si="115"/>
        <v>11-08-2026T04:12:00</v>
      </c>
      <c r="J490" s="62">
        <v>0.25</v>
      </c>
      <c r="K490" s="62"/>
      <c r="L490" s="63">
        <f t="shared" si="125"/>
        <v>7.5000000000000011E-2</v>
      </c>
      <c r="M490" s="64">
        <v>8.3333333333333329E-2</v>
      </c>
      <c r="N490" s="65" t="str">
        <f t="shared" si="126"/>
        <v>00:12:00</v>
      </c>
      <c r="O490" s="66"/>
      <c r="P490" s="124"/>
      <c r="Q490" s="67"/>
      <c r="R490" s="68"/>
      <c r="S490" s="68"/>
      <c r="T490" s="69">
        <f t="shared" si="127"/>
        <v>0</v>
      </c>
      <c r="U490" s="61" t="s">
        <v>234</v>
      </c>
      <c r="V490" s="83">
        <v>0</v>
      </c>
      <c r="W490" s="61">
        <f t="shared" si="128"/>
        <v>0</v>
      </c>
      <c r="X490" s="171">
        <v>46245.175000000003</v>
      </c>
      <c r="Y490" s="171">
        <v>46245.25</v>
      </c>
      <c r="Z490" s="168">
        <f t="shared" si="111"/>
        <v>7.4999999997089617E-2</v>
      </c>
      <c r="AA490" s="169">
        <f t="shared" si="112"/>
        <v>8.3333333333333329E-2</v>
      </c>
      <c r="AB490" s="170" t="str">
        <f t="shared" si="113"/>
        <v>00:12:00</v>
      </c>
      <c r="AC490" s="170" t="b">
        <f t="shared" si="114"/>
        <v>1</v>
      </c>
    </row>
    <row r="491" spans="1:29" s="128" customFormat="1" ht="9.75" hidden="1" customHeight="1" x14ac:dyDescent="0.3">
      <c r="A491" s="99">
        <v>46245</v>
      </c>
      <c r="B491" s="59">
        <v>8162374</v>
      </c>
      <c r="C491" s="60" t="s">
        <v>27</v>
      </c>
      <c r="D491" s="60" t="s">
        <v>378</v>
      </c>
      <c r="E491" s="61">
        <v>0.16666666666666666</v>
      </c>
      <c r="F491" s="60" t="s">
        <v>13</v>
      </c>
      <c r="G491" s="71" t="s">
        <v>28</v>
      </c>
      <c r="H491" s="62">
        <v>0.16944444444444445</v>
      </c>
      <c r="I491" s="113" t="str">
        <f t="shared" si="115"/>
        <v>11-08-2026T04:04:00</v>
      </c>
      <c r="J491" s="62">
        <v>0.33333333333333331</v>
      </c>
      <c r="K491" s="62"/>
      <c r="L491" s="63">
        <f t="shared" si="125"/>
        <v>0.16388888888888886</v>
      </c>
      <c r="M491" s="64">
        <v>0.16666666666666666</v>
      </c>
      <c r="N491" s="65" t="str">
        <f t="shared" si="126"/>
        <v>00:04:00</v>
      </c>
      <c r="O491" s="66"/>
      <c r="P491" s="124"/>
      <c r="Q491" s="67"/>
      <c r="R491" s="68"/>
      <c r="S491" s="68"/>
      <c r="T491" s="69">
        <f t="shared" si="127"/>
        <v>0</v>
      </c>
      <c r="U491" s="61" t="s">
        <v>234</v>
      </c>
      <c r="V491" s="83">
        <v>0</v>
      </c>
      <c r="W491" s="61">
        <f t="shared" si="128"/>
        <v>0</v>
      </c>
      <c r="X491" s="171">
        <v>46245.169444444444</v>
      </c>
      <c r="Y491" s="171">
        <v>46245.333333333336</v>
      </c>
      <c r="Z491" s="168">
        <f t="shared" si="111"/>
        <v>0.16388888889196096</v>
      </c>
      <c r="AA491" s="169">
        <f t="shared" si="112"/>
        <v>0.16666666666666666</v>
      </c>
      <c r="AB491" s="170" t="str">
        <f t="shared" si="113"/>
        <v>00:04:00</v>
      </c>
      <c r="AC491" s="170" t="b">
        <f t="shared" si="114"/>
        <v>1</v>
      </c>
    </row>
    <row r="492" spans="1:29" s="127" customFormat="1" ht="9.75" hidden="1" customHeight="1" x14ac:dyDescent="0.3">
      <c r="A492" s="98">
        <v>46245</v>
      </c>
      <c r="B492" s="48">
        <v>8162293</v>
      </c>
      <c r="C492" s="49" t="s">
        <v>44</v>
      </c>
      <c r="D492" s="49" t="s">
        <v>582</v>
      </c>
      <c r="E492" s="50">
        <v>0.16666666666666666</v>
      </c>
      <c r="F492" s="49" t="s">
        <v>31</v>
      </c>
      <c r="G492" s="70" t="s">
        <v>13</v>
      </c>
      <c r="H492" s="51">
        <v>0.15208333333333332</v>
      </c>
      <c r="I492" s="113" t="str">
        <f t="shared" si="115"/>
        <v>11-08-2026T03:39:00</v>
      </c>
      <c r="J492" s="51">
        <v>0.9194444444444444</v>
      </c>
      <c r="K492" s="51"/>
      <c r="L492" s="52">
        <f t="shared" si="125"/>
        <v>0.76736111111111105</v>
      </c>
      <c r="M492" s="53">
        <v>0.70833333333333337</v>
      </c>
      <c r="N492" s="54" t="str">
        <f t="shared" si="126"/>
        <v>-01:25:00</v>
      </c>
      <c r="O492" s="55">
        <v>400</v>
      </c>
      <c r="P492" s="147" t="s">
        <v>556</v>
      </c>
      <c r="Q492" s="56" t="s">
        <v>13</v>
      </c>
      <c r="R492" s="57">
        <v>0.86319444444444449</v>
      </c>
      <c r="S492" s="57">
        <v>0.91597222222222219</v>
      </c>
      <c r="T492" s="58">
        <f t="shared" si="127"/>
        <v>5.2777777777777701E-2</v>
      </c>
      <c r="U492" s="50"/>
      <c r="V492" s="74">
        <v>8.3333333333333329E-2</v>
      </c>
      <c r="W492" s="50">
        <f t="shared" si="128"/>
        <v>-3.0555555555555627E-2</v>
      </c>
      <c r="X492" s="171">
        <v>46245.152083333334</v>
      </c>
      <c r="Y492" s="171">
        <v>46245.919444444444</v>
      </c>
      <c r="Z492" s="168">
        <f t="shared" si="111"/>
        <v>0.76736111110949423</v>
      </c>
      <c r="AA492" s="169">
        <f t="shared" si="112"/>
        <v>0.70833333333333337</v>
      </c>
      <c r="AB492" s="170" t="str">
        <f t="shared" si="113"/>
        <v>-01:25:00</v>
      </c>
      <c r="AC492" s="170" t="b">
        <f t="shared" si="114"/>
        <v>1</v>
      </c>
    </row>
    <row r="493" spans="1:29" s="127" customFormat="1" ht="9.75" hidden="1" customHeight="1" x14ac:dyDescent="0.3">
      <c r="A493" s="98">
        <v>46245</v>
      </c>
      <c r="B493" s="48">
        <v>8162534</v>
      </c>
      <c r="C493" s="49" t="s">
        <v>83</v>
      </c>
      <c r="D493" s="49" t="s">
        <v>454</v>
      </c>
      <c r="E493" s="50">
        <v>0.16666666666666666</v>
      </c>
      <c r="F493" s="49" t="s">
        <v>13</v>
      </c>
      <c r="G493" s="70" t="s">
        <v>14</v>
      </c>
      <c r="H493" s="51">
        <v>0.21527777777777779</v>
      </c>
      <c r="I493" s="113" t="str">
        <f t="shared" si="115"/>
        <v>11-08-2026T05:10:00</v>
      </c>
      <c r="J493" s="51">
        <v>0.77708333333333335</v>
      </c>
      <c r="K493" s="51"/>
      <c r="L493" s="52">
        <f t="shared" si="125"/>
        <v>0.56180555555555556</v>
      </c>
      <c r="M493" s="53">
        <v>0.54166666666666663</v>
      </c>
      <c r="N493" s="54" t="str">
        <f t="shared" si="126"/>
        <v>-00:29:00</v>
      </c>
      <c r="O493" s="55">
        <v>200</v>
      </c>
      <c r="P493" s="147" t="s">
        <v>455</v>
      </c>
      <c r="Q493" s="56"/>
      <c r="R493" s="57"/>
      <c r="S493" s="57"/>
      <c r="T493" s="58">
        <f t="shared" si="127"/>
        <v>0</v>
      </c>
      <c r="U493" s="50"/>
      <c r="V493" s="74">
        <v>0</v>
      </c>
      <c r="W493" s="50">
        <f t="shared" si="128"/>
        <v>0</v>
      </c>
      <c r="X493" s="171">
        <v>46245.215277777781</v>
      </c>
      <c r="Y493" s="171">
        <v>46245.777083333334</v>
      </c>
      <c r="Z493" s="168">
        <f t="shared" si="111"/>
        <v>0.56180555555329192</v>
      </c>
      <c r="AA493" s="169">
        <f t="shared" si="112"/>
        <v>0.54166666666666663</v>
      </c>
      <c r="AB493" s="170" t="str">
        <f t="shared" si="113"/>
        <v>-00:29:00</v>
      </c>
      <c r="AC493" s="170" t="b">
        <f t="shared" si="114"/>
        <v>1</v>
      </c>
    </row>
    <row r="494" spans="1:29" s="128" customFormat="1" ht="9.75" hidden="1" customHeight="1" x14ac:dyDescent="0.3">
      <c r="A494" s="99">
        <v>46245</v>
      </c>
      <c r="B494" s="59">
        <v>8162451</v>
      </c>
      <c r="C494" s="60" t="s">
        <v>25</v>
      </c>
      <c r="D494" s="60" t="s">
        <v>477</v>
      </c>
      <c r="E494" s="61">
        <v>0.20833333333333334</v>
      </c>
      <c r="F494" s="60" t="s">
        <v>26</v>
      </c>
      <c r="G494" s="71" t="s">
        <v>13</v>
      </c>
      <c r="H494" s="62">
        <v>0.1986111111111111</v>
      </c>
      <c r="I494" s="113" t="str">
        <f t="shared" si="115"/>
        <v>11-08-2026T04:46:00</v>
      </c>
      <c r="J494" s="62">
        <v>0.63472222222222219</v>
      </c>
      <c r="K494" s="62"/>
      <c r="L494" s="63">
        <f t="shared" si="125"/>
        <v>0.43611111111111112</v>
      </c>
      <c r="M494" s="64">
        <v>0.45833333333333331</v>
      </c>
      <c r="N494" s="65" t="str">
        <f t="shared" si="126"/>
        <v>00:32:00</v>
      </c>
      <c r="O494" s="66"/>
      <c r="P494" s="124"/>
      <c r="Q494" s="67" t="s">
        <v>13</v>
      </c>
      <c r="R494" s="68">
        <v>46245.577777777777</v>
      </c>
      <c r="S494" s="68">
        <v>46245.625</v>
      </c>
      <c r="T494" s="69">
        <f t="shared" si="127"/>
        <v>4.7222222223354038E-2</v>
      </c>
      <c r="U494" s="61"/>
      <c r="V494" s="83">
        <v>8.3333333333333329E-2</v>
      </c>
      <c r="W494" s="61">
        <f t="shared" si="128"/>
        <v>-3.6111111109979291E-2</v>
      </c>
      <c r="X494" s="171">
        <v>46245.198611111111</v>
      </c>
      <c r="Y494" s="171">
        <v>46245.634722222225</v>
      </c>
      <c r="Z494" s="168">
        <f t="shared" si="111"/>
        <v>0.43611111111385981</v>
      </c>
      <c r="AA494" s="169">
        <f t="shared" si="112"/>
        <v>0.45833333333333331</v>
      </c>
      <c r="AB494" s="170" t="str">
        <f t="shared" si="113"/>
        <v>00:32:00</v>
      </c>
      <c r="AC494" s="170" t="b">
        <f t="shared" si="114"/>
        <v>1</v>
      </c>
    </row>
    <row r="495" spans="1:29" s="128" customFormat="1" ht="9.75" hidden="1" customHeight="1" x14ac:dyDescent="0.3">
      <c r="A495" s="99">
        <v>46245</v>
      </c>
      <c r="B495" s="59">
        <v>8162655</v>
      </c>
      <c r="C495" s="60" t="s">
        <v>58</v>
      </c>
      <c r="D495" s="60" t="s">
        <v>368</v>
      </c>
      <c r="E495" s="61">
        <v>0.25</v>
      </c>
      <c r="F495" s="60" t="s">
        <v>14</v>
      </c>
      <c r="G495" s="71" t="s">
        <v>13</v>
      </c>
      <c r="H495" s="62">
        <v>0.24722222222222223</v>
      </c>
      <c r="I495" s="113" t="str">
        <f t="shared" si="115"/>
        <v>11-08-2026T05:56:00</v>
      </c>
      <c r="J495" s="62">
        <v>0.78402777777777777</v>
      </c>
      <c r="K495" s="62"/>
      <c r="L495" s="63">
        <f t="shared" si="125"/>
        <v>0.53680555555555554</v>
      </c>
      <c r="M495" s="64">
        <v>0.54166666666666663</v>
      </c>
      <c r="N495" s="65" t="str">
        <f t="shared" si="126"/>
        <v>00:07:00</v>
      </c>
      <c r="O495" s="66"/>
      <c r="P495" s="124"/>
      <c r="Q495" s="67"/>
      <c r="R495" s="68"/>
      <c r="S495" s="68"/>
      <c r="T495" s="69">
        <f t="shared" si="127"/>
        <v>0</v>
      </c>
      <c r="U495" s="61"/>
      <c r="V495" s="83">
        <v>0</v>
      </c>
      <c r="W495" s="61">
        <f t="shared" si="128"/>
        <v>0</v>
      </c>
      <c r="X495" s="171">
        <v>46245.24722222222</v>
      </c>
      <c r="Y495" s="171">
        <v>46245.78402777778</v>
      </c>
      <c r="Z495" s="168">
        <f t="shared" si="111"/>
        <v>0.53680555555911269</v>
      </c>
      <c r="AA495" s="169">
        <f t="shared" si="112"/>
        <v>0.54166666666666663</v>
      </c>
      <c r="AB495" s="170" t="str">
        <f t="shared" si="113"/>
        <v>00:07:00</v>
      </c>
      <c r="AC495" s="170" t="b">
        <f t="shared" si="114"/>
        <v>1</v>
      </c>
    </row>
    <row r="496" spans="1:29" s="128" customFormat="1" ht="9.75" hidden="1" customHeight="1" x14ac:dyDescent="0.3">
      <c r="A496" s="99">
        <v>46245</v>
      </c>
      <c r="B496" s="59">
        <v>8162715</v>
      </c>
      <c r="C496" s="60" t="s">
        <v>89</v>
      </c>
      <c r="D496" s="60" t="s">
        <v>294</v>
      </c>
      <c r="E496" s="61">
        <v>0.25</v>
      </c>
      <c r="F496" s="60" t="s">
        <v>13</v>
      </c>
      <c r="G496" s="71" t="s">
        <v>35</v>
      </c>
      <c r="H496" s="62">
        <v>0.25694444444444442</v>
      </c>
      <c r="I496" s="113" t="str">
        <f t="shared" si="115"/>
        <v>11-08-2026T06:10:00</v>
      </c>
      <c r="J496" s="62">
        <v>0.29166666666666669</v>
      </c>
      <c r="K496" s="62"/>
      <c r="L496" s="63">
        <f t="shared" si="125"/>
        <v>3.4722222222222265E-2</v>
      </c>
      <c r="M496" s="64">
        <v>4.1666666666666664E-2</v>
      </c>
      <c r="N496" s="65" t="str">
        <f t="shared" si="126"/>
        <v>00:10:00</v>
      </c>
      <c r="O496" s="66"/>
      <c r="P496" s="124"/>
      <c r="Q496" s="67"/>
      <c r="R496" s="68"/>
      <c r="S496" s="68"/>
      <c r="T496" s="69">
        <f t="shared" si="127"/>
        <v>0</v>
      </c>
      <c r="U496" s="61" t="s">
        <v>234</v>
      </c>
      <c r="V496" s="83">
        <v>0</v>
      </c>
      <c r="W496" s="61">
        <f t="shared" si="128"/>
        <v>0</v>
      </c>
      <c r="X496" s="171">
        <v>46245.256944444445</v>
      </c>
      <c r="Y496" s="171">
        <v>46245.291666666664</v>
      </c>
      <c r="Z496" s="168">
        <f t="shared" si="111"/>
        <v>3.4722222218988463E-2</v>
      </c>
      <c r="AA496" s="169">
        <f t="shared" si="112"/>
        <v>4.1666666666666664E-2</v>
      </c>
      <c r="AB496" s="170" t="str">
        <f t="shared" si="113"/>
        <v>00:10:00</v>
      </c>
      <c r="AC496" s="170" t="b">
        <f t="shared" si="114"/>
        <v>1</v>
      </c>
    </row>
    <row r="497" spans="1:29" s="127" customFormat="1" ht="9.75" hidden="1" customHeight="1" x14ac:dyDescent="0.3">
      <c r="A497" s="98">
        <v>46245</v>
      </c>
      <c r="B497" s="48">
        <v>8162738</v>
      </c>
      <c r="C497" s="49" t="s">
        <v>37</v>
      </c>
      <c r="D497" s="49" t="s">
        <v>466</v>
      </c>
      <c r="E497" s="50">
        <v>0.27083333333333331</v>
      </c>
      <c r="F497" s="49" t="s">
        <v>14</v>
      </c>
      <c r="G497" s="70" t="s">
        <v>13</v>
      </c>
      <c r="H497" s="51">
        <v>0.26874999999999999</v>
      </c>
      <c r="I497" s="113" t="str">
        <f t="shared" si="115"/>
        <v>11-08-2026T06:27:00</v>
      </c>
      <c r="J497" s="51">
        <v>0.92777777777777781</v>
      </c>
      <c r="K497" s="51"/>
      <c r="L497" s="52">
        <f t="shared" si="125"/>
        <v>0.65902777777777777</v>
      </c>
      <c r="M497" s="53">
        <v>0.625</v>
      </c>
      <c r="N497" s="54" t="str">
        <f t="shared" si="126"/>
        <v>-00:49:00</v>
      </c>
      <c r="O497" s="55">
        <v>200</v>
      </c>
      <c r="P497" s="147" t="s">
        <v>557</v>
      </c>
      <c r="Q497" s="56" t="s">
        <v>126</v>
      </c>
      <c r="R497" s="57">
        <v>46245.375</v>
      </c>
      <c r="S497" s="57">
        <v>46245.470138888886</v>
      </c>
      <c r="T497" s="47">
        <f t="shared" si="127"/>
        <v>9.5138888886140194E-2</v>
      </c>
      <c r="U497" s="50"/>
      <c r="V497" s="74">
        <v>6.25E-2</v>
      </c>
      <c r="W497" s="50">
        <f t="shared" si="128"/>
        <v>3.2638888886140194E-2</v>
      </c>
      <c r="X497" s="171">
        <v>46245.268750000003</v>
      </c>
      <c r="Y497" s="171">
        <v>46245.927777777775</v>
      </c>
      <c r="Z497" s="168">
        <f t="shared" si="111"/>
        <v>0.65902777777228039</v>
      </c>
      <c r="AA497" s="169">
        <f t="shared" si="112"/>
        <v>0.625</v>
      </c>
      <c r="AB497" s="170" t="str">
        <f t="shared" si="113"/>
        <v>-00:49:00</v>
      </c>
      <c r="AC497" s="170" t="b">
        <f t="shared" si="114"/>
        <v>1</v>
      </c>
    </row>
    <row r="498" spans="1:29" s="128" customFormat="1" ht="9.75" hidden="1" customHeight="1" x14ac:dyDescent="0.3">
      <c r="A498" s="99">
        <v>46245</v>
      </c>
      <c r="B498" s="59">
        <v>8162748</v>
      </c>
      <c r="C498" s="60" t="s">
        <v>38</v>
      </c>
      <c r="D498" s="60" t="s">
        <v>289</v>
      </c>
      <c r="E498" s="61">
        <v>0.27083333333333331</v>
      </c>
      <c r="F498" s="60" t="s">
        <v>13</v>
      </c>
      <c r="G498" s="71" t="s">
        <v>14</v>
      </c>
      <c r="H498" s="62">
        <v>0.27083333333333331</v>
      </c>
      <c r="I498" s="113" t="str">
        <f t="shared" si="115"/>
        <v>11-08-2026T06:30:00</v>
      </c>
      <c r="J498" s="62">
        <v>0.8881944444444444</v>
      </c>
      <c r="K498" s="62"/>
      <c r="L498" s="63">
        <f t="shared" si="125"/>
        <v>0.61736111111111103</v>
      </c>
      <c r="M498" s="64">
        <v>0.625</v>
      </c>
      <c r="N498" s="65" t="str">
        <f t="shared" si="126"/>
        <v>00:11:00</v>
      </c>
      <c r="O498" s="66"/>
      <c r="P498" s="124"/>
      <c r="Q498" s="67" t="s">
        <v>15</v>
      </c>
      <c r="R498" s="68">
        <v>46245.520833333336</v>
      </c>
      <c r="S498" s="68">
        <v>46245.545138888891</v>
      </c>
      <c r="T498" s="69">
        <f t="shared" si="127"/>
        <v>2.4305555554747116E-2</v>
      </c>
      <c r="U498" s="61" t="s">
        <v>234</v>
      </c>
      <c r="V498" s="83">
        <v>6.25E-2</v>
      </c>
      <c r="W498" s="61">
        <f t="shared" si="128"/>
        <v>-3.8194444445252884E-2</v>
      </c>
      <c r="X498" s="171">
        <v>46245.270833333336</v>
      </c>
      <c r="Y498" s="171">
        <v>46245.888194444444</v>
      </c>
      <c r="Z498" s="168">
        <f t="shared" si="111"/>
        <v>0.61736111110803904</v>
      </c>
      <c r="AA498" s="169">
        <f t="shared" si="112"/>
        <v>0.625</v>
      </c>
      <c r="AB498" s="170" t="str">
        <f t="shared" si="113"/>
        <v>00:11:00</v>
      </c>
      <c r="AC498" s="170" t="b">
        <f t="shared" si="114"/>
        <v>1</v>
      </c>
    </row>
    <row r="499" spans="1:29" s="127" customFormat="1" ht="9.75" hidden="1" customHeight="1" x14ac:dyDescent="0.3">
      <c r="A499" s="98">
        <v>46245</v>
      </c>
      <c r="B499" s="48">
        <v>8162735</v>
      </c>
      <c r="C499" s="49" t="s">
        <v>34</v>
      </c>
      <c r="D499" s="49" t="s">
        <v>381</v>
      </c>
      <c r="E499" s="50">
        <v>0.27083333333333331</v>
      </c>
      <c r="F499" s="49" t="s">
        <v>103</v>
      </c>
      <c r="G499" s="70" t="s">
        <v>13</v>
      </c>
      <c r="H499" s="51">
        <v>46245.268055555556</v>
      </c>
      <c r="I499" s="113" t="str">
        <f t="shared" si="115"/>
        <v>11-08-2026T06:26:00</v>
      </c>
      <c r="J499" s="51">
        <v>46246.029861111114</v>
      </c>
      <c r="K499" s="51"/>
      <c r="L499" s="52">
        <f t="shared" si="125"/>
        <v>0.7618055555576575</v>
      </c>
      <c r="M499" s="53">
        <v>0.70833333333333337</v>
      </c>
      <c r="N499" s="54" t="str">
        <f t="shared" si="126"/>
        <v>-01:17:00</v>
      </c>
      <c r="O499" s="55">
        <v>500</v>
      </c>
      <c r="P499" s="147" t="s">
        <v>558</v>
      </c>
      <c r="Q499" s="56" t="s">
        <v>13</v>
      </c>
      <c r="R499" s="57">
        <v>46245.990972222222</v>
      </c>
      <c r="S499" s="57">
        <v>46246.022916666669</v>
      </c>
      <c r="T499" s="58">
        <f t="shared" si="127"/>
        <v>3.1944444446708076E-2</v>
      </c>
      <c r="U499" s="50"/>
      <c r="V499" s="74">
        <v>8.3333333333333329E-2</v>
      </c>
      <c r="W499" s="50">
        <f t="shared" si="128"/>
        <v>-5.1388888886625253E-2</v>
      </c>
      <c r="X499" s="171">
        <v>46245.268055555556</v>
      </c>
      <c r="Y499" s="171">
        <v>46246.029861111114</v>
      </c>
      <c r="Z499" s="168">
        <f t="shared" si="111"/>
        <v>0.7618055555576575</v>
      </c>
      <c r="AA499" s="169">
        <f t="shared" si="112"/>
        <v>0.70833333333333337</v>
      </c>
      <c r="AB499" s="170" t="str">
        <f t="shared" si="113"/>
        <v>-01:17:00</v>
      </c>
      <c r="AC499" s="170" t="b">
        <f t="shared" si="114"/>
        <v>1</v>
      </c>
    </row>
    <row r="500" spans="1:29" s="127" customFormat="1" ht="9.75" hidden="1" customHeight="1" x14ac:dyDescent="0.3">
      <c r="A500" s="98">
        <v>46245</v>
      </c>
      <c r="B500" s="48">
        <v>8162813</v>
      </c>
      <c r="C500" s="49" t="s">
        <v>39</v>
      </c>
      <c r="D500" s="49" t="s">
        <v>392</v>
      </c>
      <c r="E500" s="50">
        <v>0.29166666666666669</v>
      </c>
      <c r="F500" s="49" t="s">
        <v>13</v>
      </c>
      <c r="G500" s="70" t="s">
        <v>103</v>
      </c>
      <c r="H500" s="51">
        <v>0.29236111111111113</v>
      </c>
      <c r="I500" s="113" t="str">
        <f t="shared" si="115"/>
        <v>11-08-2026T07:01:00</v>
      </c>
      <c r="J500" s="51">
        <v>0.9458333333333333</v>
      </c>
      <c r="K500" s="51"/>
      <c r="L500" s="52">
        <f t="shared" si="125"/>
        <v>0.65347222222222223</v>
      </c>
      <c r="M500" s="53">
        <v>0.625</v>
      </c>
      <c r="N500" s="54" t="str">
        <f t="shared" si="126"/>
        <v>-00:41:00</v>
      </c>
      <c r="O500" s="55">
        <v>250</v>
      </c>
      <c r="P500" s="147" t="s">
        <v>574</v>
      </c>
      <c r="Q500" s="56"/>
      <c r="R500" s="57"/>
      <c r="S500" s="57"/>
      <c r="T500" s="58">
        <f t="shared" si="127"/>
        <v>0</v>
      </c>
      <c r="U500" s="50"/>
      <c r="V500" s="74">
        <v>0</v>
      </c>
      <c r="W500" s="50">
        <f t="shared" si="128"/>
        <v>0</v>
      </c>
      <c r="X500" s="171">
        <v>46245.292361111111</v>
      </c>
      <c r="Y500" s="171">
        <v>46245.945833333331</v>
      </c>
      <c r="Z500" s="168">
        <f t="shared" si="111"/>
        <v>0.65347222222044365</v>
      </c>
      <c r="AA500" s="169">
        <f t="shared" si="112"/>
        <v>0.625</v>
      </c>
      <c r="AB500" s="170" t="str">
        <f t="shared" si="113"/>
        <v>-00:41:00</v>
      </c>
      <c r="AC500" s="170" t="b">
        <f t="shared" si="114"/>
        <v>1</v>
      </c>
    </row>
    <row r="501" spans="1:29" s="128" customFormat="1" ht="9.75" hidden="1" customHeight="1" x14ac:dyDescent="0.3">
      <c r="A501" s="99">
        <v>46245</v>
      </c>
      <c r="B501" s="59">
        <v>8162847</v>
      </c>
      <c r="C501" s="60" t="s">
        <v>56</v>
      </c>
      <c r="D501" s="60" t="s">
        <v>472</v>
      </c>
      <c r="E501" s="61">
        <v>0.3125</v>
      </c>
      <c r="F501" s="60" t="s">
        <v>15</v>
      </c>
      <c r="G501" s="71" t="s">
        <v>13</v>
      </c>
      <c r="H501" s="62">
        <v>0.31180555555555556</v>
      </c>
      <c r="I501" s="113" t="str">
        <f t="shared" si="115"/>
        <v>11-08-2026T07:29:00</v>
      </c>
      <c r="J501" s="62">
        <v>0.56180555555555556</v>
      </c>
      <c r="K501" s="62"/>
      <c r="L501" s="63">
        <f t="shared" si="125"/>
        <v>0.25</v>
      </c>
      <c r="M501" s="64">
        <v>0.25</v>
      </c>
      <c r="N501" s="65" t="str">
        <f t="shared" si="126"/>
        <v>-00:00:00</v>
      </c>
      <c r="O501" s="66"/>
      <c r="P501" s="124"/>
      <c r="Q501" s="67" t="s">
        <v>205</v>
      </c>
      <c r="R501" s="68">
        <v>46245.388888888891</v>
      </c>
      <c r="S501" s="68">
        <v>46245.444444444445</v>
      </c>
      <c r="T501" s="47">
        <f t="shared" si="127"/>
        <v>5.5555555554747116E-2</v>
      </c>
      <c r="U501" s="61"/>
      <c r="V501" s="83">
        <v>4.1666666666666664E-2</v>
      </c>
      <c r="W501" s="61">
        <f t="shared" si="128"/>
        <v>1.3888888888080451E-2</v>
      </c>
      <c r="X501" s="171">
        <v>46245.311805555553</v>
      </c>
      <c r="Y501" s="171">
        <v>46245.561805555553</v>
      </c>
      <c r="Z501" s="168">
        <f t="shared" si="111"/>
        <v>0.25</v>
      </c>
      <c r="AA501" s="169">
        <f t="shared" si="112"/>
        <v>0.25</v>
      </c>
      <c r="AB501" s="170" t="str">
        <f t="shared" si="113"/>
        <v>-00:00:00</v>
      </c>
      <c r="AC501" s="170" t="b">
        <f t="shared" si="114"/>
        <v>1</v>
      </c>
    </row>
    <row r="502" spans="1:29" s="128" customFormat="1" ht="9.75" hidden="1" customHeight="1" x14ac:dyDescent="0.3">
      <c r="A502" s="99">
        <v>46245</v>
      </c>
      <c r="B502" s="59">
        <v>8162815</v>
      </c>
      <c r="C502" s="60" t="s">
        <v>50</v>
      </c>
      <c r="D502" s="60" t="s">
        <v>329</v>
      </c>
      <c r="E502" s="61">
        <v>0.29166666666666669</v>
      </c>
      <c r="F502" s="60" t="s">
        <v>13</v>
      </c>
      <c r="G502" s="71" t="s">
        <v>31</v>
      </c>
      <c r="H502" s="62">
        <v>0.29305555555555557</v>
      </c>
      <c r="I502" s="113" t="str">
        <f t="shared" si="115"/>
        <v>11-08-2026T07:02:00</v>
      </c>
      <c r="J502" s="62">
        <v>0.89444444444444449</v>
      </c>
      <c r="K502" s="62"/>
      <c r="L502" s="63">
        <f t="shared" si="125"/>
        <v>0.60138888888888897</v>
      </c>
      <c r="M502" s="64">
        <v>0.625</v>
      </c>
      <c r="N502" s="65" t="str">
        <f t="shared" si="126"/>
        <v>00:34:00</v>
      </c>
      <c r="O502" s="66"/>
      <c r="P502" s="124" t="s">
        <v>575</v>
      </c>
      <c r="Q502" s="67"/>
      <c r="R502" s="68"/>
      <c r="S502" s="68"/>
      <c r="T502" s="69">
        <f t="shared" si="127"/>
        <v>0</v>
      </c>
      <c r="U502" s="61"/>
      <c r="V502" s="83">
        <v>0</v>
      </c>
      <c r="W502" s="61">
        <f t="shared" si="128"/>
        <v>0</v>
      </c>
      <c r="X502" s="172">
        <v>46245.293055555558</v>
      </c>
      <c r="Y502" s="172">
        <v>46245.894444444442</v>
      </c>
      <c r="Z502" s="173">
        <f t="shared" si="111"/>
        <v>0.601388888884685</v>
      </c>
      <c r="AA502" s="174">
        <f t="shared" si="112"/>
        <v>0.625</v>
      </c>
      <c r="AB502" s="175" t="str">
        <f t="shared" si="113"/>
        <v>00:34:00</v>
      </c>
      <c r="AC502" s="175" t="b">
        <f t="shared" si="114"/>
        <v>1</v>
      </c>
    </row>
    <row r="503" spans="1:29" s="128" customFormat="1" ht="9.75" hidden="1" customHeight="1" x14ac:dyDescent="0.3">
      <c r="A503" s="99">
        <v>46245</v>
      </c>
      <c r="B503" s="59">
        <v>8162857</v>
      </c>
      <c r="C503" s="60" t="s">
        <v>42</v>
      </c>
      <c r="D503" s="60" t="s">
        <v>181</v>
      </c>
      <c r="E503" s="61">
        <v>0.3125</v>
      </c>
      <c r="F503" s="60" t="s">
        <v>13</v>
      </c>
      <c r="G503" s="71" t="s">
        <v>55</v>
      </c>
      <c r="H503" s="62">
        <v>0.31874999999999998</v>
      </c>
      <c r="I503" s="113" t="str">
        <f t="shared" si="115"/>
        <v>11-08-2026T07:39:00</v>
      </c>
      <c r="J503" s="62">
        <v>0.37847222222222221</v>
      </c>
      <c r="K503" s="62"/>
      <c r="L503" s="63">
        <f t="shared" si="125"/>
        <v>5.9722222222222232E-2</v>
      </c>
      <c r="M503" s="64">
        <v>6.25E-2</v>
      </c>
      <c r="N503" s="65" t="str">
        <f t="shared" si="126"/>
        <v>00:04:00</v>
      </c>
      <c r="O503" s="66"/>
      <c r="P503" s="124"/>
      <c r="Q503" s="67"/>
      <c r="R503" s="68"/>
      <c r="S503" s="68"/>
      <c r="T503" s="69">
        <f t="shared" si="127"/>
        <v>0</v>
      </c>
      <c r="U503" s="61" t="s">
        <v>234</v>
      </c>
      <c r="V503" s="83">
        <v>0</v>
      </c>
      <c r="W503" s="61">
        <f t="shared" si="128"/>
        <v>0</v>
      </c>
      <c r="X503" s="171">
        <v>46245.318749999999</v>
      </c>
      <c r="Y503" s="171">
        <v>46245.378472222219</v>
      </c>
      <c r="Z503" s="168">
        <f t="shared" si="111"/>
        <v>5.9722222220443655E-2</v>
      </c>
      <c r="AA503" s="169">
        <f t="shared" si="112"/>
        <v>6.25E-2</v>
      </c>
      <c r="AB503" s="170" t="str">
        <f t="shared" si="113"/>
        <v>00:04:00</v>
      </c>
      <c r="AC503" s="170" t="b">
        <f t="shared" si="114"/>
        <v>1</v>
      </c>
    </row>
    <row r="504" spans="1:29" s="127" customFormat="1" ht="9.75" hidden="1" customHeight="1" x14ac:dyDescent="0.3">
      <c r="A504" s="98">
        <v>46245</v>
      </c>
      <c r="B504" s="48">
        <v>8162975</v>
      </c>
      <c r="C504" s="49" t="s">
        <v>30</v>
      </c>
      <c r="D504" s="49" t="s">
        <v>286</v>
      </c>
      <c r="E504" s="50">
        <v>0.375</v>
      </c>
      <c r="F504" s="49" t="s">
        <v>13</v>
      </c>
      <c r="G504" s="70" t="s">
        <v>31</v>
      </c>
      <c r="H504" s="51">
        <v>46245.374305555553</v>
      </c>
      <c r="I504" s="113" t="str">
        <f t="shared" si="115"/>
        <v>11-08-2026T08:59:00</v>
      </c>
      <c r="J504" s="51">
        <v>46246.331250000003</v>
      </c>
      <c r="K504" s="51"/>
      <c r="L504" s="52">
        <f t="shared" si="125"/>
        <v>0.95694444444961846</v>
      </c>
      <c r="M504" s="53">
        <v>0.75</v>
      </c>
      <c r="N504" s="54" t="str">
        <f t="shared" si="126"/>
        <v>-04:58:00</v>
      </c>
      <c r="O504" s="55">
        <v>1000</v>
      </c>
      <c r="P504" s="147" t="s">
        <v>559</v>
      </c>
      <c r="Q504" s="56" t="s">
        <v>45</v>
      </c>
      <c r="R504" s="57" t="s">
        <v>372</v>
      </c>
      <c r="S504" s="57" t="s">
        <v>372</v>
      </c>
      <c r="T504" s="58" t="e">
        <f t="shared" si="127"/>
        <v>#VALUE!</v>
      </c>
      <c r="U504" s="50"/>
      <c r="V504" s="74">
        <v>8.3333333333333329E-2</v>
      </c>
      <c r="W504" s="50" t="e">
        <f t="shared" si="128"/>
        <v>#VALUE!</v>
      </c>
      <c r="X504" s="171">
        <v>46245.374305555553</v>
      </c>
      <c r="Y504" s="171">
        <v>46246.331250000003</v>
      </c>
      <c r="Z504" s="168">
        <f t="shared" si="111"/>
        <v>0.95694444444961846</v>
      </c>
      <c r="AA504" s="169">
        <f t="shared" si="112"/>
        <v>0.75</v>
      </c>
      <c r="AB504" s="170" t="str">
        <f t="shared" si="113"/>
        <v>-04:58:00</v>
      </c>
      <c r="AC504" s="170" t="b">
        <f t="shared" si="114"/>
        <v>1</v>
      </c>
    </row>
    <row r="505" spans="1:29" s="128" customFormat="1" ht="9.75" hidden="1" customHeight="1" x14ac:dyDescent="0.3">
      <c r="A505" s="99">
        <v>46245</v>
      </c>
      <c r="B505" s="59">
        <v>8162984</v>
      </c>
      <c r="C505" s="60" t="s">
        <v>171</v>
      </c>
      <c r="D505" s="60" t="s">
        <v>296</v>
      </c>
      <c r="E505" s="61">
        <v>0.375</v>
      </c>
      <c r="F505" s="60" t="s">
        <v>13</v>
      </c>
      <c r="G505" s="71" t="s">
        <v>47</v>
      </c>
      <c r="H505" s="62">
        <v>46245.376388888886</v>
      </c>
      <c r="I505" s="113" t="str">
        <f t="shared" si="115"/>
        <v>11-08-2026T09:02:00</v>
      </c>
      <c r="J505" s="62">
        <v>46247.245138888888</v>
      </c>
      <c r="K505" s="62"/>
      <c r="L505" s="63">
        <f t="shared" si="125"/>
        <v>1.8687500000014552</v>
      </c>
      <c r="M505" s="64">
        <v>1.9166666666666667</v>
      </c>
      <c r="N505" s="65" t="str">
        <f t="shared" si="126"/>
        <v>01:09:00</v>
      </c>
      <c r="O505" s="66"/>
      <c r="P505" s="124"/>
      <c r="Q505" s="67" t="s">
        <v>96</v>
      </c>
      <c r="R505" s="68">
        <v>46246.991666666669</v>
      </c>
      <c r="S505" s="68">
        <v>46247.070833333331</v>
      </c>
      <c r="T505" s="69">
        <f t="shared" si="127"/>
        <v>7.9166666662786156E-2</v>
      </c>
      <c r="U505" s="61"/>
      <c r="V505" s="83">
        <v>8.3333333333333329E-2</v>
      </c>
      <c r="W505" s="61">
        <f t="shared" si="128"/>
        <v>-4.1666666705471728E-3</v>
      </c>
      <c r="X505" s="171">
        <v>46245.376388888886</v>
      </c>
      <c r="Y505" s="171">
        <v>46247.245138888888</v>
      </c>
      <c r="Z505" s="168">
        <f t="shared" si="111"/>
        <v>1.8687500000014552</v>
      </c>
      <c r="AA505" s="169">
        <f t="shared" si="112"/>
        <v>1.9166666666666667</v>
      </c>
      <c r="AB505" s="170" t="str">
        <f t="shared" si="113"/>
        <v>01:09:00</v>
      </c>
      <c r="AC505" s="170" t="b">
        <f t="shared" si="114"/>
        <v>1</v>
      </c>
    </row>
    <row r="506" spans="1:29" s="127" customFormat="1" ht="9.75" hidden="1" customHeight="1" x14ac:dyDescent="0.3">
      <c r="A506" s="98">
        <v>46245</v>
      </c>
      <c r="B506" s="48">
        <v>8162952</v>
      </c>
      <c r="C506" s="49" t="s">
        <v>51</v>
      </c>
      <c r="D506" s="49" t="s">
        <v>295</v>
      </c>
      <c r="E506" s="50">
        <v>0.375</v>
      </c>
      <c r="F506" s="49" t="s">
        <v>49</v>
      </c>
      <c r="G506" s="70" t="s">
        <v>13</v>
      </c>
      <c r="H506" s="51">
        <v>0.36666666666666664</v>
      </c>
      <c r="I506" s="113" t="str">
        <f t="shared" si="115"/>
        <v>11-08-2026T08:48:00</v>
      </c>
      <c r="J506" s="51">
        <v>0.95416666666666672</v>
      </c>
      <c r="K506" s="51"/>
      <c r="L506" s="52">
        <f t="shared" si="125"/>
        <v>0.58750000000000013</v>
      </c>
      <c r="M506" s="53">
        <v>0.58333333333333337</v>
      </c>
      <c r="N506" s="54" t="str">
        <f t="shared" si="126"/>
        <v>-00:06:00</v>
      </c>
      <c r="O506" s="55">
        <v>250</v>
      </c>
      <c r="P506" s="147" t="s">
        <v>568</v>
      </c>
      <c r="Q506" s="56" t="s">
        <v>13</v>
      </c>
      <c r="R506" s="57">
        <v>46245.853472222225</v>
      </c>
      <c r="S506" s="57">
        <v>46245.9375</v>
      </c>
      <c r="T506" s="47">
        <f t="shared" si="127"/>
        <v>8.4027777775190771E-2</v>
      </c>
      <c r="U506" s="50"/>
      <c r="V506" s="74">
        <v>8.3333333333333329E-2</v>
      </c>
      <c r="W506" s="50">
        <f t="shared" si="128"/>
        <v>6.9444444185744192E-4</v>
      </c>
      <c r="X506" s="171">
        <v>46245.366666666669</v>
      </c>
      <c r="Y506" s="171">
        <v>46245.95416666667</v>
      </c>
      <c r="Z506" s="168">
        <f t="shared" si="111"/>
        <v>0.58750000000145519</v>
      </c>
      <c r="AA506" s="169">
        <f t="shared" si="112"/>
        <v>0.58333333333333337</v>
      </c>
      <c r="AB506" s="170" t="str">
        <f t="shared" si="113"/>
        <v>-00:06:00</v>
      </c>
      <c r="AC506" s="170" t="b">
        <f t="shared" si="114"/>
        <v>1</v>
      </c>
    </row>
    <row r="507" spans="1:29" s="128" customFormat="1" ht="9.75" hidden="1" customHeight="1" x14ac:dyDescent="0.3">
      <c r="A507" s="99">
        <v>46245</v>
      </c>
      <c r="B507" s="59">
        <v>8163057</v>
      </c>
      <c r="C507" s="60" t="s">
        <v>40</v>
      </c>
      <c r="D507" s="60" t="s">
        <v>460</v>
      </c>
      <c r="E507" s="61">
        <v>0.41666666666666669</v>
      </c>
      <c r="F507" s="60" t="s">
        <v>31</v>
      </c>
      <c r="G507" s="71" t="s">
        <v>13</v>
      </c>
      <c r="H507" s="62">
        <v>46245.432638888888</v>
      </c>
      <c r="I507" s="113" t="str">
        <f t="shared" si="115"/>
        <v>11-08-2026T10:23:00</v>
      </c>
      <c r="J507" s="62">
        <v>46246.161111111112</v>
      </c>
      <c r="K507" s="62"/>
      <c r="L507" s="63">
        <f t="shared" si="125"/>
        <v>0.72847222222480923</v>
      </c>
      <c r="M507" s="64">
        <v>0.75</v>
      </c>
      <c r="N507" s="65" t="str">
        <f t="shared" si="126"/>
        <v>00:31:00</v>
      </c>
      <c r="O507" s="66"/>
      <c r="P507" s="124" t="s">
        <v>568</v>
      </c>
      <c r="Q507" s="67" t="s">
        <v>45</v>
      </c>
      <c r="R507" s="68">
        <v>46245.544444444444</v>
      </c>
      <c r="S507" s="68">
        <v>46245.631944444445</v>
      </c>
      <c r="T507" s="69">
        <f t="shared" si="127"/>
        <v>8.7500000001455192E-2</v>
      </c>
      <c r="U507" s="61"/>
      <c r="V507" s="83">
        <v>8.3333333333333329E-2</v>
      </c>
      <c r="W507" s="61">
        <f t="shared" si="128"/>
        <v>4.1666666681218628E-3</v>
      </c>
      <c r="X507" s="172">
        <v>46245.432638888888</v>
      </c>
      <c r="Y507" s="172">
        <v>46246.161111111112</v>
      </c>
      <c r="Z507" s="173">
        <f t="shared" si="111"/>
        <v>0.72847222222480923</v>
      </c>
      <c r="AA507" s="174">
        <f t="shared" si="112"/>
        <v>0.75</v>
      </c>
      <c r="AB507" s="175" t="str">
        <f t="shared" si="113"/>
        <v>00:31:00</v>
      </c>
      <c r="AC507" s="175" t="b">
        <f t="shared" si="114"/>
        <v>1</v>
      </c>
    </row>
    <row r="508" spans="1:29" s="128" customFormat="1" ht="9.75" hidden="1" customHeight="1" x14ac:dyDescent="0.3">
      <c r="A508" s="99">
        <v>46245</v>
      </c>
      <c r="B508" s="59">
        <v>8163034</v>
      </c>
      <c r="C508" s="60" t="s">
        <v>48</v>
      </c>
      <c r="D508" s="60" t="s">
        <v>183</v>
      </c>
      <c r="E508" s="61">
        <v>0.41666666666666669</v>
      </c>
      <c r="F508" s="60" t="s">
        <v>13</v>
      </c>
      <c r="G508" s="71" t="s">
        <v>49</v>
      </c>
      <c r="H508" s="62">
        <v>0.41666666666666669</v>
      </c>
      <c r="I508" s="113" t="str">
        <f t="shared" si="115"/>
        <v>11-08-2026T10:00:00</v>
      </c>
      <c r="J508" s="62">
        <v>0.90833333333333333</v>
      </c>
      <c r="K508" s="62"/>
      <c r="L508" s="63">
        <f t="shared" si="125"/>
        <v>0.49166666666666664</v>
      </c>
      <c r="M508" s="64">
        <v>0.5</v>
      </c>
      <c r="N508" s="65" t="str">
        <f t="shared" si="126"/>
        <v>00:12:00</v>
      </c>
      <c r="O508" s="66"/>
      <c r="P508" s="124"/>
      <c r="Q508" s="67"/>
      <c r="R508" s="68"/>
      <c r="S508" s="68"/>
      <c r="T508" s="69">
        <f t="shared" si="127"/>
        <v>0</v>
      </c>
      <c r="U508" s="61" t="s">
        <v>234</v>
      </c>
      <c r="V508" s="83">
        <v>0</v>
      </c>
      <c r="W508" s="61">
        <f t="shared" si="128"/>
        <v>0</v>
      </c>
      <c r="X508" s="171">
        <v>46245.416666666664</v>
      </c>
      <c r="Y508" s="171">
        <v>46245.908333333333</v>
      </c>
      <c r="Z508" s="168">
        <f t="shared" ref="Z508:Z571" si="129">Y508-X508</f>
        <v>0.49166666666860692</v>
      </c>
      <c r="AA508" s="169">
        <f t="shared" ref="AA508:AA571" si="130">M508</f>
        <v>0.5</v>
      </c>
      <c r="AB508" s="170" t="str">
        <f t="shared" ref="AB508:AB571" si="131">IF(AA508-Z508&gt;0,TEXT(AA508-Z508,"HH:MM:SS"),TEXT(ABS(AA508-Z508),"-HH:MM:SS"))</f>
        <v>00:12:00</v>
      </c>
      <c r="AC508" s="170" t="b">
        <f t="shared" ref="AC508:AC571" si="132">AB508=N508</f>
        <v>1</v>
      </c>
    </row>
    <row r="509" spans="1:29" s="128" customFormat="1" ht="9.75" customHeight="1" x14ac:dyDescent="0.3">
      <c r="A509" s="99">
        <v>46245</v>
      </c>
      <c r="B509" s="59">
        <v>8162018</v>
      </c>
      <c r="C509" s="60" t="s">
        <v>90</v>
      </c>
      <c r="D509" s="60" t="s">
        <v>290</v>
      </c>
      <c r="E509" s="61">
        <v>0.99930555555555556</v>
      </c>
      <c r="F509" s="60" t="s">
        <v>13</v>
      </c>
      <c r="G509" s="71" t="s">
        <v>15</v>
      </c>
      <c r="H509" s="62">
        <v>1.1805555555555555E-2</v>
      </c>
      <c r="I509" s="113" t="str">
        <f t="shared" si="115"/>
        <v>11-08-2026T00:17:00</v>
      </c>
      <c r="J509" s="62">
        <v>0.27430555555555558</v>
      </c>
      <c r="K509" s="113" t="str">
        <f t="shared" ref="K509:K510" si="133">TEXT(A509,"dd-mm-yyyy")&amp;"T"&amp;TEXT(J509,"hh:mm:ss")</f>
        <v>11-08-2026T06:35:00</v>
      </c>
      <c r="L509" s="63">
        <f t="shared" si="125"/>
        <v>0.26250000000000001</v>
      </c>
      <c r="M509" s="64">
        <v>0.27083333333333331</v>
      </c>
      <c r="N509" s="65" t="str">
        <f t="shared" si="126"/>
        <v>00:12:00</v>
      </c>
      <c r="O509" s="66"/>
      <c r="P509" s="124"/>
      <c r="Q509" s="67" t="s">
        <v>13</v>
      </c>
      <c r="R509" s="68">
        <v>46245.02847222222</v>
      </c>
      <c r="S509" s="68">
        <v>46245.068055555559</v>
      </c>
      <c r="T509" s="69">
        <f t="shared" si="127"/>
        <v>3.9583333338669036E-2</v>
      </c>
      <c r="U509" s="61"/>
      <c r="V509" s="83">
        <v>8.3333333333333329E-2</v>
      </c>
      <c r="W509" s="61">
        <f t="shared" si="128"/>
        <v>-4.3749999994664293E-2</v>
      </c>
      <c r="X509" s="171">
        <v>46245.011805555558</v>
      </c>
      <c r="Y509" s="171">
        <v>46245.274305555555</v>
      </c>
      <c r="Z509" s="168">
        <f t="shared" si="129"/>
        <v>0.26249999999708962</v>
      </c>
      <c r="AA509" s="169">
        <f t="shared" si="130"/>
        <v>0.27083333333333331</v>
      </c>
      <c r="AB509" s="170" t="str">
        <f t="shared" si="131"/>
        <v>00:12:00</v>
      </c>
      <c r="AC509" s="170" t="b">
        <f t="shared" si="132"/>
        <v>1</v>
      </c>
    </row>
    <row r="510" spans="1:29" s="127" customFormat="1" ht="9.75" hidden="1" customHeight="1" x14ac:dyDescent="0.3">
      <c r="A510" s="98">
        <v>46245</v>
      </c>
      <c r="B510" s="48">
        <v>8163065</v>
      </c>
      <c r="C510" s="49" t="s">
        <v>90</v>
      </c>
      <c r="D510" s="49" t="s">
        <v>290</v>
      </c>
      <c r="E510" s="50">
        <v>0.4375</v>
      </c>
      <c r="F510" s="49" t="s">
        <v>15</v>
      </c>
      <c r="G510" s="70" t="s">
        <v>13</v>
      </c>
      <c r="H510" s="51">
        <v>0.43611111111111112</v>
      </c>
      <c r="I510" s="113" t="str">
        <f t="shared" si="115"/>
        <v>11-08-2026T10:28:00</v>
      </c>
      <c r="J510" s="51">
        <v>0.64652777777777781</v>
      </c>
      <c r="K510" s="113" t="str">
        <f t="shared" si="133"/>
        <v>11-08-2026T15:31:00</v>
      </c>
      <c r="L510" s="52">
        <f t="shared" si="125"/>
        <v>0.2104166666666667</v>
      </c>
      <c r="M510" s="53">
        <v>0.20833333333333334</v>
      </c>
      <c r="N510" s="54" t="str">
        <f t="shared" si="126"/>
        <v>-00:03:00</v>
      </c>
      <c r="O510" s="55">
        <v>200</v>
      </c>
      <c r="P510" s="147" t="s">
        <v>455</v>
      </c>
      <c r="Q510" s="56"/>
      <c r="R510" s="57"/>
      <c r="S510" s="57"/>
      <c r="T510" s="58">
        <f t="shared" si="127"/>
        <v>0</v>
      </c>
      <c r="U510" s="50"/>
      <c r="V510" s="74">
        <v>0</v>
      </c>
      <c r="W510" s="50">
        <f t="shared" si="128"/>
        <v>0</v>
      </c>
      <c r="X510" s="171">
        <v>46245.436111111114</v>
      </c>
      <c r="Y510" s="171">
        <v>46245.646527777775</v>
      </c>
      <c r="Z510" s="168">
        <f t="shared" si="129"/>
        <v>0.21041666666133096</v>
      </c>
      <c r="AA510" s="169">
        <f t="shared" si="130"/>
        <v>0.20833333333333334</v>
      </c>
      <c r="AB510" s="170" t="str">
        <f t="shared" si="131"/>
        <v>-00:03:00</v>
      </c>
      <c r="AC510" s="170" t="b">
        <f t="shared" si="132"/>
        <v>1</v>
      </c>
    </row>
    <row r="511" spans="1:29" s="128" customFormat="1" ht="9.75" hidden="1" customHeight="1" x14ac:dyDescent="0.3">
      <c r="A511" s="99">
        <v>46245</v>
      </c>
      <c r="B511" s="59">
        <v>8163127</v>
      </c>
      <c r="C511" s="60" t="s">
        <v>57</v>
      </c>
      <c r="D511" s="60" t="s">
        <v>370</v>
      </c>
      <c r="E511" s="61">
        <v>0.45833333333333331</v>
      </c>
      <c r="F511" s="60" t="s">
        <v>13</v>
      </c>
      <c r="G511" s="71" t="s">
        <v>24</v>
      </c>
      <c r="H511" s="62">
        <v>0.45902777777777776</v>
      </c>
      <c r="I511" s="113" t="str">
        <f t="shared" si="115"/>
        <v>11-08-2026T11:01:00</v>
      </c>
      <c r="J511" s="62">
        <v>0.53819444444444442</v>
      </c>
      <c r="K511" s="62"/>
      <c r="L511" s="63">
        <f t="shared" si="125"/>
        <v>7.9166666666666663E-2</v>
      </c>
      <c r="M511" s="64">
        <v>8.3333333333333329E-2</v>
      </c>
      <c r="N511" s="65" t="str">
        <f t="shared" si="126"/>
        <v>00:06:00</v>
      </c>
      <c r="O511" s="66"/>
      <c r="P511" s="124"/>
      <c r="Q511" s="67"/>
      <c r="R511" s="68"/>
      <c r="S511" s="68"/>
      <c r="T511" s="69">
        <f t="shared" si="127"/>
        <v>0</v>
      </c>
      <c r="U511" s="61" t="s">
        <v>234</v>
      </c>
      <c r="V511" s="83">
        <v>0</v>
      </c>
      <c r="W511" s="61">
        <f t="shared" si="128"/>
        <v>0</v>
      </c>
      <c r="X511" s="171">
        <v>46245.459027777775</v>
      </c>
      <c r="Y511" s="171">
        <v>46245.538194444445</v>
      </c>
      <c r="Z511" s="168">
        <f t="shared" si="129"/>
        <v>7.9166666670062114E-2</v>
      </c>
      <c r="AA511" s="169">
        <f t="shared" si="130"/>
        <v>8.3333333333333329E-2</v>
      </c>
      <c r="AB511" s="170" t="str">
        <f t="shared" si="131"/>
        <v>00:06:00</v>
      </c>
      <c r="AC511" s="170" t="b">
        <f t="shared" si="132"/>
        <v>1</v>
      </c>
    </row>
    <row r="512" spans="1:29" s="128" customFormat="1" ht="9.75" hidden="1" customHeight="1" x14ac:dyDescent="0.3">
      <c r="A512" s="99">
        <v>46245</v>
      </c>
      <c r="B512" s="59">
        <v>8163252</v>
      </c>
      <c r="C512" s="60" t="s">
        <v>20</v>
      </c>
      <c r="D512" s="60" t="s">
        <v>232</v>
      </c>
      <c r="E512" s="61">
        <v>0.5</v>
      </c>
      <c r="F512" s="60" t="s">
        <v>13</v>
      </c>
      <c r="G512" s="71" t="s">
        <v>21</v>
      </c>
      <c r="H512" s="62">
        <v>0.50416666666666665</v>
      </c>
      <c r="I512" s="113" t="str">
        <f t="shared" si="115"/>
        <v>11-08-2026T12:06:00</v>
      </c>
      <c r="J512" s="62">
        <v>0.75</v>
      </c>
      <c r="K512" s="62"/>
      <c r="L512" s="63">
        <f t="shared" si="125"/>
        <v>0.24583333333333335</v>
      </c>
      <c r="M512" s="64">
        <v>0.25</v>
      </c>
      <c r="N512" s="65" t="str">
        <f t="shared" si="126"/>
        <v>00:06:00</v>
      </c>
      <c r="O512" s="66"/>
      <c r="P512" s="124"/>
      <c r="Q512" s="67"/>
      <c r="R512" s="68"/>
      <c r="S512" s="68"/>
      <c r="T512" s="69">
        <f t="shared" si="127"/>
        <v>0</v>
      </c>
      <c r="U512" s="61"/>
      <c r="V512" s="83">
        <v>0</v>
      </c>
      <c r="W512" s="61">
        <f t="shared" si="128"/>
        <v>0</v>
      </c>
      <c r="X512" s="171">
        <v>46245.504166666666</v>
      </c>
      <c r="Y512" s="171">
        <v>46245.75</v>
      </c>
      <c r="Z512" s="168">
        <f t="shared" si="129"/>
        <v>0.24583333333430346</v>
      </c>
      <c r="AA512" s="169">
        <f t="shared" si="130"/>
        <v>0.25</v>
      </c>
      <c r="AB512" s="170" t="str">
        <f t="shared" si="131"/>
        <v>00:06:00</v>
      </c>
      <c r="AC512" s="170" t="b">
        <f t="shared" si="132"/>
        <v>1</v>
      </c>
    </row>
    <row r="513" spans="1:29" s="128" customFormat="1" ht="9.75" hidden="1" customHeight="1" x14ac:dyDescent="0.3">
      <c r="A513" s="99">
        <v>46245</v>
      </c>
      <c r="B513" s="59">
        <v>8163351</v>
      </c>
      <c r="C513" s="60" t="s">
        <v>99</v>
      </c>
      <c r="D513" s="60" t="s">
        <v>375</v>
      </c>
      <c r="E513" s="61">
        <v>0.54166666666666663</v>
      </c>
      <c r="F513" s="60" t="s">
        <v>103</v>
      </c>
      <c r="G513" s="71" t="s">
        <v>13</v>
      </c>
      <c r="H513" s="62">
        <v>46245.538888888892</v>
      </c>
      <c r="I513" s="113" t="str">
        <f t="shared" si="115"/>
        <v>11-08-2026T12:56:00</v>
      </c>
      <c r="J513" s="62">
        <v>46246.158333333333</v>
      </c>
      <c r="K513" s="62"/>
      <c r="L513" s="63">
        <f t="shared" si="125"/>
        <v>0.61944444444088731</v>
      </c>
      <c r="M513" s="64">
        <v>0.70833333333333337</v>
      </c>
      <c r="N513" s="65" t="str">
        <f t="shared" si="126"/>
        <v>02:08:00</v>
      </c>
      <c r="O513" s="66"/>
      <c r="P513" s="124"/>
      <c r="Q513" s="67" t="s">
        <v>13</v>
      </c>
      <c r="R513" s="68">
        <v>46246.125</v>
      </c>
      <c r="S513" s="68">
        <v>46246.149305555555</v>
      </c>
      <c r="T513" s="69">
        <f t="shared" si="127"/>
        <v>2.4305555554747116E-2</v>
      </c>
      <c r="U513" s="61"/>
      <c r="V513" s="83">
        <v>8.3333333333333329E-2</v>
      </c>
      <c r="W513" s="61">
        <f t="shared" si="128"/>
        <v>-5.9027777778586213E-2</v>
      </c>
      <c r="X513" s="171">
        <v>46245.538888888892</v>
      </c>
      <c r="Y513" s="171">
        <v>46246.158333333333</v>
      </c>
      <c r="Z513" s="168">
        <f t="shared" si="129"/>
        <v>0.61944444444088731</v>
      </c>
      <c r="AA513" s="169">
        <f t="shared" si="130"/>
        <v>0.70833333333333337</v>
      </c>
      <c r="AB513" s="170" t="str">
        <f t="shared" si="131"/>
        <v>02:08:00</v>
      </c>
      <c r="AC513" s="170" t="b">
        <f t="shared" si="132"/>
        <v>1</v>
      </c>
    </row>
    <row r="514" spans="1:29" s="128" customFormat="1" ht="9.75" hidden="1" customHeight="1" x14ac:dyDescent="0.3">
      <c r="A514" s="99">
        <v>46245</v>
      </c>
      <c r="B514" s="59">
        <v>8163348</v>
      </c>
      <c r="C514" s="60" t="s">
        <v>52</v>
      </c>
      <c r="D514" s="60" t="s">
        <v>616</v>
      </c>
      <c r="E514" s="61">
        <v>0.54166666666666663</v>
      </c>
      <c r="F514" s="60" t="s">
        <v>13</v>
      </c>
      <c r="G514" s="71" t="s">
        <v>15</v>
      </c>
      <c r="H514" s="62">
        <v>0.5395833333333333</v>
      </c>
      <c r="I514" s="113" t="str">
        <f t="shared" si="115"/>
        <v>11-08-2026T12:57:00</v>
      </c>
      <c r="J514" s="62">
        <v>0.74583333333333335</v>
      </c>
      <c r="K514" s="62"/>
      <c r="L514" s="63">
        <f t="shared" si="125"/>
        <v>0.20625000000000004</v>
      </c>
      <c r="M514" s="64">
        <v>0.20833333333333334</v>
      </c>
      <c r="N514" s="65" t="str">
        <f t="shared" si="126"/>
        <v>00:03:00</v>
      </c>
      <c r="O514" s="66"/>
      <c r="P514" s="124"/>
      <c r="Q514" s="67"/>
      <c r="R514" s="68"/>
      <c r="S514" s="68"/>
      <c r="T514" s="69">
        <f t="shared" si="127"/>
        <v>0</v>
      </c>
      <c r="U514" s="61" t="s">
        <v>234</v>
      </c>
      <c r="V514" s="83">
        <v>0</v>
      </c>
      <c r="W514" s="61">
        <f t="shared" si="128"/>
        <v>0</v>
      </c>
      <c r="X514" s="171">
        <v>46245.539583333331</v>
      </c>
      <c r="Y514" s="171">
        <v>46245.745833333334</v>
      </c>
      <c r="Z514" s="168">
        <f t="shared" si="129"/>
        <v>0.20625000000291038</v>
      </c>
      <c r="AA514" s="169">
        <f t="shared" si="130"/>
        <v>0.20833333333333334</v>
      </c>
      <c r="AB514" s="170" t="str">
        <f t="shared" si="131"/>
        <v>00:03:00</v>
      </c>
      <c r="AC514" s="170" t="b">
        <f t="shared" si="132"/>
        <v>1</v>
      </c>
    </row>
    <row r="515" spans="1:29" s="128" customFormat="1" ht="9.75" hidden="1" customHeight="1" x14ac:dyDescent="0.3">
      <c r="A515" s="99">
        <v>46245</v>
      </c>
      <c r="B515" s="59">
        <v>8163610</v>
      </c>
      <c r="C515" s="60" t="s">
        <v>53</v>
      </c>
      <c r="D515" s="60" t="s">
        <v>298</v>
      </c>
      <c r="E515" s="61">
        <v>0.64583333333333337</v>
      </c>
      <c r="F515" s="60" t="s">
        <v>19</v>
      </c>
      <c r="G515" s="71" t="s">
        <v>13</v>
      </c>
      <c r="H515" s="62">
        <v>46245.63958333333</v>
      </c>
      <c r="I515" s="113" t="str">
        <f t="shared" si="115"/>
        <v>11-08-2026T15:21:00</v>
      </c>
      <c r="J515" s="62">
        <v>46246.056944444441</v>
      </c>
      <c r="K515" s="62"/>
      <c r="L515" s="63">
        <f t="shared" si="125"/>
        <v>0.41736111111094942</v>
      </c>
      <c r="M515" s="64">
        <v>0.4375</v>
      </c>
      <c r="N515" s="65" t="str">
        <f t="shared" si="126"/>
        <v>00:29:00</v>
      </c>
      <c r="O515" s="66"/>
      <c r="P515" s="124"/>
      <c r="Q515" s="67" t="s">
        <v>229</v>
      </c>
      <c r="R515" s="68">
        <v>46245.75</v>
      </c>
      <c r="S515" s="68">
        <v>46245.770833333336</v>
      </c>
      <c r="T515" s="69">
        <f t="shared" si="127"/>
        <v>2.0833333335758653E-2</v>
      </c>
      <c r="U515" s="61"/>
      <c r="V515" s="83">
        <v>8.3333333333333329E-2</v>
      </c>
      <c r="W515" s="61">
        <f t="shared" si="128"/>
        <v>-6.2499999997574676E-2</v>
      </c>
      <c r="X515" s="171">
        <v>46245.63958333333</v>
      </c>
      <c r="Y515" s="171">
        <v>46246.056944444441</v>
      </c>
      <c r="Z515" s="168">
        <f t="shared" si="129"/>
        <v>0.41736111111094942</v>
      </c>
      <c r="AA515" s="169">
        <f t="shared" si="130"/>
        <v>0.4375</v>
      </c>
      <c r="AB515" s="170" t="str">
        <f t="shared" si="131"/>
        <v>00:29:00</v>
      </c>
      <c r="AC515" s="170" t="b">
        <f t="shared" si="132"/>
        <v>1</v>
      </c>
    </row>
    <row r="516" spans="1:29" s="128" customFormat="1" ht="9.75" hidden="1" customHeight="1" x14ac:dyDescent="0.3">
      <c r="A516" s="99">
        <v>46245</v>
      </c>
      <c r="B516" s="59">
        <v>8163793</v>
      </c>
      <c r="C516" s="60" t="s">
        <v>41</v>
      </c>
      <c r="D516" s="60" t="s">
        <v>299</v>
      </c>
      <c r="E516" s="61">
        <v>0.70833333333333337</v>
      </c>
      <c r="F516" s="60" t="s">
        <v>13</v>
      </c>
      <c r="G516" s="71" t="s">
        <v>24</v>
      </c>
      <c r="H516" s="62">
        <v>0.7055555555555556</v>
      </c>
      <c r="I516" s="113" t="str">
        <f t="shared" ref="I516:I579" si="134">TEXT(A516,"dd-mm-yyyy")&amp;"T"&amp;TEXT(H516,"hh:mm:ss")</f>
        <v>11-08-2026T16:56:00</v>
      </c>
      <c r="J516" s="62">
        <v>0.78194444444444444</v>
      </c>
      <c r="K516" s="62"/>
      <c r="L516" s="63">
        <f t="shared" si="125"/>
        <v>7.638888888888884E-2</v>
      </c>
      <c r="M516" s="64">
        <v>8.3333333333333329E-2</v>
      </c>
      <c r="N516" s="65" t="str">
        <f t="shared" si="126"/>
        <v>00:10:00</v>
      </c>
      <c r="O516" s="66"/>
      <c r="P516" s="124"/>
      <c r="Q516" s="67"/>
      <c r="R516" s="68"/>
      <c r="S516" s="68"/>
      <c r="T516" s="69">
        <f t="shared" si="127"/>
        <v>0</v>
      </c>
      <c r="U516" s="61" t="s">
        <v>234</v>
      </c>
      <c r="V516" s="83">
        <v>0</v>
      </c>
      <c r="W516" s="61">
        <f t="shared" si="128"/>
        <v>0</v>
      </c>
      <c r="X516" s="171">
        <v>46245.705555555556</v>
      </c>
      <c r="Y516" s="171">
        <v>46245.781944444447</v>
      </c>
      <c r="Z516" s="168">
        <f t="shared" si="129"/>
        <v>7.6388888890505768E-2</v>
      </c>
      <c r="AA516" s="169">
        <f t="shared" si="130"/>
        <v>8.3333333333333329E-2</v>
      </c>
      <c r="AB516" s="170" t="str">
        <f t="shared" si="131"/>
        <v>00:10:00</v>
      </c>
      <c r="AC516" s="170" t="b">
        <f t="shared" si="132"/>
        <v>1</v>
      </c>
    </row>
    <row r="517" spans="1:29" s="128" customFormat="1" ht="9.75" hidden="1" customHeight="1" x14ac:dyDescent="0.3">
      <c r="A517" s="99">
        <v>46245</v>
      </c>
      <c r="B517" s="59">
        <v>8163830</v>
      </c>
      <c r="C517" s="60" t="s">
        <v>87</v>
      </c>
      <c r="D517" s="60" t="s">
        <v>367</v>
      </c>
      <c r="E517" s="61">
        <v>0.70833333333333337</v>
      </c>
      <c r="F517" s="60" t="s">
        <v>85</v>
      </c>
      <c r="G517" s="71" t="s">
        <v>13</v>
      </c>
      <c r="H517" s="62">
        <v>46245.717361111114</v>
      </c>
      <c r="I517" s="113" t="str">
        <f t="shared" si="134"/>
        <v>11-08-2026T17:13:00</v>
      </c>
      <c r="J517" s="62">
        <v>46246.040277777778</v>
      </c>
      <c r="K517" s="62"/>
      <c r="L517" s="63">
        <f t="shared" si="125"/>
        <v>0.32291666666424135</v>
      </c>
      <c r="M517" s="64">
        <v>0.33333333333333331</v>
      </c>
      <c r="N517" s="65" t="str">
        <f t="shared" si="126"/>
        <v>00:15:00</v>
      </c>
      <c r="O517" s="66"/>
      <c r="P517" s="124"/>
      <c r="Q517" s="67" t="s">
        <v>174</v>
      </c>
      <c r="R517" s="68">
        <v>0.78472222222222221</v>
      </c>
      <c r="S517" s="68">
        <v>0.8256944444444444</v>
      </c>
      <c r="T517" s="69">
        <f t="shared" si="127"/>
        <v>4.0972222222222188E-2</v>
      </c>
      <c r="U517" s="61"/>
      <c r="V517" s="83">
        <v>4.1666666666666664E-2</v>
      </c>
      <c r="W517" s="61">
        <f t="shared" si="128"/>
        <v>-6.9444444444447667E-4</v>
      </c>
      <c r="X517" s="171">
        <v>46245.717361111114</v>
      </c>
      <c r="Y517" s="171">
        <v>46246.040277777778</v>
      </c>
      <c r="Z517" s="168">
        <f t="shared" si="129"/>
        <v>0.32291666666424135</v>
      </c>
      <c r="AA517" s="169">
        <f t="shared" si="130"/>
        <v>0.33333333333333331</v>
      </c>
      <c r="AB517" s="170" t="str">
        <f t="shared" si="131"/>
        <v>00:15:00</v>
      </c>
      <c r="AC517" s="170" t="b">
        <f t="shared" si="132"/>
        <v>1</v>
      </c>
    </row>
    <row r="518" spans="1:29" s="128" customFormat="1" ht="9.75" hidden="1" customHeight="1" x14ac:dyDescent="0.3">
      <c r="A518" s="99">
        <v>46245</v>
      </c>
      <c r="B518" s="59">
        <v>8163878</v>
      </c>
      <c r="C518" s="60" t="s">
        <v>27</v>
      </c>
      <c r="D518" s="60" t="s">
        <v>378</v>
      </c>
      <c r="E518" s="61">
        <v>0.70833333333333337</v>
      </c>
      <c r="F518" s="60" t="s">
        <v>28</v>
      </c>
      <c r="G518" s="71" t="s">
        <v>13</v>
      </c>
      <c r="H518" s="62">
        <v>0.74027777777777781</v>
      </c>
      <c r="I518" s="113" t="str">
        <f t="shared" si="134"/>
        <v>11-08-2026T17:46:00</v>
      </c>
      <c r="J518" s="62">
        <v>0.90486111111111112</v>
      </c>
      <c r="K518" s="62"/>
      <c r="L518" s="63">
        <f t="shared" si="125"/>
        <v>0.1645833333333333</v>
      </c>
      <c r="M518" s="64">
        <v>0.16666666666666666</v>
      </c>
      <c r="N518" s="65" t="str">
        <f t="shared" si="126"/>
        <v>00:03:00</v>
      </c>
      <c r="O518" s="66"/>
      <c r="P518" s="124"/>
      <c r="Q518" s="67"/>
      <c r="R518" s="68"/>
      <c r="S518" s="68"/>
      <c r="T518" s="69">
        <f t="shared" si="127"/>
        <v>0</v>
      </c>
      <c r="U518" s="61"/>
      <c r="V518" s="83">
        <v>0</v>
      </c>
      <c r="W518" s="61">
        <f t="shared" si="128"/>
        <v>0</v>
      </c>
      <c r="X518" s="171">
        <v>46245.740277777775</v>
      </c>
      <c r="Y518" s="171">
        <v>46245.904861111114</v>
      </c>
      <c r="Z518" s="168">
        <f t="shared" si="129"/>
        <v>0.16458333333866904</v>
      </c>
      <c r="AA518" s="169">
        <f t="shared" si="130"/>
        <v>0.16666666666666666</v>
      </c>
      <c r="AB518" s="170" t="str">
        <f t="shared" si="131"/>
        <v>00:03:00</v>
      </c>
      <c r="AC518" s="170" t="b">
        <f t="shared" si="132"/>
        <v>1</v>
      </c>
    </row>
    <row r="519" spans="1:29" s="128" customFormat="1" ht="9.75" hidden="1" customHeight="1" x14ac:dyDescent="0.3">
      <c r="A519" s="99">
        <v>46245</v>
      </c>
      <c r="B519" s="59">
        <v>8163850</v>
      </c>
      <c r="C519" s="60" t="s">
        <v>89</v>
      </c>
      <c r="D519" s="60" t="s">
        <v>294</v>
      </c>
      <c r="E519" s="61">
        <v>0.75</v>
      </c>
      <c r="F519" s="60" t="s">
        <v>35</v>
      </c>
      <c r="G519" s="71" t="s">
        <v>13</v>
      </c>
      <c r="H519" s="62">
        <v>0.7319444444444444</v>
      </c>
      <c r="I519" s="113" t="str">
        <f t="shared" si="134"/>
        <v>11-08-2026T17:34:00</v>
      </c>
      <c r="J519" s="62">
        <v>0.75972222222222219</v>
      </c>
      <c r="K519" s="62"/>
      <c r="L519" s="63">
        <f t="shared" si="125"/>
        <v>2.777777777777779E-2</v>
      </c>
      <c r="M519" s="64">
        <v>4.1666666666666664E-2</v>
      </c>
      <c r="N519" s="65" t="str">
        <f t="shared" si="126"/>
        <v>00:20:00</v>
      </c>
      <c r="O519" s="66"/>
      <c r="P519" s="124"/>
      <c r="Q519" s="67"/>
      <c r="R519" s="68"/>
      <c r="S519" s="68"/>
      <c r="T519" s="69">
        <f t="shared" si="127"/>
        <v>0</v>
      </c>
      <c r="U519" s="61"/>
      <c r="V519" s="83">
        <v>0</v>
      </c>
      <c r="W519" s="61">
        <f t="shared" si="128"/>
        <v>0</v>
      </c>
      <c r="X519" s="171">
        <v>46245.731944444444</v>
      </c>
      <c r="Y519" s="171">
        <v>46245.759722222225</v>
      </c>
      <c r="Z519" s="168">
        <f t="shared" si="129"/>
        <v>2.7777777781011537E-2</v>
      </c>
      <c r="AA519" s="169">
        <f t="shared" si="130"/>
        <v>4.1666666666666664E-2</v>
      </c>
      <c r="AB519" s="170" t="str">
        <f t="shared" si="131"/>
        <v>00:20:00</v>
      </c>
      <c r="AC519" s="170" t="b">
        <f t="shared" si="132"/>
        <v>1</v>
      </c>
    </row>
    <row r="520" spans="1:29" s="128" customFormat="1" ht="9.75" hidden="1" customHeight="1" x14ac:dyDescent="0.3">
      <c r="A520" s="99">
        <v>46245</v>
      </c>
      <c r="B520" s="59">
        <v>8164326</v>
      </c>
      <c r="C520" s="60" t="s">
        <v>56</v>
      </c>
      <c r="D520" s="60" t="s">
        <v>472</v>
      </c>
      <c r="E520" s="61">
        <v>0.875</v>
      </c>
      <c r="F520" s="60" t="s">
        <v>13</v>
      </c>
      <c r="G520" s="71" t="s">
        <v>15</v>
      </c>
      <c r="H520" s="62">
        <v>46245.875</v>
      </c>
      <c r="I520" s="113" t="str">
        <f t="shared" si="134"/>
        <v>11-08-2026T21:00:00</v>
      </c>
      <c r="J520" s="62">
        <v>46246.070833333331</v>
      </c>
      <c r="K520" s="62"/>
      <c r="L520" s="63">
        <f t="shared" si="125"/>
        <v>0.19583333333139308</v>
      </c>
      <c r="M520" s="64">
        <v>0.20833333333333334</v>
      </c>
      <c r="N520" s="65" t="str">
        <f t="shared" si="126"/>
        <v>00:18:00</v>
      </c>
      <c r="O520" s="66"/>
      <c r="P520" s="124"/>
      <c r="Q520" s="67"/>
      <c r="R520" s="68"/>
      <c r="S520" s="68"/>
      <c r="T520" s="69">
        <f t="shared" si="127"/>
        <v>0</v>
      </c>
      <c r="U520" s="61" t="s">
        <v>234</v>
      </c>
      <c r="V520" s="83">
        <v>0</v>
      </c>
      <c r="W520" s="61">
        <f t="shared" si="128"/>
        <v>0</v>
      </c>
      <c r="X520" s="171">
        <v>46245.875</v>
      </c>
      <c r="Y520" s="171">
        <v>46246.070833333331</v>
      </c>
      <c r="Z520" s="168">
        <f t="shared" si="129"/>
        <v>0.19583333333139308</v>
      </c>
      <c r="AA520" s="169">
        <f t="shared" si="130"/>
        <v>0.20833333333333334</v>
      </c>
      <c r="AB520" s="170" t="str">
        <f t="shared" si="131"/>
        <v>00:18:00</v>
      </c>
      <c r="AC520" s="170" t="b">
        <f t="shared" si="132"/>
        <v>1</v>
      </c>
    </row>
    <row r="521" spans="1:29" s="128" customFormat="1" ht="9.75" hidden="1" customHeight="1" x14ac:dyDescent="0.3">
      <c r="A521" s="99">
        <v>46245</v>
      </c>
      <c r="B521" s="59">
        <v>8164086</v>
      </c>
      <c r="C521" s="60" t="s">
        <v>42</v>
      </c>
      <c r="D521" s="60" t="s">
        <v>181</v>
      </c>
      <c r="E521" s="61">
        <v>0.875</v>
      </c>
      <c r="F521" s="60" t="s">
        <v>55</v>
      </c>
      <c r="G521" s="71" t="s">
        <v>13</v>
      </c>
      <c r="H521" s="62">
        <v>0.81111111111111112</v>
      </c>
      <c r="I521" s="113" t="str">
        <f t="shared" si="134"/>
        <v>11-08-2026T19:28:00</v>
      </c>
      <c r="J521" s="62">
        <v>0.86805555555555558</v>
      </c>
      <c r="K521" s="62"/>
      <c r="L521" s="63">
        <f t="shared" si="125"/>
        <v>5.6944444444444464E-2</v>
      </c>
      <c r="M521" s="64">
        <v>6.25E-2</v>
      </c>
      <c r="N521" s="65" t="str">
        <f t="shared" si="126"/>
        <v>00:08:00</v>
      </c>
      <c r="O521" s="66"/>
      <c r="P521" s="124"/>
      <c r="Q521" s="67"/>
      <c r="R521" s="68"/>
      <c r="S521" s="68"/>
      <c r="T521" s="69">
        <f t="shared" si="127"/>
        <v>0</v>
      </c>
      <c r="U521" s="61"/>
      <c r="V521" s="83">
        <v>0</v>
      </c>
      <c r="W521" s="61">
        <f t="shared" si="128"/>
        <v>0</v>
      </c>
      <c r="X521" s="171">
        <v>46245.811111111114</v>
      </c>
      <c r="Y521" s="171">
        <v>46245.868055555555</v>
      </c>
      <c r="Z521" s="168">
        <f t="shared" si="129"/>
        <v>5.694444444088731E-2</v>
      </c>
      <c r="AA521" s="169">
        <f t="shared" si="130"/>
        <v>6.25E-2</v>
      </c>
      <c r="AB521" s="170" t="str">
        <f t="shared" si="131"/>
        <v>00:08:00</v>
      </c>
      <c r="AC521" s="170" t="b">
        <f t="shared" si="132"/>
        <v>1</v>
      </c>
    </row>
    <row r="522" spans="1:29" s="127" customFormat="1" ht="9.75" hidden="1" customHeight="1" x14ac:dyDescent="0.3">
      <c r="A522" s="98">
        <v>46245</v>
      </c>
      <c r="B522" s="48">
        <v>8164256</v>
      </c>
      <c r="C522" s="49" t="s">
        <v>105</v>
      </c>
      <c r="D522" s="49" t="s">
        <v>386</v>
      </c>
      <c r="E522" s="50">
        <v>0.875</v>
      </c>
      <c r="F522" s="49" t="s">
        <v>13</v>
      </c>
      <c r="G522" s="70" t="s">
        <v>23</v>
      </c>
      <c r="H522" s="51">
        <v>46245.86041666667</v>
      </c>
      <c r="I522" s="113" t="str">
        <f t="shared" si="134"/>
        <v>11-08-2026T20:39:00</v>
      </c>
      <c r="J522" s="51">
        <v>46246.984027777777</v>
      </c>
      <c r="K522" s="51"/>
      <c r="L522" s="52">
        <f t="shared" si="125"/>
        <v>1.1236111111065838</v>
      </c>
      <c r="M522" s="53">
        <v>1</v>
      </c>
      <c r="N522" s="54" t="str">
        <f t="shared" si="126"/>
        <v>-02:58:00</v>
      </c>
      <c r="O522" s="55"/>
      <c r="P522" s="147" t="s">
        <v>569</v>
      </c>
      <c r="Q522" s="56"/>
      <c r="R522" s="57"/>
      <c r="S522" s="57"/>
      <c r="T522" s="58">
        <f t="shared" si="127"/>
        <v>0</v>
      </c>
      <c r="U522" s="50"/>
      <c r="V522" s="74">
        <v>0</v>
      </c>
      <c r="W522" s="50">
        <f t="shared" si="128"/>
        <v>0</v>
      </c>
      <c r="X522" s="171">
        <v>46245.86041666667</v>
      </c>
      <c r="Y522" s="171">
        <v>46246.984027777777</v>
      </c>
      <c r="Z522" s="168">
        <f t="shared" si="129"/>
        <v>1.1236111111065838</v>
      </c>
      <c r="AA522" s="169">
        <f t="shared" si="130"/>
        <v>1</v>
      </c>
      <c r="AB522" s="170" t="str">
        <f t="shared" si="131"/>
        <v>-02:58:00</v>
      </c>
      <c r="AC522" s="170" t="b">
        <f t="shared" si="132"/>
        <v>1</v>
      </c>
    </row>
    <row r="523" spans="1:29" s="128" customFormat="1" ht="9.75" hidden="1" customHeight="1" x14ac:dyDescent="0.3">
      <c r="A523" s="99">
        <v>46245</v>
      </c>
      <c r="B523" s="59">
        <v>8164279</v>
      </c>
      <c r="C523" s="60" t="s">
        <v>54</v>
      </c>
      <c r="D523" s="60" t="s">
        <v>288</v>
      </c>
      <c r="E523" s="61">
        <v>0.875</v>
      </c>
      <c r="F523" s="60" t="s">
        <v>24</v>
      </c>
      <c r="G523" s="71" t="s">
        <v>13</v>
      </c>
      <c r="H523" s="62">
        <v>0.8666666666666667</v>
      </c>
      <c r="I523" s="113" t="str">
        <f t="shared" si="134"/>
        <v>11-08-2026T20:48:00</v>
      </c>
      <c r="J523" s="62">
        <v>0.94305555555555554</v>
      </c>
      <c r="K523" s="62"/>
      <c r="L523" s="63">
        <f t="shared" si="125"/>
        <v>7.638888888888884E-2</v>
      </c>
      <c r="M523" s="64">
        <v>8.3333333333333329E-2</v>
      </c>
      <c r="N523" s="65" t="str">
        <f t="shared" si="126"/>
        <v>00:10:00</v>
      </c>
      <c r="O523" s="66"/>
      <c r="P523" s="124"/>
      <c r="Q523" s="67"/>
      <c r="R523" s="68"/>
      <c r="S523" s="68"/>
      <c r="T523" s="69">
        <f t="shared" si="127"/>
        <v>0</v>
      </c>
      <c r="U523" s="61"/>
      <c r="V523" s="83">
        <v>0</v>
      </c>
      <c r="W523" s="61">
        <f t="shared" si="128"/>
        <v>0</v>
      </c>
      <c r="X523" s="171">
        <v>46245.866666666669</v>
      </c>
      <c r="Y523" s="171">
        <v>46245.943055555559</v>
      </c>
      <c r="Z523" s="168">
        <f t="shared" si="129"/>
        <v>7.6388888890505768E-2</v>
      </c>
      <c r="AA523" s="169">
        <f t="shared" si="130"/>
        <v>8.3333333333333329E-2</v>
      </c>
      <c r="AB523" s="170" t="str">
        <f t="shared" si="131"/>
        <v>00:10:00</v>
      </c>
      <c r="AC523" s="170" t="b">
        <f t="shared" si="132"/>
        <v>1</v>
      </c>
    </row>
    <row r="524" spans="1:29" s="128" customFormat="1" ht="9.75" hidden="1" customHeight="1" x14ac:dyDescent="0.3">
      <c r="A524" s="99">
        <v>46245</v>
      </c>
      <c r="B524" s="59">
        <v>8164599</v>
      </c>
      <c r="C524" s="60" t="s">
        <v>57</v>
      </c>
      <c r="D524" s="60" t="s">
        <v>370</v>
      </c>
      <c r="E524" s="61">
        <v>0.99930555555555556</v>
      </c>
      <c r="F524" s="60" t="s">
        <v>24</v>
      </c>
      <c r="G524" s="71" t="s">
        <v>13</v>
      </c>
      <c r="H524" s="62">
        <v>46245.993750000001</v>
      </c>
      <c r="I524" s="113" t="str">
        <f t="shared" si="134"/>
        <v>11-08-2026T23:51:00</v>
      </c>
      <c r="J524" s="62">
        <v>46246.068749999999</v>
      </c>
      <c r="K524" s="62"/>
      <c r="L524" s="63">
        <f t="shared" si="125"/>
        <v>7.4999999997089617E-2</v>
      </c>
      <c r="M524" s="64">
        <v>8.3333333333333329E-2</v>
      </c>
      <c r="N524" s="65" t="str">
        <f t="shared" si="126"/>
        <v>00:12:00</v>
      </c>
      <c r="O524" s="66"/>
      <c r="P524" s="124"/>
      <c r="Q524" s="67"/>
      <c r="R524" s="68"/>
      <c r="S524" s="68"/>
      <c r="T524" s="69">
        <f t="shared" si="127"/>
        <v>0</v>
      </c>
      <c r="U524" s="61"/>
      <c r="V524" s="83">
        <v>0</v>
      </c>
      <c r="W524" s="61">
        <f t="shared" si="128"/>
        <v>0</v>
      </c>
      <c r="X524" s="171">
        <v>46245.993750000001</v>
      </c>
      <c r="Y524" s="171">
        <v>46246.068749999999</v>
      </c>
      <c r="Z524" s="168">
        <f t="shared" si="129"/>
        <v>7.4999999997089617E-2</v>
      </c>
      <c r="AA524" s="169">
        <f t="shared" si="130"/>
        <v>8.3333333333333329E-2</v>
      </c>
      <c r="AB524" s="170" t="str">
        <f t="shared" si="131"/>
        <v>00:12:00</v>
      </c>
      <c r="AC524" s="170" t="b">
        <f t="shared" si="132"/>
        <v>1</v>
      </c>
    </row>
    <row r="525" spans="1:29" s="128" customFormat="1" ht="9.75" hidden="1" customHeight="1" x14ac:dyDescent="0.3">
      <c r="A525" s="99">
        <v>46245</v>
      </c>
      <c r="B525" s="59">
        <v>8164575</v>
      </c>
      <c r="C525" s="60" t="s">
        <v>20</v>
      </c>
      <c r="D525" s="60" t="s">
        <v>232</v>
      </c>
      <c r="E525" s="61">
        <v>0.95833333333333337</v>
      </c>
      <c r="F525" s="60" t="s">
        <v>21</v>
      </c>
      <c r="G525" s="71" t="s">
        <v>13</v>
      </c>
      <c r="H525" s="62">
        <v>46245.974305555559</v>
      </c>
      <c r="I525" s="113" t="str">
        <f t="shared" si="134"/>
        <v>11-08-2026T23:23:00</v>
      </c>
      <c r="J525" s="62">
        <v>46246.222222222219</v>
      </c>
      <c r="K525" s="62"/>
      <c r="L525" s="63">
        <f t="shared" si="125"/>
        <v>0.24791666665987577</v>
      </c>
      <c r="M525" s="64">
        <v>0.25</v>
      </c>
      <c r="N525" s="65" t="str">
        <f t="shared" si="126"/>
        <v>00:03:00</v>
      </c>
      <c r="O525" s="66"/>
      <c r="P525" s="124"/>
      <c r="Q525" s="67"/>
      <c r="R525" s="68"/>
      <c r="S525" s="68"/>
      <c r="T525" s="69">
        <f t="shared" si="127"/>
        <v>0</v>
      </c>
      <c r="U525" s="61"/>
      <c r="V525" s="83">
        <v>0</v>
      </c>
      <c r="W525" s="61">
        <f t="shared" si="128"/>
        <v>0</v>
      </c>
      <c r="X525" s="171">
        <v>46245.974305555559</v>
      </c>
      <c r="Y525" s="171">
        <v>46246.222222222219</v>
      </c>
      <c r="Z525" s="168">
        <f t="shared" si="129"/>
        <v>0.24791666665987577</v>
      </c>
      <c r="AA525" s="169">
        <f t="shared" si="130"/>
        <v>0.25</v>
      </c>
      <c r="AB525" s="170" t="str">
        <f t="shared" si="131"/>
        <v>00:03:00</v>
      </c>
      <c r="AC525" s="170" t="b">
        <f t="shared" si="132"/>
        <v>1</v>
      </c>
    </row>
    <row r="526" spans="1:29" s="128" customFormat="1" ht="9.75" hidden="1" customHeight="1" x14ac:dyDescent="0.3">
      <c r="A526" s="99">
        <v>46245</v>
      </c>
      <c r="B526" s="59">
        <v>8164524</v>
      </c>
      <c r="C526" s="60" t="s">
        <v>175</v>
      </c>
      <c r="D526" s="60" t="s">
        <v>306</v>
      </c>
      <c r="E526" s="61">
        <v>0.95833333333333337</v>
      </c>
      <c r="F526" s="60" t="s">
        <v>173</v>
      </c>
      <c r="G526" s="71" t="s">
        <v>13</v>
      </c>
      <c r="H526" s="62">
        <v>46245.952777777777</v>
      </c>
      <c r="I526" s="113" t="str">
        <f t="shared" si="134"/>
        <v>11-08-2026T22:52:00</v>
      </c>
      <c r="J526" s="62">
        <v>46247.805555555555</v>
      </c>
      <c r="K526" s="62"/>
      <c r="L526" s="63">
        <f t="shared" si="125"/>
        <v>1.8527777777781012</v>
      </c>
      <c r="M526" s="64">
        <v>1.9166666666666667</v>
      </c>
      <c r="N526" s="65" t="str">
        <f t="shared" si="126"/>
        <v>01:32:00</v>
      </c>
      <c r="O526" s="66"/>
      <c r="P526" s="124"/>
      <c r="Q526" s="67" t="s">
        <v>96</v>
      </c>
      <c r="R526" s="68">
        <v>46246.081250000003</v>
      </c>
      <c r="S526" s="68">
        <v>46246.114583333336</v>
      </c>
      <c r="T526" s="69">
        <f t="shared" si="127"/>
        <v>3.3333333332848269E-2</v>
      </c>
      <c r="U526" s="61"/>
      <c r="V526" s="83">
        <v>8.3333333333333329E-2</v>
      </c>
      <c r="W526" s="61">
        <f t="shared" si="128"/>
        <v>-5.0000000000485059E-2</v>
      </c>
      <c r="X526" s="171">
        <v>46245.952777777777</v>
      </c>
      <c r="Y526" s="171">
        <v>46247.805555555555</v>
      </c>
      <c r="Z526" s="168">
        <f t="shared" si="129"/>
        <v>1.8527777777781012</v>
      </c>
      <c r="AA526" s="169">
        <f t="shared" si="130"/>
        <v>1.9166666666666667</v>
      </c>
      <c r="AB526" s="170" t="str">
        <f t="shared" si="131"/>
        <v>01:32:00</v>
      </c>
      <c r="AC526" s="170" t="b">
        <f t="shared" si="132"/>
        <v>1</v>
      </c>
    </row>
    <row r="527" spans="1:29" s="128" customFormat="1" ht="9.75" hidden="1" customHeight="1" x14ac:dyDescent="0.3">
      <c r="A527" s="99">
        <v>46245</v>
      </c>
      <c r="B527" s="59">
        <v>8164620</v>
      </c>
      <c r="C527" s="60" t="s">
        <v>52</v>
      </c>
      <c r="D527" s="60" t="s">
        <v>616</v>
      </c>
      <c r="E527" s="61">
        <v>0.99930555555555556</v>
      </c>
      <c r="F527" s="60" t="s">
        <v>15</v>
      </c>
      <c r="G527" s="71" t="s">
        <v>13</v>
      </c>
      <c r="H527" s="62">
        <v>46245.998611111114</v>
      </c>
      <c r="I527" s="113" t="str">
        <f t="shared" si="134"/>
        <v>11-08-2026T23:58:00</v>
      </c>
      <c r="J527" s="62">
        <v>46246.20208333333</v>
      </c>
      <c r="K527" s="62"/>
      <c r="L527" s="63">
        <f t="shared" si="125"/>
        <v>0.20347222221607808</v>
      </c>
      <c r="M527" s="64">
        <v>0.20833333333333334</v>
      </c>
      <c r="N527" s="65" t="str">
        <f t="shared" si="126"/>
        <v>00:07:00</v>
      </c>
      <c r="O527" s="66"/>
      <c r="P527" s="124"/>
      <c r="Q527" s="67"/>
      <c r="R527" s="68"/>
      <c r="S527" s="68"/>
      <c r="T527" s="69">
        <f t="shared" si="127"/>
        <v>0</v>
      </c>
      <c r="U527" s="61"/>
      <c r="V527" s="83">
        <v>0</v>
      </c>
      <c r="W527" s="61">
        <f t="shared" si="128"/>
        <v>0</v>
      </c>
      <c r="X527" s="171">
        <v>46245.998611111114</v>
      </c>
      <c r="Y527" s="171">
        <v>46246.20208333333</v>
      </c>
      <c r="Z527" s="168">
        <f t="shared" si="129"/>
        <v>0.20347222221607808</v>
      </c>
      <c r="AA527" s="169">
        <f t="shared" si="130"/>
        <v>0.20833333333333334</v>
      </c>
      <c r="AB527" s="170" t="str">
        <f t="shared" si="131"/>
        <v>00:07:00</v>
      </c>
      <c r="AC527" s="170" t="b">
        <f t="shared" si="132"/>
        <v>1</v>
      </c>
    </row>
    <row r="528" spans="1:29" s="128" customFormat="1" ht="9.75" hidden="1" customHeight="1" x14ac:dyDescent="0.3">
      <c r="A528" s="99">
        <v>46245</v>
      </c>
      <c r="B528" s="59">
        <v>8162530</v>
      </c>
      <c r="C528" s="60" t="s">
        <v>84</v>
      </c>
      <c r="D528" s="60" t="s">
        <v>301</v>
      </c>
      <c r="E528" s="61" t="s">
        <v>184</v>
      </c>
      <c r="F528" s="60" t="s">
        <v>13</v>
      </c>
      <c r="G528" s="71" t="s">
        <v>287</v>
      </c>
      <c r="H528" s="62">
        <v>0.21249999999999999</v>
      </c>
      <c r="I528" s="113" t="str">
        <f t="shared" si="134"/>
        <v>11-08-2026T05:06:00</v>
      </c>
      <c r="J528" s="62">
        <v>0.41736111111111113</v>
      </c>
      <c r="K528" s="62"/>
      <c r="L528" s="63">
        <f t="shared" si="125"/>
        <v>0.20486111111111113</v>
      </c>
      <c r="M528" s="64">
        <v>0.22916666666666666</v>
      </c>
      <c r="N528" s="65" t="str">
        <f t="shared" si="126"/>
        <v>00:35:00</v>
      </c>
      <c r="O528" s="66"/>
      <c r="P528" s="124" t="s">
        <v>184</v>
      </c>
      <c r="Q528" s="67"/>
      <c r="R528" s="68"/>
      <c r="S528" s="68"/>
      <c r="T528" s="69">
        <f t="shared" si="127"/>
        <v>0</v>
      </c>
      <c r="U528" s="61"/>
      <c r="V528" s="83">
        <v>0</v>
      </c>
      <c r="W528" s="61">
        <f t="shared" si="128"/>
        <v>0</v>
      </c>
      <c r="X528" s="171">
        <v>46245.212500000001</v>
      </c>
      <c r="Y528" s="171">
        <v>46245.417361111111</v>
      </c>
      <c r="Z528" s="168">
        <f t="shared" si="129"/>
        <v>0.20486111110949423</v>
      </c>
      <c r="AA528" s="169">
        <f t="shared" si="130"/>
        <v>0.22916666666666666</v>
      </c>
      <c r="AB528" s="170" t="str">
        <f t="shared" si="131"/>
        <v>00:35:00</v>
      </c>
      <c r="AC528" s="170" t="b">
        <f t="shared" si="132"/>
        <v>1</v>
      </c>
    </row>
    <row r="529" spans="1:29" s="128" customFormat="1" ht="9.75" hidden="1" customHeight="1" x14ac:dyDescent="0.3">
      <c r="A529" s="99">
        <v>46245</v>
      </c>
      <c r="B529" s="59">
        <v>8164223</v>
      </c>
      <c r="C529" s="60" t="s">
        <v>84</v>
      </c>
      <c r="D529" s="60" t="s">
        <v>301</v>
      </c>
      <c r="E529" s="61" t="s">
        <v>184</v>
      </c>
      <c r="F529" s="60" t="s">
        <v>287</v>
      </c>
      <c r="G529" s="71" t="s">
        <v>13</v>
      </c>
      <c r="H529" s="62">
        <v>0.8520833333333333</v>
      </c>
      <c r="I529" s="113" t="str">
        <f t="shared" si="134"/>
        <v>11-08-2026T20:27:00</v>
      </c>
      <c r="J529" s="62">
        <v>0.99444444444444446</v>
      </c>
      <c r="K529" s="62"/>
      <c r="L529" s="63">
        <f t="shared" si="125"/>
        <v>0.14236111111111116</v>
      </c>
      <c r="M529" s="64">
        <v>0.22916666666666666</v>
      </c>
      <c r="N529" s="65" t="str">
        <f t="shared" si="126"/>
        <v>02:05:00</v>
      </c>
      <c r="O529" s="66"/>
      <c r="P529" s="124" t="s">
        <v>184</v>
      </c>
      <c r="Q529" s="67"/>
      <c r="R529" s="68"/>
      <c r="S529" s="68"/>
      <c r="T529" s="69">
        <f t="shared" si="127"/>
        <v>0</v>
      </c>
      <c r="U529" s="61"/>
      <c r="V529" s="83">
        <v>0</v>
      </c>
      <c r="W529" s="61">
        <f t="shared" si="128"/>
        <v>0</v>
      </c>
      <c r="X529" s="171">
        <v>46245.852083333331</v>
      </c>
      <c r="Y529" s="171">
        <v>46245.994444444441</v>
      </c>
      <c r="Z529" s="168">
        <f t="shared" si="129"/>
        <v>0.14236111110949423</v>
      </c>
      <c r="AA529" s="169">
        <f t="shared" si="130"/>
        <v>0.22916666666666666</v>
      </c>
      <c r="AB529" s="170" t="str">
        <f t="shared" si="131"/>
        <v>02:05:00</v>
      </c>
      <c r="AC529" s="170" t="b">
        <f t="shared" si="132"/>
        <v>1</v>
      </c>
    </row>
    <row r="530" spans="1:29" s="128" customFormat="1" ht="9.75" hidden="1" customHeight="1" x14ac:dyDescent="0.3">
      <c r="A530" s="99">
        <v>46245</v>
      </c>
      <c r="B530" s="59">
        <v>8162987</v>
      </c>
      <c r="C530" s="60" t="s">
        <v>22</v>
      </c>
      <c r="D530" s="60" t="s">
        <v>385</v>
      </c>
      <c r="E530" s="61" t="s">
        <v>184</v>
      </c>
      <c r="F530" s="60" t="s">
        <v>13</v>
      </c>
      <c r="G530" s="71" t="s">
        <v>583</v>
      </c>
      <c r="H530" s="62">
        <v>46245.377083333333</v>
      </c>
      <c r="I530" s="113" t="str">
        <f t="shared" si="134"/>
        <v>11-08-2026T09:03:00</v>
      </c>
      <c r="J530" s="62">
        <v>46247.021527777775</v>
      </c>
      <c r="K530" s="62"/>
      <c r="L530" s="63">
        <f t="shared" si="125"/>
        <v>1.6444444444423425</v>
      </c>
      <c r="M530" s="64">
        <v>1.6666666666666667</v>
      </c>
      <c r="N530" s="65" t="str">
        <f t="shared" si="126"/>
        <v>00:32:00</v>
      </c>
      <c r="O530" s="66"/>
      <c r="P530" s="124" t="s">
        <v>184</v>
      </c>
      <c r="Q530" s="67"/>
      <c r="R530" s="68"/>
      <c r="S530" s="68"/>
      <c r="T530" s="69">
        <f t="shared" si="127"/>
        <v>0</v>
      </c>
      <c r="U530" s="61"/>
      <c r="V530" s="83">
        <v>0</v>
      </c>
      <c r="W530" s="61">
        <f t="shared" si="128"/>
        <v>0</v>
      </c>
      <c r="X530" s="171">
        <v>46245.377083333333</v>
      </c>
      <c r="Y530" s="171">
        <v>46247.021527777775</v>
      </c>
      <c r="Z530" s="168">
        <f t="shared" si="129"/>
        <v>1.6444444444423425</v>
      </c>
      <c r="AA530" s="169">
        <f t="shared" si="130"/>
        <v>1.6666666666666667</v>
      </c>
      <c r="AB530" s="170" t="str">
        <f t="shared" si="131"/>
        <v>00:32:00</v>
      </c>
      <c r="AC530" s="170" t="b">
        <f t="shared" si="132"/>
        <v>1</v>
      </c>
    </row>
    <row r="531" spans="1:29" s="127" customFormat="1" ht="9.75" hidden="1" customHeight="1" x14ac:dyDescent="0.3">
      <c r="A531" s="98">
        <v>46245</v>
      </c>
      <c r="B531" s="48">
        <v>8163323</v>
      </c>
      <c r="C531" s="49" t="s">
        <v>203</v>
      </c>
      <c r="D531" s="49" t="s">
        <v>297</v>
      </c>
      <c r="E531" s="50" t="s">
        <v>184</v>
      </c>
      <c r="F531" s="49" t="s">
        <v>376</v>
      </c>
      <c r="G531" s="70" t="s">
        <v>13</v>
      </c>
      <c r="H531" s="51">
        <v>46245.535416666666</v>
      </c>
      <c r="I531" s="113" t="str">
        <f t="shared" si="134"/>
        <v>11-08-2026T12:51:00</v>
      </c>
      <c r="J531" s="51">
        <v>46247.72152777778</v>
      </c>
      <c r="K531" s="51"/>
      <c r="L531" s="52">
        <f t="shared" si="125"/>
        <v>2.1861111111138598</v>
      </c>
      <c r="M531" s="53">
        <v>1.7916666666666667</v>
      </c>
      <c r="N531" s="54" t="str">
        <f t="shared" si="126"/>
        <v>-09:28:00</v>
      </c>
      <c r="O531" s="55"/>
      <c r="P531" s="125" t="s">
        <v>184</v>
      </c>
      <c r="Q531" s="56" t="s">
        <v>13</v>
      </c>
      <c r="R531" s="57" t="s">
        <v>372</v>
      </c>
      <c r="S531" s="57" t="s">
        <v>372</v>
      </c>
      <c r="T531" s="58" t="e">
        <f t="shared" si="127"/>
        <v>#VALUE!</v>
      </c>
      <c r="U531" s="50"/>
      <c r="V531" s="74" t="s">
        <v>393</v>
      </c>
      <c r="W531" s="50" t="e">
        <f t="shared" si="128"/>
        <v>#VALUE!</v>
      </c>
      <c r="X531" s="171">
        <v>46245.535416666666</v>
      </c>
      <c r="Y531" s="171">
        <v>46247.72152777778</v>
      </c>
      <c r="Z531" s="168">
        <f t="shared" si="129"/>
        <v>2.1861111111138598</v>
      </c>
      <c r="AA531" s="169">
        <f t="shared" si="130"/>
        <v>1.7916666666666667</v>
      </c>
      <c r="AB531" s="170" t="str">
        <f t="shared" si="131"/>
        <v>-09:28:00</v>
      </c>
      <c r="AC531" s="170" t="b">
        <f t="shared" si="132"/>
        <v>1</v>
      </c>
    </row>
    <row r="532" spans="1:29" s="144" customFormat="1" ht="9.75" hidden="1" customHeight="1" x14ac:dyDescent="0.3">
      <c r="A532" s="129">
        <v>46246</v>
      </c>
      <c r="B532" s="130">
        <v>8164707</v>
      </c>
      <c r="C532" s="131" t="s">
        <v>25</v>
      </c>
      <c r="D532" s="131" t="s">
        <v>477</v>
      </c>
      <c r="E532" s="132">
        <v>6.25E-2</v>
      </c>
      <c r="F532" s="131" t="s">
        <v>13</v>
      </c>
      <c r="G532" s="133" t="s">
        <v>26</v>
      </c>
      <c r="H532" s="134">
        <v>6.25E-2</v>
      </c>
      <c r="I532" s="113" t="str">
        <f t="shared" si="134"/>
        <v>12-08-2026T01:30:00</v>
      </c>
      <c r="J532" s="134">
        <v>0.54166666666666663</v>
      </c>
      <c r="K532" s="134"/>
      <c r="L532" s="135">
        <f t="shared" si="125"/>
        <v>0.47916666666666663</v>
      </c>
      <c r="M532" s="136">
        <v>0.41666666666666669</v>
      </c>
      <c r="N532" s="137" t="str">
        <f t="shared" si="126"/>
        <v>-01:30:00</v>
      </c>
      <c r="O532" s="138"/>
      <c r="P532" s="145" t="s">
        <v>567</v>
      </c>
      <c r="Q532" s="140" t="s">
        <v>312</v>
      </c>
      <c r="R532" s="141">
        <v>46246.270833333336</v>
      </c>
      <c r="S532" s="141">
        <v>46246.379166666666</v>
      </c>
      <c r="T532" s="142">
        <f t="shared" si="127"/>
        <v>0.10833333332993789</v>
      </c>
      <c r="U532" s="132"/>
      <c r="V532" s="143">
        <v>4.1666666666666664E-2</v>
      </c>
      <c r="W532" s="132">
        <f t="shared" si="128"/>
        <v>6.6666666663271229E-2</v>
      </c>
      <c r="X532" s="171">
        <v>46246.0625</v>
      </c>
      <c r="Y532" s="171">
        <v>46246.541666666664</v>
      </c>
      <c r="Z532" s="168">
        <f t="shared" si="129"/>
        <v>0.47916666666424135</v>
      </c>
      <c r="AA532" s="169">
        <f t="shared" si="130"/>
        <v>0.41666666666666669</v>
      </c>
      <c r="AB532" s="170" t="str">
        <f t="shared" si="131"/>
        <v>-01:30:00</v>
      </c>
      <c r="AC532" s="170" t="b">
        <f t="shared" si="132"/>
        <v>1</v>
      </c>
    </row>
    <row r="533" spans="1:29" s="127" customFormat="1" ht="9.75" hidden="1" customHeight="1" x14ac:dyDescent="0.3">
      <c r="A533" s="98">
        <v>46246</v>
      </c>
      <c r="B533" s="48">
        <v>8164756</v>
      </c>
      <c r="C533" s="49" t="s">
        <v>18</v>
      </c>
      <c r="D533" s="49" t="s">
        <v>389</v>
      </c>
      <c r="E533" s="50">
        <v>8.3333333333333329E-2</v>
      </c>
      <c r="F533" s="49" t="s">
        <v>13</v>
      </c>
      <c r="G533" s="70" t="s">
        <v>19</v>
      </c>
      <c r="H533" s="51">
        <v>8.3333333333333329E-2</v>
      </c>
      <c r="I533" s="113" t="str">
        <f t="shared" si="134"/>
        <v>12-08-2026T02:00:00</v>
      </c>
      <c r="J533" s="51">
        <v>46247.821527777778</v>
      </c>
      <c r="K533" s="51"/>
      <c r="L533" s="52">
        <f t="shared" si="125"/>
        <v>46247.738194444442</v>
      </c>
      <c r="M533" s="53">
        <v>0.41666666666666669</v>
      </c>
      <c r="N533" s="54" t="str">
        <f t="shared" si="126"/>
        <v>-07:43:00</v>
      </c>
      <c r="O533" s="55">
        <f>200*7</f>
        <v>1400</v>
      </c>
      <c r="P533" s="147" t="s">
        <v>564</v>
      </c>
      <c r="Q533" s="56" t="s">
        <v>229</v>
      </c>
      <c r="R533" s="57">
        <v>46247.645833333336</v>
      </c>
      <c r="S533" s="57">
        <v>46247.743055555555</v>
      </c>
      <c r="T533" s="47">
        <f t="shared" si="127"/>
        <v>9.7222222218988463E-2</v>
      </c>
      <c r="U533" s="50"/>
      <c r="V533" s="74">
        <v>6.25E-2</v>
      </c>
      <c r="W533" s="50">
        <f t="shared" si="128"/>
        <v>3.4722222218988463E-2</v>
      </c>
      <c r="X533" s="171">
        <v>46246.083333333336</v>
      </c>
      <c r="Y533" s="171">
        <v>46247.821527777778</v>
      </c>
      <c r="Z533" s="168">
        <f t="shared" si="129"/>
        <v>1.7381944444423425</v>
      </c>
      <c r="AA533" s="169">
        <f t="shared" si="130"/>
        <v>0.41666666666666669</v>
      </c>
      <c r="AB533" s="170" t="str">
        <f t="shared" si="131"/>
        <v>-07:43:00</v>
      </c>
      <c r="AC533" s="170" t="b">
        <f t="shared" si="132"/>
        <v>1</v>
      </c>
    </row>
    <row r="534" spans="1:29" ht="9.75" hidden="1" customHeight="1" x14ac:dyDescent="0.3">
      <c r="A534" s="149">
        <v>46245</v>
      </c>
      <c r="B534" s="150" t="s">
        <v>667</v>
      </c>
      <c r="C534" s="151" t="s">
        <v>102</v>
      </c>
      <c r="D534" s="151" t="s">
        <v>384</v>
      </c>
      <c r="E534" s="152">
        <v>0</v>
      </c>
      <c r="F534" s="151"/>
      <c r="G534" s="153"/>
      <c r="H534" s="154">
        <v>0</v>
      </c>
      <c r="I534" s="113" t="str">
        <f t="shared" si="134"/>
        <v>11-08-2026T00:00:00</v>
      </c>
      <c r="J534" s="154">
        <v>0</v>
      </c>
      <c r="K534" s="154"/>
      <c r="L534" s="155">
        <v>0</v>
      </c>
      <c r="M534" s="160">
        <v>0</v>
      </c>
      <c r="N534" s="156">
        <v>0</v>
      </c>
      <c r="O534" s="157"/>
      <c r="P534" s="158" t="s">
        <v>480</v>
      </c>
      <c r="Q534" s="159" t="s">
        <v>480</v>
      </c>
      <c r="R534" s="148" t="s">
        <v>480</v>
      </c>
      <c r="S534" s="148" t="s">
        <v>480</v>
      </c>
      <c r="T534" s="161" t="s">
        <v>480</v>
      </c>
      <c r="U534" s="152" t="s">
        <v>480</v>
      </c>
      <c r="V534" s="146" t="s">
        <v>480</v>
      </c>
      <c r="W534" s="152" t="s">
        <v>480</v>
      </c>
      <c r="X534" s="171" t="s">
        <v>668</v>
      </c>
      <c r="Y534" s="171" t="s">
        <v>668</v>
      </c>
      <c r="Z534" s="168" t="e">
        <f t="shared" si="129"/>
        <v>#VALUE!</v>
      </c>
      <c r="AA534" s="169">
        <f t="shared" si="130"/>
        <v>0</v>
      </c>
      <c r="AB534" s="170" t="e">
        <f t="shared" si="131"/>
        <v>#VALUE!</v>
      </c>
      <c r="AC534" s="170" t="e">
        <f t="shared" si="132"/>
        <v>#VALUE!</v>
      </c>
    </row>
    <row r="535" spans="1:29" s="128" customFormat="1" ht="9.75" hidden="1" customHeight="1" x14ac:dyDescent="0.3">
      <c r="A535" s="99">
        <v>46246</v>
      </c>
      <c r="B535" s="59">
        <v>8164872</v>
      </c>
      <c r="C535" s="60" t="s">
        <v>102</v>
      </c>
      <c r="D535" s="60" t="s">
        <v>384</v>
      </c>
      <c r="E535" s="61">
        <v>0.125</v>
      </c>
      <c r="F535" s="60" t="s">
        <v>23</v>
      </c>
      <c r="G535" s="71" t="s">
        <v>13</v>
      </c>
      <c r="H535" s="62">
        <v>46246.142361111109</v>
      </c>
      <c r="I535" s="113" t="str">
        <f t="shared" si="134"/>
        <v>12-08-2026T03:25:00</v>
      </c>
      <c r="J535" s="62">
        <v>46247.359027777777</v>
      </c>
      <c r="K535" s="62"/>
      <c r="L535" s="63">
        <f t="shared" ref="L535:L563" si="135">J535-H535</f>
        <v>1.2166666666671517</v>
      </c>
      <c r="M535" s="64">
        <v>1.0833333333333333</v>
      </c>
      <c r="N535" s="65" t="str">
        <f t="shared" ref="N535:N563" si="136">IF(M535-L535&gt;0,TEXT(M535-L535,"HH:MM:SS"),TEXT(ABS(M535-L535),"-HH:MM:SS"))</f>
        <v>-03:12:00</v>
      </c>
      <c r="O535" s="66"/>
      <c r="P535" s="124" t="s">
        <v>569</v>
      </c>
      <c r="Q535" s="67" t="s">
        <v>13</v>
      </c>
      <c r="R535" s="68">
        <v>46247.288888888892</v>
      </c>
      <c r="S535" s="68">
        <v>46247.354166666664</v>
      </c>
      <c r="T535" s="69">
        <f t="shared" ref="T535:T563" si="137">S535-R535</f>
        <v>6.5277777772280388E-2</v>
      </c>
      <c r="U535" s="61"/>
      <c r="V535" s="83">
        <v>8.3333333333333329E-2</v>
      </c>
      <c r="W535" s="61">
        <f t="shared" ref="W535:W563" si="138">T535-V535</f>
        <v>-1.8055555561052941E-2</v>
      </c>
      <c r="X535" s="172">
        <v>46246.142361111109</v>
      </c>
      <c r="Y535" s="172">
        <v>46247.359027777777</v>
      </c>
      <c r="Z535" s="173">
        <f t="shared" si="129"/>
        <v>1.2166666666671517</v>
      </c>
      <c r="AA535" s="174">
        <f t="shared" si="130"/>
        <v>1.0833333333333333</v>
      </c>
      <c r="AB535" s="175" t="str">
        <f t="shared" si="131"/>
        <v>-03:12:00</v>
      </c>
      <c r="AC535" s="175" t="b">
        <f t="shared" si="132"/>
        <v>1</v>
      </c>
    </row>
    <row r="536" spans="1:29" s="128" customFormat="1" ht="9.75" hidden="1" customHeight="1" x14ac:dyDescent="0.3">
      <c r="A536" s="99">
        <v>46246</v>
      </c>
      <c r="B536" s="59">
        <v>8164840</v>
      </c>
      <c r="C536" s="60" t="s">
        <v>84</v>
      </c>
      <c r="D536" s="60" t="s">
        <v>301</v>
      </c>
      <c r="E536" s="61">
        <v>0.125</v>
      </c>
      <c r="F536" s="60" t="s">
        <v>13</v>
      </c>
      <c r="G536" s="71" t="s">
        <v>284</v>
      </c>
      <c r="H536" s="62">
        <v>0.12361111111111112</v>
      </c>
      <c r="I536" s="113" t="str">
        <f t="shared" si="134"/>
        <v>12-08-2026T02:58:00</v>
      </c>
      <c r="J536" s="62">
        <v>0.46875</v>
      </c>
      <c r="K536" s="62"/>
      <c r="L536" s="63">
        <f t="shared" si="135"/>
        <v>0.34513888888888888</v>
      </c>
      <c r="M536" s="64">
        <v>0.35416666666666669</v>
      </c>
      <c r="N536" s="65" t="str">
        <f t="shared" si="136"/>
        <v>00:13:00</v>
      </c>
      <c r="O536" s="66"/>
      <c r="P536" s="124"/>
      <c r="Q536" s="67" t="s">
        <v>174</v>
      </c>
      <c r="R536" s="68">
        <v>46246.375</v>
      </c>
      <c r="S536" s="68">
        <v>46246.401388888888</v>
      </c>
      <c r="T536" s="69">
        <f t="shared" si="137"/>
        <v>2.6388888887595385E-2</v>
      </c>
      <c r="U536" s="61" t="s">
        <v>234</v>
      </c>
      <c r="V536" s="83">
        <v>6.25E-2</v>
      </c>
      <c r="W536" s="61">
        <f t="shared" si="138"/>
        <v>-3.6111111112404615E-2</v>
      </c>
      <c r="X536" s="171">
        <v>46246.123611111114</v>
      </c>
      <c r="Y536" s="171">
        <v>46246.46875</v>
      </c>
      <c r="Z536" s="168">
        <f t="shared" si="129"/>
        <v>0.34513888888614019</v>
      </c>
      <c r="AA536" s="169">
        <f t="shared" si="130"/>
        <v>0.35416666666666669</v>
      </c>
      <c r="AB536" s="170" t="str">
        <f t="shared" si="131"/>
        <v>00:13:00</v>
      </c>
      <c r="AC536" s="170" t="b">
        <f t="shared" si="132"/>
        <v>1</v>
      </c>
    </row>
    <row r="537" spans="1:29" s="128" customFormat="1" ht="9.75" hidden="1" customHeight="1" x14ac:dyDescent="0.3">
      <c r="A537" s="99">
        <v>46246</v>
      </c>
      <c r="B537" s="59">
        <v>8164830</v>
      </c>
      <c r="C537" s="60" t="s">
        <v>41</v>
      </c>
      <c r="D537" s="60" t="s">
        <v>299</v>
      </c>
      <c r="E537" s="61">
        <v>0.125</v>
      </c>
      <c r="F537" s="60" t="s">
        <v>24</v>
      </c>
      <c r="G537" s="71" t="s">
        <v>13</v>
      </c>
      <c r="H537" s="62">
        <v>0.12361111111111112</v>
      </c>
      <c r="I537" s="113" t="str">
        <f t="shared" si="134"/>
        <v>12-08-2026T02:58:00</v>
      </c>
      <c r="J537" s="62">
        <v>0.19930555555555557</v>
      </c>
      <c r="K537" s="62"/>
      <c r="L537" s="63">
        <f t="shared" si="135"/>
        <v>7.5694444444444453E-2</v>
      </c>
      <c r="M537" s="64">
        <v>8.3333333333333329E-2</v>
      </c>
      <c r="N537" s="65" t="str">
        <f t="shared" si="136"/>
        <v>00:11:00</v>
      </c>
      <c r="O537" s="66"/>
      <c r="P537" s="124"/>
      <c r="Q537" s="67"/>
      <c r="R537" s="68"/>
      <c r="S537" s="68"/>
      <c r="T537" s="69">
        <f t="shared" si="137"/>
        <v>0</v>
      </c>
      <c r="U537" s="61"/>
      <c r="V537" s="83">
        <v>0</v>
      </c>
      <c r="W537" s="61">
        <f t="shared" si="138"/>
        <v>0</v>
      </c>
      <c r="X537" s="171">
        <v>46246.123611111114</v>
      </c>
      <c r="Y537" s="171">
        <v>46246.199305555558</v>
      </c>
      <c r="Z537" s="168">
        <f t="shared" si="129"/>
        <v>7.5694444443797693E-2</v>
      </c>
      <c r="AA537" s="169">
        <f t="shared" si="130"/>
        <v>8.3333333333333329E-2</v>
      </c>
      <c r="AB537" s="170" t="str">
        <f t="shared" si="131"/>
        <v>00:11:00</v>
      </c>
      <c r="AC537" s="170" t="b">
        <f t="shared" si="132"/>
        <v>1</v>
      </c>
    </row>
    <row r="538" spans="1:29" s="128" customFormat="1" ht="9.75" hidden="1" customHeight="1" x14ac:dyDescent="0.3">
      <c r="A538" s="99">
        <v>46246</v>
      </c>
      <c r="B538" s="59">
        <v>8164966</v>
      </c>
      <c r="C538" s="60" t="s">
        <v>54</v>
      </c>
      <c r="D538" s="60" t="s">
        <v>288</v>
      </c>
      <c r="E538" s="61">
        <v>0.16666666666666666</v>
      </c>
      <c r="F538" s="60" t="s">
        <v>13</v>
      </c>
      <c r="G538" s="71" t="s">
        <v>24</v>
      </c>
      <c r="H538" s="62">
        <v>0.16666666666666666</v>
      </c>
      <c r="I538" s="113" t="str">
        <f t="shared" si="134"/>
        <v>12-08-2026T04:00:00</v>
      </c>
      <c r="J538" s="62">
        <v>0.23333333333333334</v>
      </c>
      <c r="K538" s="62"/>
      <c r="L538" s="63">
        <f t="shared" si="135"/>
        <v>6.666666666666668E-2</v>
      </c>
      <c r="M538" s="64">
        <v>8.3333333333333329E-2</v>
      </c>
      <c r="N538" s="65" t="str">
        <f t="shared" si="136"/>
        <v>00:24:00</v>
      </c>
      <c r="O538" s="66"/>
      <c r="P538" s="124"/>
      <c r="Q538" s="67"/>
      <c r="R538" s="68"/>
      <c r="S538" s="68"/>
      <c r="T538" s="69">
        <f t="shared" si="137"/>
        <v>0</v>
      </c>
      <c r="U538" s="61" t="s">
        <v>234</v>
      </c>
      <c r="V538" s="83">
        <v>0</v>
      </c>
      <c r="W538" s="61">
        <f t="shared" si="138"/>
        <v>0</v>
      </c>
      <c r="X538" s="171">
        <v>46246.166666666664</v>
      </c>
      <c r="Y538" s="171">
        <v>46246.23333333333</v>
      </c>
      <c r="Z538" s="168">
        <f t="shared" si="129"/>
        <v>6.6666666665696539E-2</v>
      </c>
      <c r="AA538" s="169">
        <f t="shared" si="130"/>
        <v>8.3333333333333329E-2</v>
      </c>
      <c r="AB538" s="170" t="str">
        <f t="shared" si="131"/>
        <v>00:24:00</v>
      </c>
      <c r="AC538" s="170" t="b">
        <f t="shared" si="132"/>
        <v>1</v>
      </c>
    </row>
    <row r="539" spans="1:29" s="128" customFormat="1" ht="9.75" hidden="1" customHeight="1" x14ac:dyDescent="0.3">
      <c r="A539" s="99">
        <v>46246</v>
      </c>
      <c r="B539" s="59">
        <v>8164972</v>
      </c>
      <c r="C539" s="60" t="s">
        <v>27</v>
      </c>
      <c r="D539" s="60" t="s">
        <v>378</v>
      </c>
      <c r="E539" s="61">
        <v>0.16666666666666666</v>
      </c>
      <c r="F539" s="60" t="s">
        <v>13</v>
      </c>
      <c r="G539" s="71" t="s">
        <v>28</v>
      </c>
      <c r="H539" s="62">
        <v>0.16666666666666666</v>
      </c>
      <c r="I539" s="113" t="str">
        <f t="shared" si="134"/>
        <v>12-08-2026T04:00:00</v>
      </c>
      <c r="J539" s="62">
        <v>0.3298611111111111</v>
      </c>
      <c r="K539" s="62"/>
      <c r="L539" s="63">
        <f t="shared" si="135"/>
        <v>0.16319444444444445</v>
      </c>
      <c r="M539" s="64">
        <v>0.16666666666666666</v>
      </c>
      <c r="N539" s="65" t="str">
        <f t="shared" si="136"/>
        <v>00:05:00</v>
      </c>
      <c r="O539" s="66"/>
      <c r="P539" s="124"/>
      <c r="Q539" s="67"/>
      <c r="R539" s="68"/>
      <c r="S539" s="68"/>
      <c r="T539" s="69">
        <f t="shared" si="137"/>
        <v>0</v>
      </c>
      <c r="U539" s="61"/>
      <c r="V539" s="83">
        <v>0</v>
      </c>
      <c r="W539" s="61">
        <f t="shared" si="138"/>
        <v>0</v>
      </c>
      <c r="X539" s="171">
        <v>46246.166666666664</v>
      </c>
      <c r="Y539" s="171">
        <v>46246.329861111109</v>
      </c>
      <c r="Z539" s="168">
        <f t="shared" si="129"/>
        <v>0.16319444444525288</v>
      </c>
      <c r="AA539" s="169">
        <f t="shared" si="130"/>
        <v>0.16666666666666666</v>
      </c>
      <c r="AB539" s="170" t="str">
        <f t="shared" si="131"/>
        <v>00:05:00</v>
      </c>
      <c r="AC539" s="170" t="b">
        <f t="shared" si="132"/>
        <v>1</v>
      </c>
    </row>
    <row r="540" spans="1:29" s="144" customFormat="1" ht="9.75" hidden="1" customHeight="1" x14ac:dyDescent="0.3">
      <c r="A540" s="129">
        <v>46246</v>
      </c>
      <c r="B540" s="130">
        <v>8164974</v>
      </c>
      <c r="C540" s="131" t="s">
        <v>16</v>
      </c>
      <c r="D540" s="131" t="s">
        <v>285</v>
      </c>
      <c r="E540" s="132">
        <v>0.16666666666666666</v>
      </c>
      <c r="F540" s="131" t="s">
        <v>17</v>
      </c>
      <c r="G540" s="133" t="s">
        <v>15</v>
      </c>
      <c r="H540" s="134">
        <v>0.1673611111111111</v>
      </c>
      <c r="I540" s="113" t="str">
        <f t="shared" si="134"/>
        <v>12-08-2026T04:01:00</v>
      </c>
      <c r="J540" s="134">
        <v>0.71944444444444444</v>
      </c>
      <c r="K540" s="134"/>
      <c r="L540" s="135">
        <f t="shared" si="135"/>
        <v>0.55208333333333337</v>
      </c>
      <c r="M540" s="136">
        <v>0.5</v>
      </c>
      <c r="N540" s="137" t="str">
        <f t="shared" si="136"/>
        <v>-01:15:00</v>
      </c>
      <c r="O540" s="138"/>
      <c r="P540" s="145" t="s">
        <v>565</v>
      </c>
      <c r="Q540" s="140" t="s">
        <v>98</v>
      </c>
      <c r="R540" s="141">
        <v>46246.375</v>
      </c>
      <c r="S540" s="141">
        <v>46246.518750000003</v>
      </c>
      <c r="T540" s="142">
        <f t="shared" si="137"/>
        <v>0.14375000000291038</v>
      </c>
      <c r="U540" s="132" t="s">
        <v>234</v>
      </c>
      <c r="V540" s="143">
        <v>8.3333333333333329E-2</v>
      </c>
      <c r="W540" s="132">
        <f t="shared" si="138"/>
        <v>6.0416666669577054E-2</v>
      </c>
      <c r="X540" s="171">
        <v>0.1673611111111111</v>
      </c>
      <c r="Y540" s="171">
        <v>0.71944444444444444</v>
      </c>
      <c r="Z540" s="168">
        <f t="shared" si="129"/>
        <v>0.55208333333333337</v>
      </c>
      <c r="AA540" s="169">
        <f t="shared" si="130"/>
        <v>0.5</v>
      </c>
      <c r="AB540" s="170" t="str">
        <f t="shared" si="131"/>
        <v>-01:15:00</v>
      </c>
      <c r="AC540" s="170" t="b">
        <f t="shared" si="132"/>
        <v>1</v>
      </c>
    </row>
    <row r="541" spans="1:29" s="127" customFormat="1" ht="9.75" hidden="1" customHeight="1" x14ac:dyDescent="0.3">
      <c r="A541" s="98">
        <v>46246</v>
      </c>
      <c r="B541" s="48">
        <v>8164892</v>
      </c>
      <c r="C541" s="49" t="s">
        <v>86</v>
      </c>
      <c r="D541" s="49" t="s">
        <v>547</v>
      </c>
      <c r="E541" s="50">
        <v>0.16666666666666666</v>
      </c>
      <c r="F541" s="49" t="s">
        <v>31</v>
      </c>
      <c r="G541" s="70" t="s">
        <v>13</v>
      </c>
      <c r="H541" s="51">
        <v>0.14722222222222223</v>
      </c>
      <c r="I541" s="113" t="str">
        <f t="shared" si="134"/>
        <v>12-08-2026T03:32:00</v>
      </c>
      <c r="J541" s="51">
        <v>0.99375000000000002</v>
      </c>
      <c r="K541" s="51"/>
      <c r="L541" s="52">
        <f t="shared" si="135"/>
        <v>0.84652777777777777</v>
      </c>
      <c r="M541" s="53">
        <v>0.70833333333333337</v>
      </c>
      <c r="N541" s="54" t="str">
        <f t="shared" si="136"/>
        <v>-03:19:00</v>
      </c>
      <c r="O541" s="55">
        <v>800</v>
      </c>
      <c r="P541" s="147" t="s">
        <v>626</v>
      </c>
      <c r="Q541" s="56" t="s">
        <v>13</v>
      </c>
      <c r="R541" s="57">
        <v>0.96597222222222223</v>
      </c>
      <c r="S541" s="57">
        <v>0.98958333333333337</v>
      </c>
      <c r="T541" s="58">
        <f t="shared" si="137"/>
        <v>2.3611111111111138E-2</v>
      </c>
      <c r="U541" s="50"/>
      <c r="V541" s="74">
        <v>8.3333333333333329E-2</v>
      </c>
      <c r="W541" s="50">
        <f t="shared" si="138"/>
        <v>-5.972222222222219E-2</v>
      </c>
      <c r="X541" s="171">
        <v>46246.147222222222</v>
      </c>
      <c r="Y541" s="171">
        <v>46246.993750000001</v>
      </c>
      <c r="Z541" s="168">
        <f t="shared" si="129"/>
        <v>0.84652777777955635</v>
      </c>
      <c r="AA541" s="169">
        <f t="shared" si="130"/>
        <v>0.70833333333333337</v>
      </c>
      <c r="AB541" s="170" t="str">
        <f t="shared" si="131"/>
        <v>-03:19:00</v>
      </c>
      <c r="AC541" s="170" t="b">
        <f t="shared" si="132"/>
        <v>1</v>
      </c>
    </row>
    <row r="542" spans="1:29" s="128" customFormat="1" ht="9.75" hidden="1" customHeight="1" x14ac:dyDescent="0.3">
      <c r="A542" s="99">
        <v>46246</v>
      </c>
      <c r="B542" s="59">
        <v>8165039</v>
      </c>
      <c r="C542" s="60" t="s">
        <v>82</v>
      </c>
      <c r="D542" s="60" t="s">
        <v>333</v>
      </c>
      <c r="E542" s="61">
        <v>0.20833333333333334</v>
      </c>
      <c r="F542" s="60" t="s">
        <v>26</v>
      </c>
      <c r="G542" s="71" t="s">
        <v>13</v>
      </c>
      <c r="H542" s="62">
        <v>0.18819444444444444</v>
      </c>
      <c r="I542" s="113" t="str">
        <f t="shared" si="134"/>
        <v>12-08-2026T04:31:00</v>
      </c>
      <c r="J542" s="62">
        <v>0.62222222222222223</v>
      </c>
      <c r="K542" s="62"/>
      <c r="L542" s="63">
        <f t="shared" si="135"/>
        <v>0.43402777777777779</v>
      </c>
      <c r="M542" s="64">
        <v>0.45833333333333331</v>
      </c>
      <c r="N542" s="65" t="str">
        <f t="shared" si="136"/>
        <v>00:35:00</v>
      </c>
      <c r="O542" s="66"/>
      <c r="P542" s="124"/>
      <c r="Q542" s="67" t="s">
        <v>13</v>
      </c>
      <c r="R542" s="68">
        <v>46246.54791666667</v>
      </c>
      <c r="S542" s="68">
        <v>46246.611111111109</v>
      </c>
      <c r="T542" s="69">
        <f t="shared" si="137"/>
        <v>6.3194444439432118E-2</v>
      </c>
      <c r="U542" s="61"/>
      <c r="V542" s="83">
        <v>8.3333333333333329E-2</v>
      </c>
      <c r="W542" s="61">
        <f t="shared" si="138"/>
        <v>-2.0138888893901211E-2</v>
      </c>
      <c r="X542" s="171">
        <v>46246.188194444447</v>
      </c>
      <c r="Y542" s="171">
        <v>46246.62222222222</v>
      </c>
      <c r="Z542" s="168">
        <f t="shared" si="129"/>
        <v>0.43402777777373558</v>
      </c>
      <c r="AA542" s="169">
        <f t="shared" si="130"/>
        <v>0.45833333333333331</v>
      </c>
      <c r="AB542" s="170" t="str">
        <f t="shared" si="131"/>
        <v>00:35:00</v>
      </c>
      <c r="AC542" s="170" t="b">
        <f t="shared" si="132"/>
        <v>1</v>
      </c>
    </row>
    <row r="543" spans="1:29" s="128" customFormat="1" ht="9.75" hidden="1" customHeight="1" x14ac:dyDescent="0.3">
      <c r="A543" s="99">
        <v>46246</v>
      </c>
      <c r="B543" s="59">
        <v>8165130</v>
      </c>
      <c r="C543" s="60" t="s">
        <v>32</v>
      </c>
      <c r="D543" s="60" t="s">
        <v>476</v>
      </c>
      <c r="E543" s="61">
        <v>0.20833333333333334</v>
      </c>
      <c r="F543" s="60" t="s">
        <v>13</v>
      </c>
      <c r="G543" s="71" t="s">
        <v>287</v>
      </c>
      <c r="H543" s="62">
        <v>0.20833333333333334</v>
      </c>
      <c r="I543" s="113" t="str">
        <f t="shared" si="134"/>
        <v>12-08-2026T05:00:00</v>
      </c>
      <c r="J543" s="62">
        <v>0.34722222222222221</v>
      </c>
      <c r="K543" s="62"/>
      <c r="L543" s="63">
        <f t="shared" si="135"/>
        <v>0.13888888888888887</v>
      </c>
      <c r="M543" s="64">
        <v>0.14583333333333334</v>
      </c>
      <c r="N543" s="65" t="str">
        <f t="shared" si="136"/>
        <v>00:10:00</v>
      </c>
      <c r="O543" s="66"/>
      <c r="P543" s="124"/>
      <c r="Q543" s="67"/>
      <c r="R543" s="68"/>
      <c r="S543" s="68"/>
      <c r="T543" s="69">
        <f t="shared" si="137"/>
        <v>0</v>
      </c>
      <c r="U543" s="61"/>
      <c r="V543" s="83">
        <v>0</v>
      </c>
      <c r="W543" s="61">
        <f t="shared" si="138"/>
        <v>0</v>
      </c>
      <c r="X543" s="171">
        <v>46246.208333333336</v>
      </c>
      <c r="Y543" s="171">
        <v>46246.347222222219</v>
      </c>
      <c r="Z543" s="168">
        <f t="shared" si="129"/>
        <v>0.13888888888322981</v>
      </c>
      <c r="AA543" s="169">
        <f t="shared" si="130"/>
        <v>0.14583333333333334</v>
      </c>
      <c r="AB543" s="170" t="str">
        <f t="shared" si="131"/>
        <v>00:10:00</v>
      </c>
      <c r="AC543" s="170" t="b">
        <f t="shared" si="132"/>
        <v>1</v>
      </c>
    </row>
    <row r="544" spans="1:29" s="128" customFormat="1" ht="9.75" hidden="1" customHeight="1" x14ac:dyDescent="0.3">
      <c r="A544" s="99">
        <v>46246</v>
      </c>
      <c r="B544" s="59">
        <v>8165327</v>
      </c>
      <c r="C544" s="60" t="s">
        <v>38</v>
      </c>
      <c r="D544" s="60" t="s">
        <v>289</v>
      </c>
      <c r="E544" s="61">
        <v>0.25</v>
      </c>
      <c r="F544" s="60" t="s">
        <v>14</v>
      </c>
      <c r="G544" s="71" t="s">
        <v>13</v>
      </c>
      <c r="H544" s="62">
        <v>0.25</v>
      </c>
      <c r="I544" s="113" t="str">
        <f t="shared" si="134"/>
        <v>12-08-2026T06:00:00</v>
      </c>
      <c r="J544" s="62">
        <v>0.78055555555555556</v>
      </c>
      <c r="K544" s="62"/>
      <c r="L544" s="63">
        <f t="shared" si="135"/>
        <v>0.53055555555555556</v>
      </c>
      <c r="M544" s="64">
        <v>0.54166666666666663</v>
      </c>
      <c r="N544" s="65" t="str">
        <f t="shared" si="136"/>
        <v>00:16:00</v>
      </c>
      <c r="O544" s="66"/>
      <c r="P544" s="124"/>
      <c r="Q544" s="67"/>
      <c r="R544" s="68"/>
      <c r="S544" s="68"/>
      <c r="T544" s="69">
        <f t="shared" si="137"/>
        <v>0</v>
      </c>
      <c r="U544" s="61"/>
      <c r="V544" s="83">
        <v>0</v>
      </c>
      <c r="W544" s="61">
        <f t="shared" si="138"/>
        <v>0</v>
      </c>
      <c r="X544" s="171">
        <v>46246.25</v>
      </c>
      <c r="Y544" s="171">
        <v>46246.780555555553</v>
      </c>
      <c r="Z544" s="168">
        <f t="shared" si="129"/>
        <v>0.53055555555329192</v>
      </c>
      <c r="AA544" s="169">
        <f t="shared" si="130"/>
        <v>0.54166666666666663</v>
      </c>
      <c r="AB544" s="170" t="str">
        <f t="shared" si="131"/>
        <v>00:16:00</v>
      </c>
      <c r="AC544" s="170" t="b">
        <f t="shared" si="132"/>
        <v>1</v>
      </c>
    </row>
    <row r="545" spans="1:29" s="128" customFormat="1" ht="9.75" hidden="1" customHeight="1" x14ac:dyDescent="0.3">
      <c r="A545" s="99">
        <v>46246</v>
      </c>
      <c r="B545" s="59">
        <v>8165353</v>
      </c>
      <c r="C545" s="60" t="s">
        <v>89</v>
      </c>
      <c r="D545" s="60" t="s">
        <v>294</v>
      </c>
      <c r="E545" s="61">
        <v>0.25</v>
      </c>
      <c r="F545" s="60" t="s">
        <v>13</v>
      </c>
      <c r="G545" s="71" t="s">
        <v>35</v>
      </c>
      <c r="H545" s="62">
        <v>0.25694444444444442</v>
      </c>
      <c r="I545" s="113" t="str">
        <f t="shared" si="134"/>
        <v>12-08-2026T06:10:00</v>
      </c>
      <c r="J545" s="62">
        <v>0.29166666666666669</v>
      </c>
      <c r="K545" s="62"/>
      <c r="L545" s="63">
        <f t="shared" si="135"/>
        <v>3.4722222222222265E-2</v>
      </c>
      <c r="M545" s="64">
        <v>4.1666666666666664E-2</v>
      </c>
      <c r="N545" s="65" t="str">
        <f t="shared" si="136"/>
        <v>00:10:00</v>
      </c>
      <c r="O545" s="66"/>
      <c r="P545" s="124"/>
      <c r="Q545" s="67"/>
      <c r="R545" s="68"/>
      <c r="S545" s="68"/>
      <c r="T545" s="69">
        <f t="shared" si="137"/>
        <v>0</v>
      </c>
      <c r="U545" s="61" t="s">
        <v>234</v>
      </c>
      <c r="V545" s="83">
        <v>0</v>
      </c>
      <c r="W545" s="61">
        <f t="shared" si="138"/>
        <v>0</v>
      </c>
      <c r="X545" s="171">
        <v>46246.256944444445</v>
      </c>
      <c r="Y545" s="171">
        <v>46246.291666666664</v>
      </c>
      <c r="Z545" s="168">
        <f t="shared" si="129"/>
        <v>3.4722222218988463E-2</v>
      </c>
      <c r="AA545" s="169">
        <f t="shared" si="130"/>
        <v>4.1666666666666664E-2</v>
      </c>
      <c r="AB545" s="170" t="str">
        <f t="shared" si="131"/>
        <v>00:10:00</v>
      </c>
      <c r="AC545" s="170" t="b">
        <f t="shared" si="132"/>
        <v>1</v>
      </c>
    </row>
    <row r="546" spans="1:29" s="144" customFormat="1" ht="9.75" hidden="1" customHeight="1" x14ac:dyDescent="0.3">
      <c r="A546" s="98">
        <v>46246</v>
      </c>
      <c r="B546" s="48">
        <v>8165381</v>
      </c>
      <c r="C546" s="49" t="s">
        <v>83</v>
      </c>
      <c r="D546" s="49" t="s">
        <v>454</v>
      </c>
      <c r="E546" s="50">
        <v>0.27083333333333331</v>
      </c>
      <c r="F546" s="49" t="s">
        <v>14</v>
      </c>
      <c r="G546" s="70" t="s">
        <v>13</v>
      </c>
      <c r="H546" s="51">
        <v>0.2673611111111111</v>
      </c>
      <c r="I546" s="113" t="str">
        <f t="shared" si="134"/>
        <v>12-08-2026T06:25:00</v>
      </c>
      <c r="J546" s="51">
        <v>0.97569444444444442</v>
      </c>
      <c r="K546" s="51"/>
      <c r="L546" s="52">
        <f t="shared" si="135"/>
        <v>0.70833333333333326</v>
      </c>
      <c r="M546" s="53">
        <v>0.625</v>
      </c>
      <c r="N546" s="54" t="str">
        <f t="shared" si="136"/>
        <v>-02:00:00</v>
      </c>
      <c r="O546" s="55">
        <v>600</v>
      </c>
      <c r="P546" s="147" t="s">
        <v>566</v>
      </c>
      <c r="Q546" s="56" t="s">
        <v>126</v>
      </c>
      <c r="R546" s="57">
        <v>46246.375</v>
      </c>
      <c r="S546" s="57">
        <v>46246.491666666669</v>
      </c>
      <c r="T546" s="47">
        <f t="shared" si="137"/>
        <v>0.11666666666860692</v>
      </c>
      <c r="U546" s="50"/>
      <c r="V546" s="74">
        <v>6.25E-2</v>
      </c>
      <c r="W546" s="50">
        <f t="shared" si="138"/>
        <v>5.4166666668606922E-2</v>
      </c>
      <c r="X546" s="171">
        <v>46246.267361111109</v>
      </c>
      <c r="Y546" s="171">
        <v>46246.975694444445</v>
      </c>
      <c r="Z546" s="168">
        <f t="shared" si="129"/>
        <v>0.70833333333575865</v>
      </c>
      <c r="AA546" s="169">
        <f t="shared" si="130"/>
        <v>0.625</v>
      </c>
      <c r="AB546" s="170" t="str">
        <f t="shared" si="131"/>
        <v>-02:00:00</v>
      </c>
      <c r="AC546" s="170" t="b">
        <f t="shared" si="132"/>
        <v>1</v>
      </c>
    </row>
    <row r="547" spans="1:29" s="128" customFormat="1" ht="9.75" hidden="1" customHeight="1" x14ac:dyDescent="0.3">
      <c r="A547" s="99">
        <v>46246</v>
      </c>
      <c r="B547" s="59">
        <v>8165402</v>
      </c>
      <c r="C547" s="60" t="s">
        <v>36</v>
      </c>
      <c r="D547" s="60" t="s">
        <v>300</v>
      </c>
      <c r="E547" s="61">
        <v>0.27083333333333331</v>
      </c>
      <c r="F547" s="60" t="s">
        <v>13</v>
      </c>
      <c r="G547" s="71" t="s">
        <v>14</v>
      </c>
      <c r="H547" s="62">
        <v>0.27291666666666664</v>
      </c>
      <c r="I547" s="113" t="str">
        <f t="shared" si="134"/>
        <v>12-08-2026T06:33:00</v>
      </c>
      <c r="J547" s="62">
        <v>0.88055555555555554</v>
      </c>
      <c r="K547" s="62"/>
      <c r="L547" s="63">
        <f t="shared" si="135"/>
        <v>0.60763888888888884</v>
      </c>
      <c r="M547" s="64">
        <v>0.625</v>
      </c>
      <c r="N547" s="65" t="str">
        <f t="shared" si="136"/>
        <v>00:25:00</v>
      </c>
      <c r="O547" s="66"/>
      <c r="P547" s="124"/>
      <c r="Q547" s="67" t="s">
        <v>15</v>
      </c>
      <c r="R547" s="68">
        <v>0.49722222222222223</v>
      </c>
      <c r="S547" s="68">
        <v>0.53055555555555556</v>
      </c>
      <c r="T547" s="69">
        <f t="shared" si="137"/>
        <v>3.3333333333333326E-2</v>
      </c>
      <c r="U547" s="61"/>
      <c r="V547" s="83">
        <v>6.25E-2</v>
      </c>
      <c r="W547" s="61">
        <f t="shared" si="138"/>
        <v>-2.9166666666666674E-2</v>
      </c>
      <c r="X547" s="171">
        <v>46246.272916666669</v>
      </c>
      <c r="Y547" s="171">
        <v>46246.880555555559</v>
      </c>
      <c r="Z547" s="168">
        <f t="shared" si="129"/>
        <v>0.60763888889050577</v>
      </c>
      <c r="AA547" s="169">
        <f t="shared" si="130"/>
        <v>0.625</v>
      </c>
      <c r="AB547" s="170" t="str">
        <f t="shared" si="131"/>
        <v>00:25:00</v>
      </c>
      <c r="AC547" s="170" t="b">
        <f t="shared" si="132"/>
        <v>1</v>
      </c>
    </row>
    <row r="548" spans="1:29" s="128" customFormat="1" ht="9.75" hidden="1" customHeight="1" x14ac:dyDescent="0.3">
      <c r="A548" s="99">
        <v>46246</v>
      </c>
      <c r="B548" s="59">
        <v>8165473</v>
      </c>
      <c r="C548" s="60" t="s">
        <v>34</v>
      </c>
      <c r="D548" s="60" t="s">
        <v>381</v>
      </c>
      <c r="E548" s="61">
        <v>0.29166666666666669</v>
      </c>
      <c r="F548" s="60" t="s">
        <v>13</v>
      </c>
      <c r="G548" s="71" t="s">
        <v>103</v>
      </c>
      <c r="H548" s="62">
        <v>0.29444444444444445</v>
      </c>
      <c r="I548" s="113" t="str">
        <f t="shared" si="134"/>
        <v>12-08-2026T07:04:00</v>
      </c>
      <c r="J548" s="62">
        <v>0.8979166666666667</v>
      </c>
      <c r="K548" s="62"/>
      <c r="L548" s="63">
        <f t="shared" si="135"/>
        <v>0.60347222222222219</v>
      </c>
      <c r="M548" s="64">
        <v>0.625</v>
      </c>
      <c r="N548" s="65" t="str">
        <f t="shared" si="136"/>
        <v>00:31:00</v>
      </c>
      <c r="O548" s="66"/>
      <c r="P548" s="124"/>
      <c r="Q548" s="67"/>
      <c r="R548" s="68"/>
      <c r="S548" s="68"/>
      <c r="T548" s="69">
        <f t="shared" si="137"/>
        <v>0</v>
      </c>
      <c r="U548" s="61"/>
      <c r="V548" s="83">
        <v>0</v>
      </c>
      <c r="W548" s="61">
        <f t="shared" si="138"/>
        <v>0</v>
      </c>
      <c r="X548" s="171">
        <v>46246.294444444444</v>
      </c>
      <c r="Y548" s="171">
        <v>46246.897916666669</v>
      </c>
      <c r="Z548" s="168">
        <f t="shared" si="129"/>
        <v>0.60347222222480923</v>
      </c>
      <c r="AA548" s="169">
        <f t="shared" si="130"/>
        <v>0.625</v>
      </c>
      <c r="AB548" s="170" t="str">
        <f t="shared" si="131"/>
        <v>00:31:00</v>
      </c>
      <c r="AC548" s="170" t="b">
        <f t="shared" si="132"/>
        <v>1</v>
      </c>
    </row>
    <row r="549" spans="1:29" s="128" customFormat="1" ht="9.75" hidden="1" customHeight="1" x14ac:dyDescent="0.3">
      <c r="A549" s="99">
        <v>46246</v>
      </c>
      <c r="B549" s="59">
        <v>8165508</v>
      </c>
      <c r="C549" s="60" t="s">
        <v>56</v>
      </c>
      <c r="D549" s="60" t="s">
        <v>472</v>
      </c>
      <c r="E549" s="61">
        <v>0.3125</v>
      </c>
      <c r="F549" s="60" t="s">
        <v>15</v>
      </c>
      <c r="G549" s="71" t="s">
        <v>13</v>
      </c>
      <c r="H549" s="62">
        <v>0.30972222222222223</v>
      </c>
      <c r="I549" s="113" t="str">
        <f t="shared" si="134"/>
        <v>12-08-2026T07:26:00</v>
      </c>
      <c r="J549" s="62">
        <v>0.54305555555555551</v>
      </c>
      <c r="K549" s="62"/>
      <c r="L549" s="63">
        <f t="shared" si="135"/>
        <v>0.23333333333333328</v>
      </c>
      <c r="M549" s="64">
        <v>0.25</v>
      </c>
      <c r="N549" s="65" t="str">
        <f t="shared" si="136"/>
        <v>00:24:00</v>
      </c>
      <c r="O549" s="66"/>
      <c r="P549" s="124"/>
      <c r="Q549" s="67" t="s">
        <v>205</v>
      </c>
      <c r="R549" s="68">
        <v>46246.378472222219</v>
      </c>
      <c r="S549" s="68">
        <v>46246.420138888891</v>
      </c>
      <c r="T549" s="69">
        <f t="shared" si="137"/>
        <v>4.1666666671517305E-2</v>
      </c>
      <c r="U549" s="61"/>
      <c r="V549" s="83">
        <v>4.1666666666666664E-2</v>
      </c>
      <c r="W549" s="61">
        <f t="shared" si="138"/>
        <v>4.8506407224202519E-12</v>
      </c>
      <c r="X549" s="171">
        <v>46246.30972222222</v>
      </c>
      <c r="Y549" s="171">
        <v>46246.543055555558</v>
      </c>
      <c r="Z549" s="168">
        <f t="shared" si="129"/>
        <v>0.23333333333721384</v>
      </c>
      <c r="AA549" s="169">
        <f t="shared" si="130"/>
        <v>0.25</v>
      </c>
      <c r="AB549" s="170" t="str">
        <f t="shared" si="131"/>
        <v>00:24:00</v>
      </c>
      <c r="AC549" s="170" t="b">
        <f t="shared" si="132"/>
        <v>1</v>
      </c>
    </row>
    <row r="550" spans="1:29" s="127" customFormat="1" ht="9.75" hidden="1" customHeight="1" x14ac:dyDescent="0.3">
      <c r="A550" s="98">
        <v>46246</v>
      </c>
      <c r="B550" s="48">
        <v>8165472</v>
      </c>
      <c r="C550" s="49" t="s">
        <v>44</v>
      </c>
      <c r="D550" s="49" t="s">
        <v>582</v>
      </c>
      <c r="E550" s="50">
        <v>0.29166666666666669</v>
      </c>
      <c r="F550" s="49" t="s">
        <v>13</v>
      </c>
      <c r="G550" s="70" t="s">
        <v>31</v>
      </c>
      <c r="H550" s="51">
        <v>0.29375000000000001</v>
      </c>
      <c r="I550" s="113" t="str">
        <f t="shared" si="134"/>
        <v>12-08-2026T07:03:00</v>
      </c>
      <c r="J550" s="51">
        <v>0.95625000000000004</v>
      </c>
      <c r="K550" s="51"/>
      <c r="L550" s="52">
        <f t="shared" si="135"/>
        <v>0.66250000000000009</v>
      </c>
      <c r="M550" s="53">
        <v>0.625</v>
      </c>
      <c r="N550" s="54" t="str">
        <f t="shared" si="136"/>
        <v>-00:54:00</v>
      </c>
      <c r="O550" s="55">
        <v>200</v>
      </c>
      <c r="P550" s="147" t="s">
        <v>598</v>
      </c>
      <c r="Q550" s="56"/>
      <c r="R550" s="57"/>
      <c r="S550" s="57"/>
      <c r="T550" s="58">
        <f t="shared" si="137"/>
        <v>0</v>
      </c>
      <c r="U550" s="50"/>
      <c r="V550" s="74">
        <v>0</v>
      </c>
      <c r="W550" s="50">
        <f t="shared" si="138"/>
        <v>0</v>
      </c>
      <c r="X550" s="171">
        <v>46246.293749999997</v>
      </c>
      <c r="Y550" s="171">
        <v>46246.956250000003</v>
      </c>
      <c r="Z550" s="168">
        <f t="shared" si="129"/>
        <v>0.66250000000582077</v>
      </c>
      <c r="AA550" s="169">
        <f t="shared" si="130"/>
        <v>0.625</v>
      </c>
      <c r="AB550" s="170" t="str">
        <f t="shared" si="131"/>
        <v>-00:54:00</v>
      </c>
      <c r="AC550" s="170" t="b">
        <f t="shared" si="132"/>
        <v>1</v>
      </c>
    </row>
    <row r="551" spans="1:29" s="128" customFormat="1" ht="9.75" hidden="1" customHeight="1" x14ac:dyDescent="0.3">
      <c r="A551" s="99">
        <v>46246</v>
      </c>
      <c r="B551" s="59">
        <v>8165516</v>
      </c>
      <c r="C551" s="60" t="s">
        <v>42</v>
      </c>
      <c r="D551" s="60" t="s">
        <v>181</v>
      </c>
      <c r="E551" s="61">
        <v>0.3125</v>
      </c>
      <c r="F551" s="60" t="s">
        <v>13</v>
      </c>
      <c r="G551" s="71" t="s">
        <v>55</v>
      </c>
      <c r="H551" s="62">
        <v>0.31388888888888888</v>
      </c>
      <c r="I551" s="113" t="str">
        <f t="shared" si="134"/>
        <v>12-08-2026T07:32:00</v>
      </c>
      <c r="J551" s="62">
        <v>0.37361111111111112</v>
      </c>
      <c r="K551" s="62"/>
      <c r="L551" s="63">
        <f t="shared" si="135"/>
        <v>5.9722222222222232E-2</v>
      </c>
      <c r="M551" s="64">
        <v>6.25E-2</v>
      </c>
      <c r="N551" s="65" t="str">
        <f t="shared" si="136"/>
        <v>00:04:00</v>
      </c>
      <c r="O551" s="66"/>
      <c r="P551" s="124"/>
      <c r="Q551" s="67"/>
      <c r="R551" s="68"/>
      <c r="S551" s="68"/>
      <c r="T551" s="69">
        <f t="shared" si="137"/>
        <v>0</v>
      </c>
      <c r="U551" s="61" t="s">
        <v>234</v>
      </c>
      <c r="V551" s="83">
        <v>0</v>
      </c>
      <c r="W551" s="61">
        <f t="shared" si="138"/>
        <v>0</v>
      </c>
      <c r="X551" s="171">
        <v>0.31388888888888888</v>
      </c>
      <c r="Y551" s="171">
        <v>0.37361111111111112</v>
      </c>
      <c r="Z551" s="168">
        <f t="shared" si="129"/>
        <v>5.9722222222222232E-2</v>
      </c>
      <c r="AA551" s="169">
        <f t="shared" si="130"/>
        <v>6.25E-2</v>
      </c>
      <c r="AB551" s="170" t="str">
        <f t="shared" si="131"/>
        <v>00:04:00</v>
      </c>
      <c r="AC551" s="170" t="b">
        <f t="shared" si="132"/>
        <v>1</v>
      </c>
    </row>
    <row r="552" spans="1:29" s="128" customFormat="1" ht="9.75" hidden="1" customHeight="1" x14ac:dyDescent="0.3">
      <c r="A552" s="99">
        <v>46246</v>
      </c>
      <c r="B552" s="59">
        <v>8165655</v>
      </c>
      <c r="C552" s="60" t="s">
        <v>40</v>
      </c>
      <c r="D552" s="60" t="s">
        <v>460</v>
      </c>
      <c r="E552" s="61">
        <v>0.375</v>
      </c>
      <c r="F552" s="60" t="s">
        <v>13</v>
      </c>
      <c r="G552" s="71" t="s">
        <v>31</v>
      </c>
      <c r="H552" s="62">
        <v>46246.378472222219</v>
      </c>
      <c r="I552" s="113" t="str">
        <f t="shared" si="134"/>
        <v>12-08-2026T09:05:00</v>
      </c>
      <c r="J552" s="62">
        <v>46247.074999999997</v>
      </c>
      <c r="K552" s="62"/>
      <c r="L552" s="63">
        <f t="shared" si="135"/>
        <v>0.69652777777810115</v>
      </c>
      <c r="M552" s="64">
        <v>0.75</v>
      </c>
      <c r="N552" s="65" t="str">
        <f t="shared" si="136"/>
        <v>01:17:00</v>
      </c>
      <c r="O552" s="66"/>
      <c r="P552" s="124"/>
      <c r="Q552" s="67" t="s">
        <v>45</v>
      </c>
      <c r="R552" s="68">
        <v>0.91805555555555551</v>
      </c>
      <c r="S552" s="68">
        <v>0.97222222222222221</v>
      </c>
      <c r="T552" s="69">
        <f t="shared" si="137"/>
        <v>5.4166666666666696E-2</v>
      </c>
      <c r="U552" s="61"/>
      <c r="V552" s="83">
        <v>8.3333333333333329E-2</v>
      </c>
      <c r="W552" s="61">
        <f t="shared" si="138"/>
        <v>-2.9166666666666632E-2</v>
      </c>
      <c r="X552" s="172">
        <v>46246.378472222219</v>
      </c>
      <c r="Y552" s="172">
        <v>46247.074999999997</v>
      </c>
      <c r="Z552" s="173">
        <f t="shared" si="129"/>
        <v>0.69652777777810115</v>
      </c>
      <c r="AA552" s="174">
        <f t="shared" si="130"/>
        <v>0.75</v>
      </c>
      <c r="AB552" s="175" t="str">
        <f t="shared" si="131"/>
        <v>01:17:00</v>
      </c>
      <c r="AC552" s="175" t="b">
        <f t="shared" si="132"/>
        <v>1</v>
      </c>
    </row>
    <row r="553" spans="1:29" s="128" customFormat="1" ht="9.75" hidden="1" customHeight="1" x14ac:dyDescent="0.3">
      <c r="A553" s="99">
        <v>46246</v>
      </c>
      <c r="B553" s="59">
        <v>8165638</v>
      </c>
      <c r="C553" s="60" t="s">
        <v>48</v>
      </c>
      <c r="D553" s="60" t="s">
        <v>183</v>
      </c>
      <c r="E553" s="61">
        <v>0.375</v>
      </c>
      <c r="F553" s="60" t="s">
        <v>49</v>
      </c>
      <c r="G553" s="71" t="s">
        <v>13</v>
      </c>
      <c r="H553" s="62">
        <v>0.37291666666666667</v>
      </c>
      <c r="I553" s="113" t="str">
        <f t="shared" si="134"/>
        <v>12-08-2026T08:57:00</v>
      </c>
      <c r="J553" s="62">
        <v>0.92986111111111114</v>
      </c>
      <c r="K553" s="62"/>
      <c r="L553" s="63">
        <f t="shared" si="135"/>
        <v>0.55694444444444446</v>
      </c>
      <c r="M553" s="64">
        <v>0.58333333333333337</v>
      </c>
      <c r="N553" s="65" t="str">
        <f t="shared" si="136"/>
        <v>00:38:00</v>
      </c>
      <c r="O553" s="66"/>
      <c r="P553" s="124"/>
      <c r="Q553" s="67" t="s">
        <v>13</v>
      </c>
      <c r="R553" s="68">
        <v>0.86736111111111114</v>
      </c>
      <c r="S553" s="68">
        <v>0.92013888888888884</v>
      </c>
      <c r="T553" s="69">
        <f t="shared" si="137"/>
        <v>5.2777777777777701E-2</v>
      </c>
      <c r="U553" s="61" t="s">
        <v>234</v>
      </c>
      <c r="V553" s="83">
        <v>8.3333333333333329E-2</v>
      </c>
      <c r="W553" s="61">
        <f t="shared" si="138"/>
        <v>-3.0555555555555627E-2</v>
      </c>
      <c r="X553" s="171">
        <v>46246.372916666667</v>
      </c>
      <c r="Y553" s="171">
        <v>46246.929861111108</v>
      </c>
      <c r="Z553" s="168">
        <f t="shared" si="129"/>
        <v>0.55694444444088731</v>
      </c>
      <c r="AA553" s="169">
        <f t="shared" si="130"/>
        <v>0.58333333333333337</v>
      </c>
      <c r="AB553" s="170" t="str">
        <f t="shared" si="131"/>
        <v>00:38:00</v>
      </c>
      <c r="AC553" s="170" t="b">
        <f t="shared" si="132"/>
        <v>1</v>
      </c>
    </row>
    <row r="554" spans="1:29" s="128" customFormat="1" ht="9.75" hidden="1" customHeight="1" x14ac:dyDescent="0.3">
      <c r="A554" s="99">
        <v>46246</v>
      </c>
      <c r="B554" s="59">
        <v>8165682</v>
      </c>
      <c r="C554" s="60" t="s">
        <v>50</v>
      </c>
      <c r="D554" s="60" t="s">
        <v>329</v>
      </c>
      <c r="E554" s="61">
        <v>0.41666666666666669</v>
      </c>
      <c r="F554" s="60" t="s">
        <v>31</v>
      </c>
      <c r="G554" s="71" t="s">
        <v>13</v>
      </c>
      <c r="H554" s="62">
        <v>46246.397916666669</v>
      </c>
      <c r="I554" s="113" t="str">
        <f t="shared" si="134"/>
        <v>12-08-2026T09:33:00</v>
      </c>
      <c r="J554" s="62">
        <v>46247.091666666667</v>
      </c>
      <c r="K554" s="62"/>
      <c r="L554" s="63">
        <f t="shared" si="135"/>
        <v>0.69374999999854481</v>
      </c>
      <c r="M554" s="64">
        <v>0.75</v>
      </c>
      <c r="N554" s="65" t="str">
        <f t="shared" si="136"/>
        <v>01:21:00</v>
      </c>
      <c r="O554" s="66"/>
      <c r="P554" s="124"/>
      <c r="Q554" s="67" t="s">
        <v>45</v>
      </c>
      <c r="R554" s="68">
        <v>46246.51666666667</v>
      </c>
      <c r="S554" s="68">
        <v>46246.5625</v>
      </c>
      <c r="T554" s="69">
        <f t="shared" si="137"/>
        <v>4.5833333329937886E-2</v>
      </c>
      <c r="U554" s="61"/>
      <c r="V554" s="83">
        <v>8.3333333333333329E-2</v>
      </c>
      <c r="W554" s="61">
        <f t="shared" si="138"/>
        <v>-3.7500000003395442E-2</v>
      </c>
      <c r="X554" s="172">
        <v>46246.397916666669</v>
      </c>
      <c r="Y554" s="172">
        <v>46247.091666666667</v>
      </c>
      <c r="Z554" s="173">
        <f t="shared" si="129"/>
        <v>0.69374999999854481</v>
      </c>
      <c r="AA554" s="174">
        <f t="shared" si="130"/>
        <v>0.75</v>
      </c>
      <c r="AB554" s="175" t="str">
        <f t="shared" si="131"/>
        <v>01:21:00</v>
      </c>
      <c r="AC554" s="175" t="b">
        <f t="shared" si="132"/>
        <v>1</v>
      </c>
    </row>
    <row r="555" spans="1:29" s="128" customFormat="1" ht="9.75" hidden="1" customHeight="1" x14ac:dyDescent="0.3">
      <c r="A555" s="99">
        <v>46246</v>
      </c>
      <c r="B555" s="59">
        <v>8165722</v>
      </c>
      <c r="C555" s="60" t="s">
        <v>51</v>
      </c>
      <c r="D555" s="60" t="s">
        <v>295</v>
      </c>
      <c r="E555" s="61">
        <v>0.41666666666666669</v>
      </c>
      <c r="F555" s="60" t="s">
        <v>13</v>
      </c>
      <c r="G555" s="71" t="s">
        <v>49</v>
      </c>
      <c r="H555" s="62">
        <v>0.42222222222222222</v>
      </c>
      <c r="I555" s="113" t="str">
        <f t="shared" si="134"/>
        <v>12-08-2026T10:08:00</v>
      </c>
      <c r="J555" s="62">
        <v>0.91319444444444442</v>
      </c>
      <c r="K555" s="62"/>
      <c r="L555" s="63">
        <f t="shared" si="135"/>
        <v>0.4909722222222222</v>
      </c>
      <c r="M555" s="64">
        <v>0.5</v>
      </c>
      <c r="N555" s="65" t="str">
        <f t="shared" si="136"/>
        <v>00:13:00</v>
      </c>
      <c r="O555" s="66"/>
      <c r="P555" s="124"/>
      <c r="Q555" s="67"/>
      <c r="R555" s="68"/>
      <c r="S555" s="68"/>
      <c r="T555" s="69">
        <f t="shared" si="137"/>
        <v>0</v>
      </c>
      <c r="U555" s="61" t="s">
        <v>234</v>
      </c>
      <c r="V555" s="83">
        <v>0</v>
      </c>
      <c r="W555" s="61">
        <f t="shared" si="138"/>
        <v>0</v>
      </c>
      <c r="X555" s="171">
        <v>46246.422222222223</v>
      </c>
      <c r="Y555" s="171">
        <v>46246.913194444445</v>
      </c>
      <c r="Z555" s="168">
        <f t="shared" si="129"/>
        <v>0.49097222222189885</v>
      </c>
      <c r="AA555" s="169">
        <f t="shared" si="130"/>
        <v>0.5</v>
      </c>
      <c r="AB555" s="170" t="str">
        <f t="shared" si="131"/>
        <v>00:13:00</v>
      </c>
      <c r="AC555" s="170" t="b">
        <f t="shared" si="132"/>
        <v>1</v>
      </c>
    </row>
    <row r="556" spans="1:29" s="128" customFormat="1" ht="9.75" customHeight="1" x14ac:dyDescent="0.3">
      <c r="A556" s="99">
        <v>46246</v>
      </c>
      <c r="B556" s="59">
        <v>8164628</v>
      </c>
      <c r="C556" s="60" t="s">
        <v>90</v>
      </c>
      <c r="D556" s="60" t="s">
        <v>290</v>
      </c>
      <c r="E556" s="61">
        <v>0.99930555555555556</v>
      </c>
      <c r="F556" s="60" t="s">
        <v>13</v>
      </c>
      <c r="G556" s="71" t="s">
        <v>15</v>
      </c>
      <c r="H556" s="62">
        <v>1.3888888888888889E-3</v>
      </c>
      <c r="I556" s="113" t="str">
        <f t="shared" si="134"/>
        <v>12-08-2026T00:02:00</v>
      </c>
      <c r="J556" s="62">
        <v>0.2638888888888889</v>
      </c>
      <c r="K556" s="113" t="str">
        <f t="shared" ref="K556:K557" si="139">TEXT(A556,"dd-mm-yyyy")&amp;"T"&amp;TEXT(J556,"hh:mm:ss")</f>
        <v>12-08-2026T06:20:00</v>
      </c>
      <c r="L556" s="63">
        <f t="shared" si="135"/>
        <v>0.26250000000000001</v>
      </c>
      <c r="M556" s="64">
        <v>0.27083333333333331</v>
      </c>
      <c r="N556" s="65" t="str">
        <f t="shared" si="136"/>
        <v>00:12:00</v>
      </c>
      <c r="O556" s="66"/>
      <c r="P556" s="124"/>
      <c r="Q556" s="67" t="s">
        <v>13</v>
      </c>
      <c r="R556" s="68">
        <v>46246.018750000003</v>
      </c>
      <c r="S556" s="68">
        <v>46246.057638888888</v>
      </c>
      <c r="T556" s="69">
        <f t="shared" si="137"/>
        <v>3.8888888884685002E-2</v>
      </c>
      <c r="U556" s="61"/>
      <c r="V556" s="83">
        <v>4.1666666666666664E-2</v>
      </c>
      <c r="W556" s="61">
        <f t="shared" si="138"/>
        <v>-2.7777777819816621E-3</v>
      </c>
      <c r="X556" s="171">
        <v>46246.001388888886</v>
      </c>
      <c r="Y556" s="171">
        <v>46246.263888888891</v>
      </c>
      <c r="Z556" s="168">
        <f t="shared" si="129"/>
        <v>0.26250000000436557</v>
      </c>
      <c r="AA556" s="169">
        <f t="shared" si="130"/>
        <v>0.27083333333333331</v>
      </c>
      <c r="AB556" s="170" t="str">
        <f t="shared" si="131"/>
        <v>00:12:00</v>
      </c>
      <c r="AC556" s="170" t="b">
        <f t="shared" si="132"/>
        <v>1</v>
      </c>
    </row>
    <row r="557" spans="1:29" s="127" customFormat="1" ht="9.75" hidden="1" customHeight="1" x14ac:dyDescent="0.3">
      <c r="A557" s="98">
        <v>46246</v>
      </c>
      <c r="B557" s="48">
        <v>8165748</v>
      </c>
      <c r="C557" s="49" t="s">
        <v>90</v>
      </c>
      <c r="D557" s="49" t="s">
        <v>290</v>
      </c>
      <c r="E557" s="50">
        <v>0.4375</v>
      </c>
      <c r="F557" s="49" t="s">
        <v>15</v>
      </c>
      <c r="G557" s="70" t="s">
        <v>13</v>
      </c>
      <c r="H557" s="51">
        <v>0.43958333333333333</v>
      </c>
      <c r="I557" s="113" t="str">
        <f t="shared" si="134"/>
        <v>12-08-2026T10:33:00</v>
      </c>
      <c r="J557" s="51">
        <v>0.64930555555555558</v>
      </c>
      <c r="K557" s="113" t="str">
        <f t="shared" si="139"/>
        <v>12-08-2026T15:35:00</v>
      </c>
      <c r="L557" s="52">
        <f t="shared" si="135"/>
        <v>0.20972222222222225</v>
      </c>
      <c r="M557" s="53">
        <v>0.20833333333333334</v>
      </c>
      <c r="N557" s="54" t="str">
        <f t="shared" si="136"/>
        <v>-00:02:00</v>
      </c>
      <c r="O557" s="55">
        <v>200</v>
      </c>
      <c r="P557" s="147" t="s">
        <v>455</v>
      </c>
      <c r="Q557" s="56"/>
      <c r="R557" s="57"/>
      <c r="S557" s="57"/>
      <c r="T557" s="58">
        <f t="shared" si="137"/>
        <v>0</v>
      </c>
      <c r="U557" s="50"/>
      <c r="V557" s="74">
        <v>0</v>
      </c>
      <c r="W557" s="50">
        <f t="shared" si="138"/>
        <v>0</v>
      </c>
      <c r="X557" s="171">
        <v>46246.439583333333</v>
      </c>
      <c r="Y557" s="171">
        <v>46246.649305555555</v>
      </c>
      <c r="Z557" s="168">
        <f t="shared" si="129"/>
        <v>0.20972222222189885</v>
      </c>
      <c r="AA557" s="169">
        <f t="shared" si="130"/>
        <v>0.20833333333333334</v>
      </c>
      <c r="AB557" s="170" t="str">
        <f t="shared" si="131"/>
        <v>-00:02:00</v>
      </c>
      <c r="AC557" s="170" t="b">
        <f t="shared" si="132"/>
        <v>1</v>
      </c>
    </row>
    <row r="558" spans="1:29" s="128" customFormat="1" ht="9.75" hidden="1" customHeight="1" x14ac:dyDescent="0.3">
      <c r="A558" s="99">
        <v>46246</v>
      </c>
      <c r="B558" s="59">
        <v>8165804</v>
      </c>
      <c r="C558" s="60" t="s">
        <v>57</v>
      </c>
      <c r="D558" s="60" t="s">
        <v>370</v>
      </c>
      <c r="E558" s="61">
        <v>0.45833333333333331</v>
      </c>
      <c r="F558" s="60" t="s">
        <v>13</v>
      </c>
      <c r="G558" s="71" t="s">
        <v>24</v>
      </c>
      <c r="H558" s="62">
        <v>0.45833333333333331</v>
      </c>
      <c r="I558" s="113" t="str">
        <f t="shared" si="134"/>
        <v>12-08-2026T11:00:00</v>
      </c>
      <c r="J558" s="62">
        <v>0.52777777777777779</v>
      </c>
      <c r="K558" s="62"/>
      <c r="L558" s="63">
        <f t="shared" si="135"/>
        <v>6.9444444444444475E-2</v>
      </c>
      <c r="M558" s="64">
        <v>8.3333333333333329E-2</v>
      </c>
      <c r="N558" s="65" t="str">
        <f t="shared" si="136"/>
        <v>00:20:00</v>
      </c>
      <c r="O558" s="66"/>
      <c r="P558" s="124"/>
      <c r="Q558" s="67"/>
      <c r="R558" s="68"/>
      <c r="S558" s="68"/>
      <c r="T558" s="69">
        <f t="shared" si="137"/>
        <v>0</v>
      </c>
      <c r="U558" s="61" t="s">
        <v>234</v>
      </c>
      <c r="V558" s="83">
        <v>0</v>
      </c>
      <c r="W558" s="61">
        <f t="shared" si="138"/>
        <v>0</v>
      </c>
      <c r="X558" s="171">
        <v>46246.458333333336</v>
      </c>
      <c r="Y558" s="171">
        <v>46246.527777777781</v>
      </c>
      <c r="Z558" s="168">
        <f t="shared" si="129"/>
        <v>6.9444444445252884E-2</v>
      </c>
      <c r="AA558" s="169">
        <f t="shared" si="130"/>
        <v>8.3333333333333329E-2</v>
      </c>
      <c r="AB558" s="170" t="str">
        <f t="shared" si="131"/>
        <v>00:20:00</v>
      </c>
      <c r="AC558" s="170" t="b">
        <f t="shared" si="132"/>
        <v>1</v>
      </c>
    </row>
    <row r="559" spans="1:29" s="128" customFormat="1" ht="9.75" hidden="1" customHeight="1" x14ac:dyDescent="0.3">
      <c r="A559" s="99">
        <v>46246</v>
      </c>
      <c r="B559" s="59">
        <v>8165953</v>
      </c>
      <c r="C559" s="60" t="s">
        <v>20</v>
      </c>
      <c r="D559" s="60" t="s">
        <v>232</v>
      </c>
      <c r="E559" s="61">
        <v>0.5</v>
      </c>
      <c r="F559" s="60" t="s">
        <v>13</v>
      </c>
      <c r="G559" s="71" t="s">
        <v>21</v>
      </c>
      <c r="H559" s="62">
        <v>0.50208333333333333</v>
      </c>
      <c r="I559" s="113" t="str">
        <f t="shared" si="134"/>
        <v>12-08-2026T12:03:00</v>
      </c>
      <c r="J559" s="62">
        <v>0.75</v>
      </c>
      <c r="K559" s="62"/>
      <c r="L559" s="63">
        <f t="shared" si="135"/>
        <v>0.24791666666666667</v>
      </c>
      <c r="M559" s="64">
        <v>0.25</v>
      </c>
      <c r="N559" s="65" t="str">
        <f t="shared" si="136"/>
        <v>00:03:00</v>
      </c>
      <c r="O559" s="66"/>
      <c r="P559" s="124"/>
      <c r="Q559" s="67"/>
      <c r="R559" s="68"/>
      <c r="S559" s="68"/>
      <c r="T559" s="69">
        <f t="shared" si="137"/>
        <v>0</v>
      </c>
      <c r="U559" s="61" t="s">
        <v>234</v>
      </c>
      <c r="V559" s="83">
        <v>0</v>
      </c>
      <c r="W559" s="61">
        <f t="shared" si="138"/>
        <v>0</v>
      </c>
      <c r="X559" s="171">
        <v>46246.502083333333</v>
      </c>
      <c r="Y559" s="171">
        <v>46246.75</v>
      </c>
      <c r="Z559" s="168">
        <f t="shared" si="129"/>
        <v>0.24791666666715173</v>
      </c>
      <c r="AA559" s="169">
        <f t="shared" si="130"/>
        <v>0.25</v>
      </c>
      <c r="AB559" s="170" t="str">
        <f t="shared" si="131"/>
        <v>00:03:00</v>
      </c>
      <c r="AC559" s="170" t="b">
        <f t="shared" si="132"/>
        <v>1</v>
      </c>
    </row>
    <row r="560" spans="1:29" s="128" customFormat="1" ht="9.75" hidden="1" customHeight="1" x14ac:dyDescent="0.3">
      <c r="A560" s="99">
        <v>46246</v>
      </c>
      <c r="B560" s="59">
        <v>8166015</v>
      </c>
      <c r="C560" s="60" t="s">
        <v>39</v>
      </c>
      <c r="D560" s="60" t="s">
        <v>392</v>
      </c>
      <c r="E560" s="61">
        <v>0.54166666666666663</v>
      </c>
      <c r="F560" s="60" t="s">
        <v>103</v>
      </c>
      <c r="G560" s="71" t="s">
        <v>13</v>
      </c>
      <c r="H560" s="62">
        <v>46246.529861111114</v>
      </c>
      <c r="I560" s="113" t="str">
        <f t="shared" si="134"/>
        <v>12-08-2026T12:43:00</v>
      </c>
      <c r="J560" s="62">
        <v>46247.143055555556</v>
      </c>
      <c r="K560" s="62"/>
      <c r="L560" s="63">
        <f t="shared" si="135"/>
        <v>0.6131944444423425</v>
      </c>
      <c r="M560" s="64">
        <v>0.70833333333333337</v>
      </c>
      <c r="N560" s="65" t="str">
        <f t="shared" si="136"/>
        <v>02:17:00</v>
      </c>
      <c r="O560" s="66"/>
      <c r="P560" s="124"/>
      <c r="Q560" s="67" t="s">
        <v>13</v>
      </c>
      <c r="R560" s="68">
        <v>46247.100694444445</v>
      </c>
      <c r="S560" s="68">
        <v>46247.140277777777</v>
      </c>
      <c r="T560" s="69">
        <f t="shared" si="137"/>
        <v>3.9583333331393078E-2</v>
      </c>
      <c r="U560" s="61"/>
      <c r="V560" s="83">
        <v>8.3333333333333329E-2</v>
      </c>
      <c r="W560" s="61">
        <f t="shared" si="138"/>
        <v>-4.3750000001940251E-2</v>
      </c>
      <c r="X560" s="171">
        <v>46246.529861111114</v>
      </c>
      <c r="Y560" s="171">
        <v>46247.143055555556</v>
      </c>
      <c r="Z560" s="168">
        <f t="shared" si="129"/>
        <v>0.6131944444423425</v>
      </c>
      <c r="AA560" s="169">
        <f t="shared" si="130"/>
        <v>0.70833333333333337</v>
      </c>
      <c r="AB560" s="170" t="str">
        <f t="shared" si="131"/>
        <v>02:17:00</v>
      </c>
      <c r="AC560" s="170" t="b">
        <f t="shared" si="132"/>
        <v>1</v>
      </c>
    </row>
    <row r="561" spans="1:29" s="127" customFormat="1" ht="9.75" hidden="1" customHeight="1" x14ac:dyDescent="0.3">
      <c r="A561" s="98">
        <v>46246</v>
      </c>
      <c r="B561" s="48">
        <v>8166058</v>
      </c>
      <c r="C561" s="49" t="s">
        <v>52</v>
      </c>
      <c r="D561" s="49" t="s">
        <v>616</v>
      </c>
      <c r="E561" s="50">
        <v>0.54166666666666663</v>
      </c>
      <c r="F561" s="49" t="s">
        <v>13</v>
      </c>
      <c r="G561" s="70" t="s">
        <v>15</v>
      </c>
      <c r="H561" s="51">
        <v>0.54027777777777775</v>
      </c>
      <c r="I561" s="113" t="str">
        <f t="shared" si="134"/>
        <v>12-08-2026T12:58:00</v>
      </c>
      <c r="J561" s="51">
        <v>0.75</v>
      </c>
      <c r="K561" s="51"/>
      <c r="L561" s="52">
        <f t="shared" si="135"/>
        <v>0.20972222222222225</v>
      </c>
      <c r="M561" s="53">
        <v>0.20833333333333334</v>
      </c>
      <c r="N561" s="54" t="str">
        <f t="shared" si="136"/>
        <v>-00:02:00</v>
      </c>
      <c r="O561" s="55">
        <v>250</v>
      </c>
      <c r="P561" s="147" t="s">
        <v>455</v>
      </c>
      <c r="Q561" s="56"/>
      <c r="R561" s="57"/>
      <c r="S561" s="57"/>
      <c r="T561" s="58">
        <f t="shared" si="137"/>
        <v>0</v>
      </c>
      <c r="U561" s="50" t="s">
        <v>234</v>
      </c>
      <c r="V561" s="74">
        <v>0</v>
      </c>
      <c r="W561" s="50">
        <f t="shared" si="138"/>
        <v>0</v>
      </c>
      <c r="X561" s="171">
        <v>46246.540277777778</v>
      </c>
      <c r="Y561" s="171">
        <v>46246.75</v>
      </c>
      <c r="Z561" s="168">
        <f t="shared" si="129"/>
        <v>0.20972222222189885</v>
      </c>
      <c r="AA561" s="169">
        <f t="shared" si="130"/>
        <v>0.20833333333333334</v>
      </c>
      <c r="AB561" s="170" t="str">
        <f t="shared" si="131"/>
        <v>-00:02:00</v>
      </c>
      <c r="AC561" s="170" t="b">
        <f t="shared" si="132"/>
        <v>1</v>
      </c>
    </row>
    <row r="562" spans="1:29" s="128" customFormat="1" ht="9.75" hidden="1" customHeight="1" x14ac:dyDescent="0.3">
      <c r="A562" s="99">
        <v>46246</v>
      </c>
      <c r="B562" s="59">
        <v>8166577</v>
      </c>
      <c r="C562" s="60" t="s">
        <v>41</v>
      </c>
      <c r="D562" s="60" t="s">
        <v>299</v>
      </c>
      <c r="E562" s="61">
        <v>0.70833333333333337</v>
      </c>
      <c r="F562" s="60" t="s">
        <v>13</v>
      </c>
      <c r="G562" s="71" t="s">
        <v>24</v>
      </c>
      <c r="H562" s="62">
        <v>0.72430555555555554</v>
      </c>
      <c r="I562" s="113" t="str">
        <f t="shared" si="134"/>
        <v>12-08-2026T17:23:00</v>
      </c>
      <c r="J562" s="62">
        <v>0.79861111111111116</v>
      </c>
      <c r="K562" s="62"/>
      <c r="L562" s="63">
        <f t="shared" si="135"/>
        <v>7.4305555555555625E-2</v>
      </c>
      <c r="M562" s="64">
        <v>8.3333333333333329E-2</v>
      </c>
      <c r="N562" s="65" t="str">
        <f t="shared" si="136"/>
        <v>00:13:00</v>
      </c>
      <c r="O562" s="66"/>
      <c r="P562" s="124"/>
      <c r="Q562" s="67"/>
      <c r="R562" s="68"/>
      <c r="S562" s="68"/>
      <c r="T562" s="69">
        <f t="shared" si="137"/>
        <v>0</v>
      </c>
      <c r="U562" s="61" t="s">
        <v>234</v>
      </c>
      <c r="V562" s="83">
        <v>0</v>
      </c>
      <c r="W562" s="61">
        <f t="shared" si="138"/>
        <v>0</v>
      </c>
      <c r="X562" s="171">
        <v>46246.724305555559</v>
      </c>
      <c r="Y562" s="171">
        <v>46246.798611111109</v>
      </c>
      <c r="Z562" s="168">
        <f t="shared" si="129"/>
        <v>7.4305555550381541E-2</v>
      </c>
      <c r="AA562" s="169">
        <f t="shared" si="130"/>
        <v>8.3333333333333329E-2</v>
      </c>
      <c r="AB562" s="170" t="str">
        <f t="shared" si="131"/>
        <v>00:13:00</v>
      </c>
      <c r="AC562" s="170" t="b">
        <f t="shared" si="132"/>
        <v>1</v>
      </c>
    </row>
    <row r="563" spans="1:29" s="128" customFormat="1" ht="9.75" hidden="1" customHeight="1" x14ac:dyDescent="0.3">
      <c r="A563" s="99">
        <v>46246</v>
      </c>
      <c r="B563" s="59">
        <v>8166505</v>
      </c>
      <c r="C563" s="60" t="s">
        <v>84</v>
      </c>
      <c r="D563" s="60" t="s">
        <v>301</v>
      </c>
      <c r="E563" s="61">
        <v>0.70833333333333337</v>
      </c>
      <c r="F563" s="60" t="s">
        <v>85</v>
      </c>
      <c r="G563" s="71" t="s">
        <v>13</v>
      </c>
      <c r="H563" s="62">
        <v>46246.703472222223</v>
      </c>
      <c r="I563" s="113" t="str">
        <f t="shared" si="134"/>
        <v>12-08-2026T16:53:00</v>
      </c>
      <c r="J563" s="62">
        <v>46247.025000000001</v>
      </c>
      <c r="K563" s="62"/>
      <c r="L563" s="63">
        <f t="shared" si="135"/>
        <v>0.32152777777810115</v>
      </c>
      <c r="M563" s="64">
        <v>0.33333333333333331</v>
      </c>
      <c r="N563" s="65" t="str">
        <f t="shared" si="136"/>
        <v>00:17:00</v>
      </c>
      <c r="O563" s="66"/>
      <c r="P563" s="124"/>
      <c r="Q563" s="67" t="s">
        <v>174</v>
      </c>
      <c r="R563" s="68">
        <v>0.76597222222222228</v>
      </c>
      <c r="S563" s="68">
        <v>0.77638888888888891</v>
      </c>
      <c r="T563" s="69">
        <f t="shared" si="137"/>
        <v>1.041666666666663E-2</v>
      </c>
      <c r="U563" s="61"/>
      <c r="V563" s="83">
        <v>4.1666666666666664E-2</v>
      </c>
      <c r="W563" s="61">
        <f t="shared" si="138"/>
        <v>-3.1250000000000035E-2</v>
      </c>
      <c r="X563" s="171">
        <v>46246.703472222223</v>
      </c>
      <c r="Y563" s="171">
        <v>46247.025000000001</v>
      </c>
      <c r="Z563" s="168">
        <f t="shared" si="129"/>
        <v>0.32152777777810115</v>
      </c>
      <c r="AA563" s="169">
        <f t="shared" si="130"/>
        <v>0.33333333333333331</v>
      </c>
      <c r="AB563" s="170" t="str">
        <f t="shared" si="131"/>
        <v>00:17:00</v>
      </c>
      <c r="AC563" s="170" t="b">
        <f t="shared" si="132"/>
        <v>1</v>
      </c>
    </row>
    <row r="564" spans="1:29" ht="9.75" hidden="1" customHeight="1" x14ac:dyDescent="0.3">
      <c r="A564" s="149">
        <v>46244</v>
      </c>
      <c r="B564" s="150" t="s">
        <v>687</v>
      </c>
      <c r="C564" s="151" t="s">
        <v>97</v>
      </c>
      <c r="D564" s="151" t="s">
        <v>468</v>
      </c>
      <c r="E564" s="152">
        <v>0</v>
      </c>
      <c r="F564" s="151"/>
      <c r="G564" s="153"/>
      <c r="H564" s="154">
        <v>0</v>
      </c>
      <c r="I564" s="113" t="str">
        <f t="shared" si="134"/>
        <v>10-08-2026T00:00:00</v>
      </c>
      <c r="J564" s="154">
        <v>0</v>
      </c>
      <c r="K564" s="154"/>
      <c r="L564" s="155">
        <v>0</v>
      </c>
      <c r="M564" s="160">
        <v>0</v>
      </c>
      <c r="N564" s="156">
        <v>0</v>
      </c>
      <c r="O564" s="157"/>
      <c r="P564" s="158" t="s">
        <v>480</v>
      </c>
      <c r="Q564" s="159" t="s">
        <v>480</v>
      </c>
      <c r="R564" s="148" t="s">
        <v>480</v>
      </c>
      <c r="S564" s="148" t="s">
        <v>480</v>
      </c>
      <c r="T564" s="161" t="s">
        <v>480</v>
      </c>
      <c r="U564" s="152" t="s">
        <v>480</v>
      </c>
      <c r="V564" s="146" t="s">
        <v>480</v>
      </c>
      <c r="W564" s="152" t="s">
        <v>480</v>
      </c>
      <c r="X564" s="171" t="s">
        <v>668</v>
      </c>
      <c r="Y564" s="171" t="s">
        <v>668</v>
      </c>
      <c r="Z564" s="168" t="e">
        <f t="shared" si="129"/>
        <v>#VALUE!</v>
      </c>
      <c r="AA564" s="169">
        <f t="shared" si="130"/>
        <v>0</v>
      </c>
      <c r="AB564" s="170" t="e">
        <f t="shared" si="131"/>
        <v>#VALUE!</v>
      </c>
      <c r="AC564" s="170" t="e">
        <f t="shared" si="132"/>
        <v>#VALUE!</v>
      </c>
    </row>
    <row r="565" spans="1:29" s="128" customFormat="1" ht="9.75" hidden="1" customHeight="1" x14ac:dyDescent="0.3">
      <c r="A565" s="99">
        <v>46246</v>
      </c>
      <c r="B565" s="59">
        <v>8166499</v>
      </c>
      <c r="C565" s="60" t="s">
        <v>97</v>
      </c>
      <c r="D565" s="60" t="s">
        <v>468</v>
      </c>
      <c r="E565" s="61">
        <v>0.70833333333333337</v>
      </c>
      <c r="F565" s="60" t="s">
        <v>13</v>
      </c>
      <c r="G565" s="71" t="s">
        <v>23</v>
      </c>
      <c r="H565" s="62">
        <v>46246.700694444444</v>
      </c>
      <c r="I565" s="113" t="str">
        <f t="shared" si="134"/>
        <v>12-08-2026T16:49:00</v>
      </c>
      <c r="J565" s="62">
        <v>46247.845833333333</v>
      </c>
      <c r="K565" s="62"/>
      <c r="L565" s="63">
        <f t="shared" ref="L565:L581" si="140">J565-H565</f>
        <v>1.1451388888890506</v>
      </c>
      <c r="M565" s="64">
        <v>1</v>
      </c>
      <c r="N565" s="65" t="str">
        <f t="shared" ref="N565:N581" si="141">IF(M565-L565&gt;0,TEXT(M565-L565,"HH:MM:SS"),TEXT(ABS(M565-L565),"-HH:MM:SS"))</f>
        <v>-03:29:00</v>
      </c>
      <c r="O565" s="66"/>
      <c r="P565" s="124" t="s">
        <v>569</v>
      </c>
      <c r="Q565" s="67"/>
      <c r="R565" s="68"/>
      <c r="S565" s="68"/>
      <c r="T565" s="69">
        <f t="shared" ref="T565:T581" si="142">S565-R565</f>
        <v>0</v>
      </c>
      <c r="U565" s="61"/>
      <c r="V565" s="83">
        <v>0</v>
      </c>
      <c r="W565" s="61">
        <f t="shared" ref="W565:W581" si="143">T565-V565</f>
        <v>0</v>
      </c>
      <c r="X565" s="172">
        <v>46246.700694444444</v>
      </c>
      <c r="Y565" s="172">
        <v>46247.845833333333</v>
      </c>
      <c r="Z565" s="173">
        <f t="shared" si="129"/>
        <v>1.1451388888890506</v>
      </c>
      <c r="AA565" s="174">
        <f t="shared" si="130"/>
        <v>1</v>
      </c>
      <c r="AB565" s="175" t="str">
        <f t="shared" si="131"/>
        <v>-03:29:00</v>
      </c>
      <c r="AC565" s="175" t="b">
        <f t="shared" si="132"/>
        <v>1</v>
      </c>
    </row>
    <row r="566" spans="1:29" s="127" customFormat="1" ht="9.75" hidden="1" customHeight="1" x14ac:dyDescent="0.3">
      <c r="A566" s="98">
        <v>46246</v>
      </c>
      <c r="B566" s="48">
        <v>8166551</v>
      </c>
      <c r="C566" s="49" t="s">
        <v>27</v>
      </c>
      <c r="D566" s="49" t="s">
        <v>378</v>
      </c>
      <c r="E566" s="50">
        <v>0.70833333333333337</v>
      </c>
      <c r="F566" s="49" t="s">
        <v>28</v>
      </c>
      <c r="G566" s="70" t="s">
        <v>13</v>
      </c>
      <c r="H566" s="51">
        <v>0.71319444444444446</v>
      </c>
      <c r="I566" s="113" t="str">
        <f t="shared" si="134"/>
        <v>12-08-2026T17:07:00</v>
      </c>
      <c r="J566" s="51">
        <v>0.91597222222222219</v>
      </c>
      <c r="K566" s="51"/>
      <c r="L566" s="52">
        <f t="shared" si="140"/>
        <v>0.20277777777777772</v>
      </c>
      <c r="M566" s="53">
        <v>0.16666666666666666</v>
      </c>
      <c r="N566" s="54" t="str">
        <f t="shared" si="141"/>
        <v>-00:52:00</v>
      </c>
      <c r="O566" s="55">
        <v>150</v>
      </c>
      <c r="P566" s="147" t="s">
        <v>455</v>
      </c>
      <c r="Q566" s="56"/>
      <c r="R566" s="57"/>
      <c r="S566" s="57"/>
      <c r="T566" s="58">
        <f t="shared" si="142"/>
        <v>0</v>
      </c>
      <c r="U566" s="50"/>
      <c r="V566" s="74">
        <v>0</v>
      </c>
      <c r="W566" s="50">
        <f t="shared" si="143"/>
        <v>0</v>
      </c>
      <c r="X566" s="171">
        <v>46246.713194444441</v>
      </c>
      <c r="Y566" s="171">
        <v>46246.915972222225</v>
      </c>
      <c r="Z566" s="168">
        <f t="shared" si="129"/>
        <v>0.20277777778392192</v>
      </c>
      <c r="AA566" s="169">
        <f t="shared" si="130"/>
        <v>0.16666666666666666</v>
      </c>
      <c r="AB566" s="170" t="str">
        <f t="shared" si="131"/>
        <v>-00:52:00</v>
      </c>
      <c r="AC566" s="170" t="b">
        <f t="shared" si="132"/>
        <v>1</v>
      </c>
    </row>
    <row r="567" spans="1:29" s="128" customFormat="1" ht="9.75" hidden="1" customHeight="1" x14ac:dyDescent="0.3">
      <c r="A567" s="99">
        <v>46246</v>
      </c>
      <c r="B567" s="59">
        <v>8166598</v>
      </c>
      <c r="C567" s="60" t="s">
        <v>89</v>
      </c>
      <c r="D567" s="60" t="s">
        <v>294</v>
      </c>
      <c r="E567" s="61">
        <v>0.75</v>
      </c>
      <c r="F567" s="60" t="s">
        <v>35</v>
      </c>
      <c r="G567" s="71" t="s">
        <v>13</v>
      </c>
      <c r="H567" s="62">
        <v>0.73333333333333328</v>
      </c>
      <c r="I567" s="113" t="str">
        <f t="shared" si="134"/>
        <v>12-08-2026T17:36:00</v>
      </c>
      <c r="J567" s="62">
        <v>0.7631944444444444</v>
      </c>
      <c r="K567" s="62"/>
      <c r="L567" s="63">
        <f t="shared" si="140"/>
        <v>2.9861111111111116E-2</v>
      </c>
      <c r="M567" s="64">
        <v>4.1666666666666664E-2</v>
      </c>
      <c r="N567" s="65" t="str">
        <f t="shared" si="141"/>
        <v>00:17:00</v>
      </c>
      <c r="O567" s="66"/>
      <c r="P567" s="124"/>
      <c r="Q567" s="67"/>
      <c r="R567" s="68"/>
      <c r="S567" s="68"/>
      <c r="T567" s="69">
        <f t="shared" si="142"/>
        <v>0</v>
      </c>
      <c r="U567" s="61"/>
      <c r="V567" s="83">
        <v>0</v>
      </c>
      <c r="W567" s="61">
        <f t="shared" si="143"/>
        <v>0</v>
      </c>
      <c r="X567" s="171">
        <v>46246.73333333333</v>
      </c>
      <c r="Y567" s="171">
        <v>46246.763194444444</v>
      </c>
      <c r="Z567" s="168">
        <f t="shared" si="129"/>
        <v>2.9861111113859806E-2</v>
      </c>
      <c r="AA567" s="169">
        <f t="shared" si="130"/>
        <v>4.1666666666666664E-2</v>
      </c>
      <c r="AB567" s="170" t="str">
        <f t="shared" si="131"/>
        <v>00:17:00</v>
      </c>
      <c r="AC567" s="170" t="b">
        <f t="shared" si="132"/>
        <v>1</v>
      </c>
    </row>
    <row r="568" spans="1:29" s="128" customFormat="1" ht="9.75" hidden="1" customHeight="1" x14ac:dyDescent="0.3">
      <c r="A568" s="99">
        <v>46246</v>
      </c>
      <c r="B568" s="59">
        <v>8166866</v>
      </c>
      <c r="C568" s="60" t="s">
        <v>32</v>
      </c>
      <c r="D568" s="60" t="s">
        <v>476</v>
      </c>
      <c r="E568" s="61">
        <v>0.83333333333333337</v>
      </c>
      <c r="F568" s="60" t="s">
        <v>287</v>
      </c>
      <c r="G568" s="71" t="s">
        <v>13</v>
      </c>
      <c r="H568" s="62">
        <v>0.8208333333333333</v>
      </c>
      <c r="I568" s="113" t="str">
        <f t="shared" si="134"/>
        <v>12-08-2026T19:42:00</v>
      </c>
      <c r="J568" s="62">
        <v>0.95416666666666672</v>
      </c>
      <c r="K568" s="62"/>
      <c r="L568" s="63">
        <f t="shared" si="140"/>
        <v>0.13333333333333341</v>
      </c>
      <c r="M568" s="64">
        <v>0.14583333333333334</v>
      </c>
      <c r="N568" s="65" t="str">
        <f t="shared" si="141"/>
        <v>00:18:00</v>
      </c>
      <c r="O568" s="66"/>
      <c r="P568" s="124"/>
      <c r="Q568" s="67"/>
      <c r="R568" s="68"/>
      <c r="S568" s="68"/>
      <c r="T568" s="69">
        <f t="shared" si="142"/>
        <v>0</v>
      </c>
      <c r="U568" s="61"/>
      <c r="V568" s="83">
        <v>0</v>
      </c>
      <c r="W568" s="61">
        <f t="shared" si="143"/>
        <v>0</v>
      </c>
      <c r="X568" s="171">
        <v>46246.820833333331</v>
      </c>
      <c r="Y568" s="171">
        <v>46246.95416666667</v>
      </c>
      <c r="Z568" s="168">
        <f t="shared" si="129"/>
        <v>0.13333333333866904</v>
      </c>
      <c r="AA568" s="169">
        <f t="shared" si="130"/>
        <v>0.14583333333333334</v>
      </c>
      <c r="AB568" s="170" t="str">
        <f t="shared" si="131"/>
        <v>00:18:00</v>
      </c>
      <c r="AC568" s="170" t="b">
        <f t="shared" si="132"/>
        <v>1</v>
      </c>
    </row>
    <row r="569" spans="1:29" s="128" customFormat="1" ht="9.75" hidden="1" customHeight="1" x14ac:dyDescent="0.3">
      <c r="A569" s="99">
        <v>46246</v>
      </c>
      <c r="B569" s="59">
        <v>8167066</v>
      </c>
      <c r="C569" s="60" t="s">
        <v>56</v>
      </c>
      <c r="D569" s="60" t="s">
        <v>472</v>
      </c>
      <c r="E569" s="61">
        <v>0.875</v>
      </c>
      <c r="F569" s="60" t="s">
        <v>13</v>
      </c>
      <c r="G569" s="71" t="s">
        <v>15</v>
      </c>
      <c r="H569" s="62">
        <v>46246.878472222219</v>
      </c>
      <c r="I569" s="113" t="str">
        <f t="shared" si="134"/>
        <v>12-08-2026T21:05:00</v>
      </c>
      <c r="J569" s="62">
        <v>46247.077777777777</v>
      </c>
      <c r="K569" s="62"/>
      <c r="L569" s="63">
        <f t="shared" si="140"/>
        <v>0.1993055555576575</v>
      </c>
      <c r="M569" s="64">
        <v>0.20833333333333334</v>
      </c>
      <c r="N569" s="65" t="str">
        <f t="shared" si="141"/>
        <v>00:13:00</v>
      </c>
      <c r="O569" s="66"/>
      <c r="P569" s="124"/>
      <c r="Q569" s="67"/>
      <c r="R569" s="68"/>
      <c r="S569" s="68"/>
      <c r="T569" s="69">
        <f t="shared" si="142"/>
        <v>0</v>
      </c>
      <c r="U569" s="61" t="s">
        <v>234</v>
      </c>
      <c r="V569" s="83">
        <v>0</v>
      </c>
      <c r="W569" s="61">
        <f t="shared" si="143"/>
        <v>0</v>
      </c>
      <c r="X569" s="171">
        <v>46246.878472222219</v>
      </c>
      <c r="Y569" s="171">
        <v>46247.077777777777</v>
      </c>
      <c r="Z569" s="168">
        <f t="shared" si="129"/>
        <v>0.1993055555576575</v>
      </c>
      <c r="AA569" s="169">
        <f t="shared" si="130"/>
        <v>0.20833333333333334</v>
      </c>
      <c r="AB569" s="170" t="str">
        <f t="shared" si="131"/>
        <v>00:13:00</v>
      </c>
      <c r="AC569" s="170" t="b">
        <f t="shared" si="132"/>
        <v>1</v>
      </c>
    </row>
    <row r="570" spans="1:29" s="128" customFormat="1" ht="9.75" hidden="1" customHeight="1" x14ac:dyDescent="0.3">
      <c r="A570" s="99">
        <v>46246</v>
      </c>
      <c r="B570" s="59">
        <v>8167135</v>
      </c>
      <c r="C570" s="60" t="s">
        <v>42</v>
      </c>
      <c r="D570" s="60" t="s">
        <v>181</v>
      </c>
      <c r="E570" s="61">
        <v>0.875</v>
      </c>
      <c r="F570" s="60" t="s">
        <v>55</v>
      </c>
      <c r="G570" s="71" t="s">
        <v>13</v>
      </c>
      <c r="H570" s="62">
        <v>0.89930555555555558</v>
      </c>
      <c r="I570" s="113" t="str">
        <f t="shared" si="134"/>
        <v>12-08-2026T21:35:00</v>
      </c>
      <c r="J570" s="62">
        <v>0.95486111111111116</v>
      </c>
      <c r="K570" s="62"/>
      <c r="L570" s="63">
        <f t="shared" si="140"/>
        <v>5.555555555555558E-2</v>
      </c>
      <c r="M570" s="64">
        <v>6.25E-2</v>
      </c>
      <c r="N570" s="65" t="str">
        <f t="shared" si="141"/>
        <v>00:10:00</v>
      </c>
      <c r="O570" s="66"/>
      <c r="P570" s="124"/>
      <c r="Q570" s="67"/>
      <c r="R570" s="68"/>
      <c r="S570" s="68"/>
      <c r="T570" s="69">
        <f t="shared" si="142"/>
        <v>0</v>
      </c>
      <c r="U570" s="61"/>
      <c r="V570" s="83">
        <v>0</v>
      </c>
      <c r="W570" s="61">
        <f t="shared" si="143"/>
        <v>0</v>
      </c>
      <c r="X570" s="171">
        <v>46246.899305555555</v>
      </c>
      <c r="Y570" s="171">
        <v>46246.954861111109</v>
      </c>
      <c r="Z570" s="168">
        <f t="shared" si="129"/>
        <v>5.5555555554747116E-2</v>
      </c>
      <c r="AA570" s="169">
        <f t="shared" si="130"/>
        <v>6.25E-2</v>
      </c>
      <c r="AB570" s="170" t="str">
        <f t="shared" si="131"/>
        <v>00:10:00</v>
      </c>
      <c r="AC570" s="170" t="b">
        <f t="shared" si="132"/>
        <v>1</v>
      </c>
    </row>
    <row r="571" spans="1:29" s="128" customFormat="1" ht="9.75" hidden="1" customHeight="1" x14ac:dyDescent="0.3">
      <c r="A571" s="99">
        <v>46246</v>
      </c>
      <c r="B571" s="59">
        <v>8167002</v>
      </c>
      <c r="C571" s="60" t="s">
        <v>54</v>
      </c>
      <c r="D571" s="60" t="s">
        <v>288</v>
      </c>
      <c r="E571" s="61">
        <v>0.875</v>
      </c>
      <c r="F571" s="60" t="s">
        <v>24</v>
      </c>
      <c r="G571" s="71" t="s">
        <v>13</v>
      </c>
      <c r="H571" s="62">
        <v>0.86319444444444449</v>
      </c>
      <c r="I571" s="113" t="str">
        <f t="shared" si="134"/>
        <v>12-08-2026T20:43:00</v>
      </c>
      <c r="J571" s="62">
        <v>0.93611111111111112</v>
      </c>
      <c r="K571" s="62"/>
      <c r="L571" s="63">
        <f t="shared" si="140"/>
        <v>7.291666666666663E-2</v>
      </c>
      <c r="M571" s="64">
        <v>8.3333333333333329E-2</v>
      </c>
      <c r="N571" s="65" t="str">
        <f t="shared" si="141"/>
        <v>00:15:00</v>
      </c>
      <c r="O571" s="66"/>
      <c r="P571" s="124"/>
      <c r="Q571" s="67"/>
      <c r="R571" s="68"/>
      <c r="S571" s="68"/>
      <c r="T571" s="69">
        <f t="shared" si="142"/>
        <v>0</v>
      </c>
      <c r="U571" s="61"/>
      <c r="V571" s="83">
        <v>0</v>
      </c>
      <c r="W571" s="61">
        <f t="shared" si="143"/>
        <v>0</v>
      </c>
      <c r="X571" s="171">
        <v>46246.863194444442</v>
      </c>
      <c r="Y571" s="171">
        <v>46246.936111111114</v>
      </c>
      <c r="Z571" s="168">
        <f t="shared" si="129"/>
        <v>7.2916666671517305E-2</v>
      </c>
      <c r="AA571" s="169">
        <f t="shared" si="130"/>
        <v>8.3333333333333329E-2</v>
      </c>
      <c r="AB571" s="170" t="str">
        <f t="shared" si="131"/>
        <v>00:15:00</v>
      </c>
      <c r="AC571" s="170" t="b">
        <f t="shared" si="132"/>
        <v>1</v>
      </c>
    </row>
    <row r="572" spans="1:29" s="128" customFormat="1" ht="9.75" hidden="1" customHeight="1" x14ac:dyDescent="0.3">
      <c r="A572" s="99">
        <v>46246</v>
      </c>
      <c r="B572" s="59">
        <v>8167322</v>
      </c>
      <c r="C572" s="60" t="s">
        <v>57</v>
      </c>
      <c r="D572" s="60" t="s">
        <v>370</v>
      </c>
      <c r="E572" s="61">
        <v>0.99930555555555556</v>
      </c>
      <c r="F572" s="60" t="s">
        <v>24</v>
      </c>
      <c r="G572" s="71" t="s">
        <v>13</v>
      </c>
      <c r="H572" s="62">
        <v>46246.989583333336</v>
      </c>
      <c r="I572" s="113" t="str">
        <f t="shared" si="134"/>
        <v>12-08-2026T23:45:00</v>
      </c>
      <c r="J572" s="62">
        <v>46247.060416666667</v>
      </c>
      <c r="K572" s="62"/>
      <c r="L572" s="63">
        <f t="shared" si="140"/>
        <v>7.0833333331393078E-2</v>
      </c>
      <c r="M572" s="64">
        <v>8.3333333333333329E-2</v>
      </c>
      <c r="N572" s="65" t="str">
        <f t="shared" si="141"/>
        <v>00:18:00</v>
      </c>
      <c r="O572" s="66"/>
      <c r="P572" s="124"/>
      <c r="Q572" s="67"/>
      <c r="R572" s="68"/>
      <c r="S572" s="68"/>
      <c r="T572" s="69">
        <f t="shared" si="142"/>
        <v>0</v>
      </c>
      <c r="U572" s="61"/>
      <c r="V572" s="83">
        <v>0</v>
      </c>
      <c r="W572" s="61">
        <f t="shared" si="143"/>
        <v>0</v>
      </c>
      <c r="X572" s="171">
        <v>46246.989583333336</v>
      </c>
      <c r="Y572" s="171">
        <v>46247.060416666667</v>
      </c>
      <c r="Z572" s="168">
        <f t="shared" ref="Z572:Z635" si="144">Y572-X572</f>
        <v>7.0833333331393078E-2</v>
      </c>
      <c r="AA572" s="169">
        <f t="shared" ref="AA572:AA635" si="145">M572</f>
        <v>8.3333333333333329E-2</v>
      </c>
      <c r="AB572" s="170" t="str">
        <f t="shared" ref="AB572:AB635" si="146">IF(AA572-Z572&gt;0,TEXT(AA572-Z572,"HH:MM:SS"),TEXT(ABS(AA572-Z572),"-HH:MM:SS"))</f>
        <v>00:18:00</v>
      </c>
      <c r="AC572" s="170" t="b">
        <f t="shared" ref="AC572:AC635" si="147">AB572=N572</f>
        <v>1</v>
      </c>
    </row>
    <row r="573" spans="1:29" s="128" customFormat="1" ht="9.75" hidden="1" customHeight="1" x14ac:dyDescent="0.3">
      <c r="A573" s="99">
        <v>46246</v>
      </c>
      <c r="B573" s="59">
        <v>8167277</v>
      </c>
      <c r="C573" s="60" t="s">
        <v>100</v>
      </c>
      <c r="D573" s="60" t="s">
        <v>391</v>
      </c>
      <c r="E573" s="61">
        <v>0.95833333333333337</v>
      </c>
      <c r="F573" s="60" t="s">
        <v>173</v>
      </c>
      <c r="G573" s="71" t="s">
        <v>13</v>
      </c>
      <c r="H573" s="62">
        <v>46246.959722222222</v>
      </c>
      <c r="I573" s="113" t="str">
        <f t="shared" si="134"/>
        <v>12-08-2026T23:02:00</v>
      </c>
      <c r="J573" s="62">
        <v>46248.831944444442</v>
      </c>
      <c r="K573" s="62"/>
      <c r="L573" s="63">
        <f t="shared" si="140"/>
        <v>1.8722222222204437</v>
      </c>
      <c r="M573" s="64">
        <v>1.9166666666666667</v>
      </c>
      <c r="N573" s="65" t="str">
        <f t="shared" si="141"/>
        <v>01:04:00</v>
      </c>
      <c r="O573" s="66"/>
      <c r="P573" s="124"/>
      <c r="Q573" s="67" t="s">
        <v>96</v>
      </c>
      <c r="R573" s="68">
        <v>46247.11041666667</v>
      </c>
      <c r="S573" s="68">
        <v>46247.157638888886</v>
      </c>
      <c r="T573" s="69">
        <f t="shared" si="142"/>
        <v>4.722222221607808E-2</v>
      </c>
      <c r="U573" s="61"/>
      <c r="V573" s="83">
        <v>8.3333333333333329E-2</v>
      </c>
      <c r="W573" s="61">
        <f t="shared" si="143"/>
        <v>-3.6111111117255248E-2</v>
      </c>
      <c r="X573" s="171">
        <v>46246.959722222222</v>
      </c>
      <c r="Y573" s="171">
        <v>46248.831944444442</v>
      </c>
      <c r="Z573" s="168">
        <f t="shared" si="144"/>
        <v>1.8722222222204437</v>
      </c>
      <c r="AA573" s="169">
        <f t="shared" si="145"/>
        <v>1.9166666666666667</v>
      </c>
      <c r="AB573" s="170" t="str">
        <f t="shared" si="146"/>
        <v>01:04:00</v>
      </c>
      <c r="AC573" s="170" t="b">
        <f t="shared" si="147"/>
        <v>1</v>
      </c>
    </row>
    <row r="574" spans="1:29" s="128" customFormat="1" ht="9.75" hidden="1" customHeight="1" x14ac:dyDescent="0.3">
      <c r="A574" s="99">
        <v>46246</v>
      </c>
      <c r="B574" s="59">
        <v>8167357</v>
      </c>
      <c r="C574" s="60" t="s">
        <v>52</v>
      </c>
      <c r="D574" s="60" t="s">
        <v>616</v>
      </c>
      <c r="E574" s="61">
        <v>0.99930555555555556</v>
      </c>
      <c r="F574" s="60" t="s">
        <v>15</v>
      </c>
      <c r="G574" s="71" t="s">
        <v>13</v>
      </c>
      <c r="H574" s="62">
        <v>46246.999305555553</v>
      </c>
      <c r="I574" s="113" t="str">
        <f t="shared" si="134"/>
        <v>12-08-2026T23:59:00</v>
      </c>
      <c r="J574" s="62">
        <v>46247.203472222223</v>
      </c>
      <c r="K574" s="62"/>
      <c r="L574" s="63">
        <f t="shared" si="140"/>
        <v>0.20416666667006211</v>
      </c>
      <c r="M574" s="64">
        <v>0.20833333333333334</v>
      </c>
      <c r="N574" s="65" t="str">
        <f t="shared" si="141"/>
        <v>00:06:00</v>
      </c>
      <c r="O574" s="66"/>
      <c r="P574" s="124"/>
      <c r="Q574" s="67"/>
      <c r="R574" s="68"/>
      <c r="S574" s="68"/>
      <c r="T574" s="69">
        <f t="shared" si="142"/>
        <v>0</v>
      </c>
      <c r="U574" s="61"/>
      <c r="V574" s="83">
        <v>0</v>
      </c>
      <c r="W574" s="61">
        <f t="shared" si="143"/>
        <v>0</v>
      </c>
      <c r="X574" s="171">
        <v>46246.999305555553</v>
      </c>
      <c r="Y574" s="171">
        <v>46247.203472222223</v>
      </c>
      <c r="Z574" s="168">
        <f t="shared" si="144"/>
        <v>0.20416666667006211</v>
      </c>
      <c r="AA574" s="169">
        <f t="shared" si="145"/>
        <v>0.20833333333333334</v>
      </c>
      <c r="AB574" s="170" t="str">
        <f t="shared" si="146"/>
        <v>00:06:00</v>
      </c>
      <c r="AC574" s="170" t="b">
        <f t="shared" si="147"/>
        <v>1</v>
      </c>
    </row>
    <row r="575" spans="1:29" s="144" customFormat="1" ht="9.75" hidden="1" customHeight="1" x14ac:dyDescent="0.3">
      <c r="A575" s="129">
        <v>46247</v>
      </c>
      <c r="B575" s="130">
        <v>8167444</v>
      </c>
      <c r="C575" s="131" t="s">
        <v>82</v>
      </c>
      <c r="D575" s="131" t="s">
        <v>333</v>
      </c>
      <c r="E575" s="132">
        <v>6.25E-2</v>
      </c>
      <c r="F575" s="131" t="s">
        <v>13</v>
      </c>
      <c r="G575" s="133" t="s">
        <v>26</v>
      </c>
      <c r="H575" s="134">
        <v>6.3888888888888884E-2</v>
      </c>
      <c r="I575" s="113" t="str">
        <f t="shared" si="134"/>
        <v>13-08-2026T01:32:00</v>
      </c>
      <c r="J575" s="134">
        <v>0.53263888888888888</v>
      </c>
      <c r="K575" s="134"/>
      <c r="L575" s="135">
        <f t="shared" si="140"/>
        <v>0.46875</v>
      </c>
      <c r="M575" s="136">
        <v>0.41666666666666669</v>
      </c>
      <c r="N575" s="137" t="str">
        <f t="shared" si="141"/>
        <v>-01:15:00</v>
      </c>
      <c r="O575" s="138"/>
      <c r="P575" s="145" t="s">
        <v>125</v>
      </c>
      <c r="Q575" s="140" t="s">
        <v>312</v>
      </c>
      <c r="R575" s="141">
        <v>0.25</v>
      </c>
      <c r="S575" s="141">
        <v>0.37152777777777779</v>
      </c>
      <c r="T575" s="142">
        <f t="shared" si="142"/>
        <v>0.12152777777777779</v>
      </c>
      <c r="U575" s="132"/>
      <c r="V575" s="143">
        <v>0</v>
      </c>
      <c r="W575" s="132">
        <f t="shared" si="143"/>
        <v>0.12152777777777779</v>
      </c>
      <c r="X575" s="171">
        <v>46247.063888888886</v>
      </c>
      <c r="Y575" s="171">
        <v>46247.532638888886</v>
      </c>
      <c r="Z575" s="168">
        <f t="shared" si="144"/>
        <v>0.46875</v>
      </c>
      <c r="AA575" s="169">
        <f t="shared" si="145"/>
        <v>0.41666666666666669</v>
      </c>
      <c r="AB575" s="170" t="str">
        <f t="shared" si="146"/>
        <v>-01:15:00</v>
      </c>
      <c r="AC575" s="170" t="b">
        <f t="shared" si="147"/>
        <v>1</v>
      </c>
    </row>
    <row r="576" spans="1:29" s="128" customFormat="1" ht="9.75" hidden="1" customHeight="1" x14ac:dyDescent="0.3">
      <c r="A576" s="99">
        <v>46247</v>
      </c>
      <c r="B576" s="59">
        <v>8167483</v>
      </c>
      <c r="C576" s="60" t="s">
        <v>53</v>
      </c>
      <c r="D576" s="60" t="s">
        <v>298</v>
      </c>
      <c r="E576" s="61">
        <v>8.3333333333333329E-2</v>
      </c>
      <c r="F576" s="60" t="s">
        <v>13</v>
      </c>
      <c r="G576" s="71" t="s">
        <v>19</v>
      </c>
      <c r="H576" s="62">
        <v>8.2638888888888887E-2</v>
      </c>
      <c r="I576" s="113" t="str">
        <f t="shared" si="134"/>
        <v>13-08-2026T01:59:00</v>
      </c>
      <c r="J576" s="62">
        <v>0.49791666666666667</v>
      </c>
      <c r="K576" s="62"/>
      <c r="L576" s="63">
        <f t="shared" si="140"/>
        <v>0.4152777777777778</v>
      </c>
      <c r="M576" s="64">
        <v>0.41666666666666669</v>
      </c>
      <c r="N576" s="65" t="str">
        <f t="shared" si="141"/>
        <v>00:02:00</v>
      </c>
      <c r="O576" s="66"/>
      <c r="P576" s="124" t="s">
        <v>577</v>
      </c>
      <c r="Q576" s="67" t="s">
        <v>229</v>
      </c>
      <c r="R576" s="68">
        <v>0.37152777777777779</v>
      </c>
      <c r="S576" s="68">
        <v>0.39583333333333331</v>
      </c>
      <c r="T576" s="69">
        <f t="shared" si="142"/>
        <v>2.4305555555555525E-2</v>
      </c>
      <c r="U576" s="61"/>
      <c r="V576" s="83">
        <v>6.25E-2</v>
      </c>
      <c r="W576" s="61">
        <f t="shared" si="143"/>
        <v>-3.8194444444444475E-2</v>
      </c>
      <c r="X576" s="171">
        <v>46247.082638888889</v>
      </c>
      <c r="Y576" s="171">
        <v>46247.497916666667</v>
      </c>
      <c r="Z576" s="168">
        <f t="shared" si="144"/>
        <v>0.41527777777810115</v>
      </c>
      <c r="AA576" s="169">
        <f t="shared" si="145"/>
        <v>0.41666666666666669</v>
      </c>
      <c r="AB576" s="170" t="str">
        <f t="shared" si="146"/>
        <v>00:02:00</v>
      </c>
      <c r="AC576" s="170" t="b">
        <f t="shared" si="147"/>
        <v>1</v>
      </c>
    </row>
    <row r="577" spans="1:29" s="128" customFormat="1" ht="9.75" hidden="1" customHeight="1" x14ac:dyDescent="0.3">
      <c r="A577" s="99">
        <v>46247</v>
      </c>
      <c r="B577" s="59">
        <v>8167476</v>
      </c>
      <c r="C577" s="60" t="s">
        <v>16</v>
      </c>
      <c r="D577" s="60" t="s">
        <v>285</v>
      </c>
      <c r="E577" s="61">
        <v>8.3333333333333329E-2</v>
      </c>
      <c r="F577" s="60" t="s">
        <v>15</v>
      </c>
      <c r="G577" s="71" t="s">
        <v>17</v>
      </c>
      <c r="H577" s="62">
        <v>8.1944444444444445E-2</v>
      </c>
      <c r="I577" s="113" t="str">
        <f t="shared" si="134"/>
        <v>13-08-2026T01:58:00</v>
      </c>
      <c r="J577" s="62">
        <v>0.48680555555555555</v>
      </c>
      <c r="K577" s="62"/>
      <c r="L577" s="63">
        <f t="shared" si="140"/>
        <v>0.40486111111111112</v>
      </c>
      <c r="M577" s="64">
        <v>0.41666666666666669</v>
      </c>
      <c r="N577" s="65" t="str">
        <f t="shared" si="141"/>
        <v>00:17:00</v>
      </c>
      <c r="O577" s="66"/>
      <c r="P577" s="124"/>
      <c r="Q577" s="67"/>
      <c r="R577" s="68"/>
      <c r="S577" s="68"/>
      <c r="T577" s="69">
        <f t="shared" si="142"/>
        <v>0</v>
      </c>
      <c r="U577" s="61"/>
      <c r="V577" s="83">
        <v>0</v>
      </c>
      <c r="W577" s="61">
        <f t="shared" si="143"/>
        <v>0</v>
      </c>
      <c r="X577" s="171">
        <v>8.1944444444444445E-2</v>
      </c>
      <c r="Y577" s="171">
        <v>0.48680555555555555</v>
      </c>
      <c r="Z577" s="168">
        <f t="shared" si="144"/>
        <v>0.40486111111111112</v>
      </c>
      <c r="AA577" s="169">
        <f t="shared" si="145"/>
        <v>0.41666666666666669</v>
      </c>
      <c r="AB577" s="170" t="str">
        <f t="shared" si="146"/>
        <v>00:17:00</v>
      </c>
      <c r="AC577" s="170" t="b">
        <f t="shared" si="147"/>
        <v>1</v>
      </c>
    </row>
    <row r="578" spans="1:29" s="128" customFormat="1" ht="9.75" hidden="1" customHeight="1" x14ac:dyDescent="0.3">
      <c r="A578" s="99">
        <v>46247</v>
      </c>
      <c r="B578" s="59">
        <v>8167573</v>
      </c>
      <c r="C578" s="60" t="s">
        <v>87</v>
      </c>
      <c r="D578" s="60" t="s">
        <v>367</v>
      </c>
      <c r="E578" s="61">
        <v>0.125</v>
      </c>
      <c r="F578" s="60" t="s">
        <v>13</v>
      </c>
      <c r="G578" s="71" t="s">
        <v>284</v>
      </c>
      <c r="H578" s="62">
        <v>0.125</v>
      </c>
      <c r="I578" s="113" t="str">
        <f t="shared" si="134"/>
        <v>13-08-2026T03:00:00</v>
      </c>
      <c r="J578" s="62">
        <v>0.47083333333333333</v>
      </c>
      <c r="K578" s="62"/>
      <c r="L578" s="63">
        <f t="shared" si="140"/>
        <v>0.34583333333333333</v>
      </c>
      <c r="M578" s="64">
        <v>0.35416666666666669</v>
      </c>
      <c r="N578" s="65" t="str">
        <f t="shared" si="141"/>
        <v>00:12:00</v>
      </c>
      <c r="O578" s="66"/>
      <c r="P578" s="124"/>
      <c r="Q578" s="67" t="s">
        <v>174</v>
      </c>
      <c r="R578" s="68">
        <v>0.375</v>
      </c>
      <c r="S578" s="68">
        <v>0.41458333333333336</v>
      </c>
      <c r="T578" s="69">
        <f t="shared" si="142"/>
        <v>3.9583333333333359E-2</v>
      </c>
      <c r="U578" s="61" t="s">
        <v>234</v>
      </c>
      <c r="V578" s="83">
        <v>6.25E-2</v>
      </c>
      <c r="W578" s="61">
        <f t="shared" si="143"/>
        <v>-2.2916666666666641E-2</v>
      </c>
      <c r="X578" s="171">
        <v>46247.125</v>
      </c>
      <c r="Y578" s="171">
        <v>46247.470833333333</v>
      </c>
      <c r="Z578" s="168">
        <f t="shared" si="144"/>
        <v>0.34583333333284827</v>
      </c>
      <c r="AA578" s="169">
        <f t="shared" si="145"/>
        <v>0.35416666666666669</v>
      </c>
      <c r="AB578" s="170" t="str">
        <f t="shared" si="146"/>
        <v>00:12:00</v>
      </c>
      <c r="AC578" s="170" t="b">
        <f t="shared" si="147"/>
        <v>1</v>
      </c>
    </row>
    <row r="579" spans="1:29" s="128" customFormat="1" ht="9.75" hidden="1" customHeight="1" x14ac:dyDescent="0.3">
      <c r="A579" s="99">
        <v>46247</v>
      </c>
      <c r="B579" s="59">
        <v>8167567</v>
      </c>
      <c r="C579" s="60" t="s">
        <v>41</v>
      </c>
      <c r="D579" s="60" t="s">
        <v>299</v>
      </c>
      <c r="E579" s="61">
        <v>0.125</v>
      </c>
      <c r="F579" s="60" t="s">
        <v>24</v>
      </c>
      <c r="G579" s="71" t="s">
        <v>13</v>
      </c>
      <c r="H579" s="62">
        <v>0.12361111111111112</v>
      </c>
      <c r="I579" s="113" t="str">
        <f t="shared" si="134"/>
        <v>13-08-2026T02:58:00</v>
      </c>
      <c r="J579" s="62">
        <v>0.20277777777777778</v>
      </c>
      <c r="K579" s="62"/>
      <c r="L579" s="63">
        <f t="shared" si="140"/>
        <v>7.9166666666666663E-2</v>
      </c>
      <c r="M579" s="64">
        <v>8.3333333333333329E-2</v>
      </c>
      <c r="N579" s="65" t="str">
        <f t="shared" si="141"/>
        <v>00:06:00</v>
      </c>
      <c r="O579" s="66"/>
      <c r="P579" s="124"/>
      <c r="Q579" s="67"/>
      <c r="R579" s="68"/>
      <c r="S579" s="68"/>
      <c r="T579" s="69">
        <f t="shared" si="142"/>
        <v>0</v>
      </c>
      <c r="U579" s="61"/>
      <c r="V579" s="83">
        <v>0</v>
      </c>
      <c r="W579" s="61">
        <f t="shared" si="143"/>
        <v>0</v>
      </c>
      <c r="X579" s="171">
        <v>46247.123611111114</v>
      </c>
      <c r="Y579" s="171">
        <v>46247.202777777777</v>
      </c>
      <c r="Z579" s="168">
        <f t="shared" si="144"/>
        <v>7.9166666662786156E-2</v>
      </c>
      <c r="AA579" s="169">
        <f t="shared" si="145"/>
        <v>8.3333333333333329E-2</v>
      </c>
      <c r="AB579" s="170" t="str">
        <f t="shared" si="146"/>
        <v>00:06:00</v>
      </c>
      <c r="AC579" s="170" t="b">
        <f t="shared" si="147"/>
        <v>1</v>
      </c>
    </row>
    <row r="580" spans="1:29" s="128" customFormat="1" ht="9.75" hidden="1" customHeight="1" x14ac:dyDescent="0.3">
      <c r="A580" s="99">
        <v>46247</v>
      </c>
      <c r="B580" s="59">
        <v>8167680</v>
      </c>
      <c r="C580" s="60" t="s">
        <v>54</v>
      </c>
      <c r="D580" s="60" t="s">
        <v>288</v>
      </c>
      <c r="E580" s="61">
        <v>0.16666666666666666</v>
      </c>
      <c r="F580" s="60" t="s">
        <v>13</v>
      </c>
      <c r="G580" s="71" t="s">
        <v>24</v>
      </c>
      <c r="H580" s="62">
        <v>0.16388888888888889</v>
      </c>
      <c r="I580" s="113" t="str">
        <f t="shared" ref="I580:I643" si="148">TEXT(A580,"dd-mm-yyyy")&amp;"T"&amp;TEXT(H580,"hh:mm:ss")</f>
        <v>13-08-2026T03:56:00</v>
      </c>
      <c r="J580" s="62">
        <v>0.2388888888888889</v>
      </c>
      <c r="K580" s="62"/>
      <c r="L580" s="63">
        <f t="shared" si="140"/>
        <v>7.5000000000000011E-2</v>
      </c>
      <c r="M580" s="64">
        <v>8.3333333333333329E-2</v>
      </c>
      <c r="N580" s="65" t="str">
        <f t="shared" si="141"/>
        <v>00:12:00</v>
      </c>
      <c r="O580" s="66"/>
      <c r="P580" s="124"/>
      <c r="Q580" s="67"/>
      <c r="R580" s="68"/>
      <c r="S580" s="68"/>
      <c r="T580" s="69">
        <f t="shared" si="142"/>
        <v>0</v>
      </c>
      <c r="U580" s="61"/>
      <c r="V580" s="83">
        <v>0</v>
      </c>
      <c r="W580" s="61">
        <f t="shared" si="143"/>
        <v>0</v>
      </c>
      <c r="X580" s="171">
        <v>46247.163888888892</v>
      </c>
      <c r="Y580" s="171">
        <v>46247.238888888889</v>
      </c>
      <c r="Z580" s="168">
        <f t="shared" si="144"/>
        <v>7.4999999997089617E-2</v>
      </c>
      <c r="AA580" s="169">
        <f t="shared" si="145"/>
        <v>8.3333333333333329E-2</v>
      </c>
      <c r="AB580" s="170" t="str">
        <f t="shared" si="146"/>
        <v>00:12:00</v>
      </c>
      <c r="AC580" s="170" t="b">
        <f t="shared" si="147"/>
        <v>1</v>
      </c>
    </row>
    <row r="581" spans="1:29" s="128" customFormat="1" ht="9.75" hidden="1" customHeight="1" x14ac:dyDescent="0.3">
      <c r="A581" s="99">
        <v>46247</v>
      </c>
      <c r="B581" s="59">
        <v>8167732</v>
      </c>
      <c r="C581" s="60" t="s">
        <v>27</v>
      </c>
      <c r="D581" s="60" t="s">
        <v>378</v>
      </c>
      <c r="E581" s="61">
        <v>0.16666666666666666</v>
      </c>
      <c r="F581" s="60" t="s">
        <v>13</v>
      </c>
      <c r="G581" s="71" t="s">
        <v>28</v>
      </c>
      <c r="H581" s="62">
        <v>0.17499999999999999</v>
      </c>
      <c r="I581" s="113" t="str">
        <f t="shared" si="148"/>
        <v>13-08-2026T04:12:00</v>
      </c>
      <c r="J581" s="62">
        <v>0.34027777777777779</v>
      </c>
      <c r="K581" s="62"/>
      <c r="L581" s="63">
        <f t="shared" si="140"/>
        <v>0.1652777777777778</v>
      </c>
      <c r="M581" s="64">
        <v>0.16666666666666666</v>
      </c>
      <c r="N581" s="65" t="str">
        <f t="shared" si="141"/>
        <v>00:02:00</v>
      </c>
      <c r="O581" s="66"/>
      <c r="P581" s="124"/>
      <c r="Q581" s="67"/>
      <c r="R581" s="68"/>
      <c r="S581" s="68"/>
      <c r="T581" s="69">
        <f t="shared" si="142"/>
        <v>0</v>
      </c>
      <c r="U581" s="61" t="s">
        <v>234</v>
      </c>
      <c r="V581" s="83">
        <v>0</v>
      </c>
      <c r="W581" s="61">
        <f t="shared" si="143"/>
        <v>0</v>
      </c>
      <c r="X581" s="171">
        <v>46247.175000000003</v>
      </c>
      <c r="Y581" s="171">
        <v>46247.340277777781</v>
      </c>
      <c r="Z581" s="168">
        <f t="shared" si="144"/>
        <v>0.16527777777810115</v>
      </c>
      <c r="AA581" s="169">
        <f t="shared" si="145"/>
        <v>0.16666666666666666</v>
      </c>
      <c r="AB581" s="170" t="str">
        <f t="shared" si="146"/>
        <v>00:02:00</v>
      </c>
      <c r="AC581" s="170" t="b">
        <f t="shared" si="147"/>
        <v>1</v>
      </c>
    </row>
    <row r="582" spans="1:29" ht="9.75" hidden="1" customHeight="1" x14ac:dyDescent="0.3">
      <c r="A582" s="149">
        <v>46246</v>
      </c>
      <c r="B582" s="150" t="s">
        <v>667</v>
      </c>
      <c r="C582" s="151" t="s">
        <v>29</v>
      </c>
      <c r="D582" s="151" t="s">
        <v>373</v>
      </c>
      <c r="E582" s="152">
        <v>0</v>
      </c>
      <c r="F582" s="151"/>
      <c r="G582" s="153"/>
      <c r="H582" s="154">
        <v>0</v>
      </c>
      <c r="I582" s="113" t="str">
        <f t="shared" si="148"/>
        <v>12-08-2026T00:00:00</v>
      </c>
      <c r="J582" s="154">
        <v>0</v>
      </c>
      <c r="K582" s="154"/>
      <c r="L582" s="155">
        <v>0</v>
      </c>
      <c r="M582" s="160">
        <v>0</v>
      </c>
      <c r="N582" s="156">
        <v>0</v>
      </c>
      <c r="O582" s="157"/>
      <c r="P582" s="158" t="s">
        <v>480</v>
      </c>
      <c r="Q582" s="159" t="s">
        <v>480</v>
      </c>
      <c r="R582" s="148" t="s">
        <v>480</v>
      </c>
      <c r="S582" s="148" t="s">
        <v>480</v>
      </c>
      <c r="T582" s="161" t="s">
        <v>480</v>
      </c>
      <c r="U582" s="152" t="s">
        <v>480</v>
      </c>
      <c r="V582" s="146" t="s">
        <v>480</v>
      </c>
      <c r="W582" s="152" t="s">
        <v>480</v>
      </c>
      <c r="X582" s="171" t="s">
        <v>668</v>
      </c>
      <c r="Y582" s="171" t="s">
        <v>668</v>
      </c>
      <c r="Z582" s="168" t="e">
        <f t="shared" si="144"/>
        <v>#VALUE!</v>
      </c>
      <c r="AA582" s="169">
        <f t="shared" si="145"/>
        <v>0</v>
      </c>
      <c r="AB582" s="170" t="e">
        <f t="shared" si="146"/>
        <v>#VALUE!</v>
      </c>
      <c r="AC582" s="170" t="e">
        <f t="shared" si="147"/>
        <v>#VALUE!</v>
      </c>
    </row>
    <row r="583" spans="1:29" s="128" customFormat="1" ht="9.75" hidden="1" customHeight="1" x14ac:dyDescent="0.3">
      <c r="A583" s="99">
        <v>46247</v>
      </c>
      <c r="B583" s="59">
        <v>8167685</v>
      </c>
      <c r="C583" s="60" t="s">
        <v>29</v>
      </c>
      <c r="D583" s="60" t="s">
        <v>373</v>
      </c>
      <c r="E583" s="61">
        <v>0.16666666666666666</v>
      </c>
      <c r="F583" s="60" t="s">
        <v>17</v>
      </c>
      <c r="G583" s="71" t="s">
        <v>15</v>
      </c>
      <c r="H583" s="62">
        <v>0.16527777777777777</v>
      </c>
      <c r="I583" s="113" t="str">
        <f t="shared" si="148"/>
        <v>13-08-2026T03:58:00</v>
      </c>
      <c r="J583" s="62">
        <v>0.64930555555555558</v>
      </c>
      <c r="K583" s="62"/>
      <c r="L583" s="63">
        <f t="shared" ref="L583:L621" si="149">J583-H583</f>
        <v>0.48402777777777783</v>
      </c>
      <c r="M583" s="64">
        <v>0.5</v>
      </c>
      <c r="N583" s="65" t="str">
        <f t="shared" ref="N583:N621" si="150">IF(M583-L583&gt;0,TEXT(M583-L583,"HH:MM:SS"),TEXT(ABS(M583-L583),"-HH:MM:SS"))</f>
        <v>00:23:00</v>
      </c>
      <c r="O583" s="66"/>
      <c r="P583" s="124"/>
      <c r="Q583" s="67" t="s">
        <v>98</v>
      </c>
      <c r="R583" s="68">
        <v>0.375</v>
      </c>
      <c r="S583" s="68">
        <v>0.45694444444444443</v>
      </c>
      <c r="T583" s="69">
        <f t="shared" ref="T583:T617" si="151">S583-R583</f>
        <v>8.1944444444444431E-2</v>
      </c>
      <c r="U583" s="61"/>
      <c r="V583" s="83">
        <v>8.3333333333333329E-2</v>
      </c>
      <c r="W583" s="61">
        <f t="shared" ref="W583:W621" si="152">T583-V583</f>
        <v>-1.3888888888888978E-3</v>
      </c>
      <c r="X583" s="171">
        <v>0.16527777777777777</v>
      </c>
      <c r="Y583" s="171">
        <v>0.64930555555555558</v>
      </c>
      <c r="Z583" s="168">
        <f t="shared" si="144"/>
        <v>0.48402777777777783</v>
      </c>
      <c r="AA583" s="169">
        <f t="shared" si="145"/>
        <v>0.5</v>
      </c>
      <c r="AB583" s="170" t="str">
        <f t="shared" si="146"/>
        <v>00:23:00</v>
      </c>
      <c r="AC583" s="170" t="b">
        <f t="shared" si="147"/>
        <v>1</v>
      </c>
    </row>
    <row r="584" spans="1:29" s="127" customFormat="1" ht="9.75" hidden="1" customHeight="1" x14ac:dyDescent="0.3">
      <c r="A584" s="98">
        <v>46247</v>
      </c>
      <c r="B584" s="48">
        <v>8167629</v>
      </c>
      <c r="C584" s="49" t="s">
        <v>30</v>
      </c>
      <c r="D584" s="49" t="s">
        <v>286</v>
      </c>
      <c r="E584" s="50">
        <v>0.16666666666666666</v>
      </c>
      <c r="F584" s="49" t="s">
        <v>31</v>
      </c>
      <c r="G584" s="70" t="s">
        <v>13</v>
      </c>
      <c r="H584" s="51">
        <v>0.14791666666666667</v>
      </c>
      <c r="I584" s="113" t="str">
        <f t="shared" si="148"/>
        <v>13-08-2026T03:33:00</v>
      </c>
      <c r="J584" s="51">
        <v>0.86944444444444446</v>
      </c>
      <c r="K584" s="51"/>
      <c r="L584" s="52">
        <f t="shared" si="149"/>
        <v>0.72152777777777777</v>
      </c>
      <c r="M584" s="53">
        <v>0.70833333333333337</v>
      </c>
      <c r="N584" s="54" t="str">
        <f t="shared" si="150"/>
        <v>-00:19:00</v>
      </c>
      <c r="O584" s="55">
        <v>200</v>
      </c>
      <c r="P584" s="147" t="s">
        <v>125</v>
      </c>
      <c r="Q584" s="56" t="s">
        <v>13</v>
      </c>
      <c r="R584" s="57">
        <v>46247.761111111111</v>
      </c>
      <c r="S584" s="57">
        <v>46247.861111111109</v>
      </c>
      <c r="T584" s="47">
        <f t="shared" si="151"/>
        <v>9.9999999998544808E-2</v>
      </c>
      <c r="U584" s="50"/>
      <c r="V584" s="74">
        <v>8.3333333333333329E-2</v>
      </c>
      <c r="W584" s="50">
        <f t="shared" si="152"/>
        <v>1.666666666521148E-2</v>
      </c>
      <c r="X584" s="171">
        <v>46247.147916666669</v>
      </c>
      <c r="Y584" s="171">
        <v>46247.869444444441</v>
      </c>
      <c r="Z584" s="168">
        <f t="shared" si="144"/>
        <v>0.72152777777228039</v>
      </c>
      <c r="AA584" s="169">
        <f t="shared" si="145"/>
        <v>0.70833333333333337</v>
      </c>
      <c r="AB584" s="170" t="str">
        <f t="shared" si="146"/>
        <v>-00:19:00</v>
      </c>
      <c r="AC584" s="170" t="b">
        <f t="shared" si="147"/>
        <v>1</v>
      </c>
    </row>
    <row r="585" spans="1:29" s="127" customFormat="1" ht="9.75" hidden="1" customHeight="1" x14ac:dyDescent="0.3">
      <c r="A585" s="98">
        <v>46247</v>
      </c>
      <c r="B585" s="48">
        <v>8167688</v>
      </c>
      <c r="C585" s="49" t="s">
        <v>37</v>
      </c>
      <c r="D585" s="49" t="s">
        <v>578</v>
      </c>
      <c r="E585" s="50">
        <v>0.16666666666666666</v>
      </c>
      <c r="F585" s="49" t="s">
        <v>13</v>
      </c>
      <c r="G585" s="70" t="s">
        <v>14</v>
      </c>
      <c r="H585" s="51">
        <v>0.16597222222222222</v>
      </c>
      <c r="I585" s="113" t="str">
        <f t="shared" si="148"/>
        <v>13-08-2026T03:59:00</v>
      </c>
      <c r="J585" s="51">
        <v>0.76944444444444449</v>
      </c>
      <c r="K585" s="51"/>
      <c r="L585" s="52">
        <f t="shared" si="149"/>
        <v>0.6034722222222223</v>
      </c>
      <c r="M585" s="53">
        <v>0.54166666666666663</v>
      </c>
      <c r="N585" s="54" t="str">
        <f t="shared" si="150"/>
        <v>-01:29:00</v>
      </c>
      <c r="O585" s="55">
        <v>400</v>
      </c>
      <c r="P585" s="147" t="s">
        <v>601</v>
      </c>
      <c r="Q585" s="56"/>
      <c r="R585" s="57"/>
      <c r="S585" s="57"/>
      <c r="T585" s="58">
        <f t="shared" si="151"/>
        <v>0</v>
      </c>
      <c r="U585" s="50"/>
      <c r="V585" s="74">
        <v>0</v>
      </c>
      <c r="W585" s="50">
        <f t="shared" si="152"/>
        <v>0</v>
      </c>
      <c r="X585" s="171">
        <v>46247.165972222225</v>
      </c>
      <c r="Y585" s="171">
        <v>46247.769444444442</v>
      </c>
      <c r="Z585" s="168">
        <f t="shared" si="144"/>
        <v>0.60347222221753327</v>
      </c>
      <c r="AA585" s="169">
        <f t="shared" si="145"/>
        <v>0.54166666666666663</v>
      </c>
      <c r="AB585" s="170" t="str">
        <f t="shared" si="146"/>
        <v>-01:29:00</v>
      </c>
      <c r="AC585" s="170" t="b">
        <f t="shared" si="147"/>
        <v>1</v>
      </c>
    </row>
    <row r="586" spans="1:29" s="128" customFormat="1" ht="9.75" hidden="1" customHeight="1" x14ac:dyDescent="0.3">
      <c r="A586" s="99">
        <v>46247</v>
      </c>
      <c r="B586" s="59">
        <v>8167867</v>
      </c>
      <c r="C586" s="60" t="s">
        <v>32</v>
      </c>
      <c r="D586" s="60" t="s">
        <v>476</v>
      </c>
      <c r="E586" s="61">
        <v>0.20833333333333334</v>
      </c>
      <c r="F586" s="60" t="s">
        <v>13</v>
      </c>
      <c r="G586" s="71" t="s">
        <v>287</v>
      </c>
      <c r="H586" s="62">
        <v>0.20833333333333334</v>
      </c>
      <c r="I586" s="113" t="str">
        <f t="shared" si="148"/>
        <v>13-08-2026T05:00:00</v>
      </c>
      <c r="J586" s="62">
        <v>0.34722222222222221</v>
      </c>
      <c r="K586" s="62"/>
      <c r="L586" s="63">
        <f t="shared" si="149"/>
        <v>0.13888888888888887</v>
      </c>
      <c r="M586" s="64">
        <v>0.14583333333333334</v>
      </c>
      <c r="N586" s="65" t="str">
        <f t="shared" si="150"/>
        <v>00:10:00</v>
      </c>
      <c r="O586" s="66"/>
      <c r="P586" s="124"/>
      <c r="Q586" s="67"/>
      <c r="R586" s="68"/>
      <c r="S586" s="68"/>
      <c r="T586" s="69">
        <f t="shared" si="151"/>
        <v>0</v>
      </c>
      <c r="U586" s="61" t="s">
        <v>234</v>
      </c>
      <c r="V586" s="83">
        <v>0</v>
      </c>
      <c r="W586" s="61">
        <f t="shared" si="152"/>
        <v>0</v>
      </c>
      <c r="X586" s="171">
        <v>46247.208333333336</v>
      </c>
      <c r="Y586" s="171">
        <v>46247.347222222219</v>
      </c>
      <c r="Z586" s="168">
        <f t="shared" si="144"/>
        <v>0.13888888888322981</v>
      </c>
      <c r="AA586" s="169">
        <f t="shared" si="145"/>
        <v>0.14583333333333334</v>
      </c>
      <c r="AB586" s="170" t="str">
        <f t="shared" si="146"/>
        <v>00:10:00</v>
      </c>
      <c r="AC586" s="170" t="b">
        <f t="shared" si="147"/>
        <v>1</v>
      </c>
    </row>
    <row r="587" spans="1:29" s="127" customFormat="1" ht="9.75" hidden="1" customHeight="1" x14ac:dyDescent="0.3">
      <c r="A587" s="98">
        <v>46247</v>
      </c>
      <c r="B587" s="48">
        <v>8167776</v>
      </c>
      <c r="C587" s="49" t="s">
        <v>25</v>
      </c>
      <c r="D587" s="49" t="s">
        <v>477</v>
      </c>
      <c r="E587" s="50">
        <v>0.20833333333333334</v>
      </c>
      <c r="F587" s="49" t="s">
        <v>26</v>
      </c>
      <c r="G587" s="70" t="s">
        <v>13</v>
      </c>
      <c r="H587" s="51">
        <v>0.18888888888888888</v>
      </c>
      <c r="I587" s="113" t="str">
        <f t="shared" si="148"/>
        <v>13-08-2026T04:32:00</v>
      </c>
      <c r="J587" s="51">
        <v>0.67013888888888884</v>
      </c>
      <c r="K587" s="51"/>
      <c r="L587" s="52">
        <f t="shared" si="149"/>
        <v>0.48124999999999996</v>
      </c>
      <c r="M587" s="53">
        <v>0.45833333333333331</v>
      </c>
      <c r="N587" s="54" t="str">
        <f t="shared" si="150"/>
        <v>-00:33:00</v>
      </c>
      <c r="O587" s="55">
        <v>250</v>
      </c>
      <c r="P587" s="147" t="s">
        <v>455</v>
      </c>
      <c r="Q587" s="56" t="s">
        <v>13</v>
      </c>
      <c r="R587" s="57">
        <v>0.57777777777777772</v>
      </c>
      <c r="S587" s="57">
        <v>0.625</v>
      </c>
      <c r="T587" s="58">
        <f t="shared" si="151"/>
        <v>4.7222222222222276E-2</v>
      </c>
      <c r="U587" s="50"/>
      <c r="V587" s="74">
        <v>8.3333333333333329E-2</v>
      </c>
      <c r="W587" s="50">
        <f t="shared" si="152"/>
        <v>-3.6111111111111052E-2</v>
      </c>
      <c r="X587" s="171">
        <v>46247.188888888886</v>
      </c>
      <c r="Y587" s="171">
        <v>46247.670138888891</v>
      </c>
      <c r="Z587" s="168">
        <f t="shared" si="144"/>
        <v>0.48125000000436557</v>
      </c>
      <c r="AA587" s="169">
        <f t="shared" si="145"/>
        <v>0.45833333333333331</v>
      </c>
      <c r="AB587" s="170" t="str">
        <f t="shared" si="146"/>
        <v>-00:33:00</v>
      </c>
      <c r="AC587" s="170" t="b">
        <f t="shared" si="147"/>
        <v>1</v>
      </c>
    </row>
    <row r="588" spans="1:29" s="128" customFormat="1" ht="9.75" hidden="1" customHeight="1" x14ac:dyDescent="0.3">
      <c r="A588" s="99">
        <v>46247</v>
      </c>
      <c r="B588" s="59">
        <v>8168078</v>
      </c>
      <c r="C588" s="60" t="s">
        <v>89</v>
      </c>
      <c r="D588" s="60" t="s">
        <v>294</v>
      </c>
      <c r="E588" s="61">
        <v>0.25</v>
      </c>
      <c r="F588" s="60" t="s">
        <v>13</v>
      </c>
      <c r="G588" s="71" t="s">
        <v>35</v>
      </c>
      <c r="H588" s="62">
        <v>0.25208333333333333</v>
      </c>
      <c r="I588" s="113" t="str">
        <f t="shared" si="148"/>
        <v>13-08-2026T06:03:00</v>
      </c>
      <c r="J588" s="62">
        <v>0.29166666666666669</v>
      </c>
      <c r="K588" s="62"/>
      <c r="L588" s="63">
        <f t="shared" si="149"/>
        <v>3.9583333333333359E-2</v>
      </c>
      <c r="M588" s="64">
        <v>4.1666666666666664E-2</v>
      </c>
      <c r="N588" s="65" t="str">
        <f t="shared" si="150"/>
        <v>00:03:00</v>
      </c>
      <c r="O588" s="66"/>
      <c r="P588" s="124"/>
      <c r="Q588" s="67"/>
      <c r="R588" s="68"/>
      <c r="S588" s="68"/>
      <c r="T588" s="69">
        <f t="shared" si="151"/>
        <v>0</v>
      </c>
      <c r="U588" s="61" t="s">
        <v>234</v>
      </c>
      <c r="V588" s="83">
        <v>0</v>
      </c>
      <c r="W588" s="61">
        <f t="shared" si="152"/>
        <v>0</v>
      </c>
      <c r="X588" s="171">
        <v>46247.252083333333</v>
      </c>
      <c r="Y588" s="171">
        <v>46247.291666666664</v>
      </c>
      <c r="Z588" s="168">
        <f t="shared" si="144"/>
        <v>3.9583333331393078E-2</v>
      </c>
      <c r="AA588" s="169">
        <f t="shared" si="145"/>
        <v>4.1666666666666664E-2</v>
      </c>
      <c r="AB588" s="170" t="str">
        <f t="shared" si="146"/>
        <v>00:03:00</v>
      </c>
      <c r="AC588" s="170" t="b">
        <f t="shared" si="147"/>
        <v>1</v>
      </c>
    </row>
    <row r="589" spans="1:29" s="127" customFormat="1" ht="9.75" hidden="1" customHeight="1" x14ac:dyDescent="0.3">
      <c r="A589" s="98">
        <v>46247</v>
      </c>
      <c r="B589" s="48">
        <v>8168027</v>
      </c>
      <c r="C589" s="49" t="s">
        <v>36</v>
      </c>
      <c r="D589" s="49" t="s">
        <v>300</v>
      </c>
      <c r="E589" s="50">
        <v>0.27083333333333331</v>
      </c>
      <c r="F589" s="49" t="s">
        <v>14</v>
      </c>
      <c r="G589" s="70" t="s">
        <v>13</v>
      </c>
      <c r="H589" s="51">
        <v>0.24652777777777779</v>
      </c>
      <c r="I589" s="113" t="str">
        <f t="shared" si="148"/>
        <v>13-08-2026T05:55:00</v>
      </c>
      <c r="J589" s="51">
        <v>0.81111111111111112</v>
      </c>
      <c r="K589" s="51"/>
      <c r="L589" s="52">
        <f t="shared" si="149"/>
        <v>0.56458333333333333</v>
      </c>
      <c r="M589" s="53">
        <v>0.54166666666666663</v>
      </c>
      <c r="N589" s="54" t="str">
        <f t="shared" si="150"/>
        <v>-00:33:00</v>
      </c>
      <c r="O589" s="55">
        <v>250</v>
      </c>
      <c r="P589" s="147" t="s">
        <v>579</v>
      </c>
      <c r="Q589" s="56"/>
      <c r="R589" s="57"/>
      <c r="S589" s="57"/>
      <c r="T589" s="58">
        <f t="shared" si="151"/>
        <v>0</v>
      </c>
      <c r="U589" s="50"/>
      <c r="V589" s="74">
        <v>0</v>
      </c>
      <c r="W589" s="50">
        <f t="shared" si="152"/>
        <v>0</v>
      </c>
      <c r="X589" s="171">
        <v>46247.246527777781</v>
      </c>
      <c r="Y589" s="171">
        <v>46247.811111111114</v>
      </c>
      <c r="Z589" s="168">
        <f t="shared" si="144"/>
        <v>0.56458333333284827</v>
      </c>
      <c r="AA589" s="169">
        <f t="shared" si="145"/>
        <v>0.54166666666666663</v>
      </c>
      <c r="AB589" s="170" t="str">
        <f t="shared" si="146"/>
        <v>-00:33:00</v>
      </c>
      <c r="AC589" s="170" t="b">
        <f t="shared" si="147"/>
        <v>1</v>
      </c>
    </row>
    <row r="590" spans="1:29" s="127" customFormat="1" ht="9.75" hidden="1" customHeight="1" x14ac:dyDescent="0.3">
      <c r="A590" s="98">
        <v>46247</v>
      </c>
      <c r="B590" s="48">
        <v>8168110</v>
      </c>
      <c r="C590" s="49" t="s">
        <v>58</v>
      </c>
      <c r="D590" s="49" t="s">
        <v>591</v>
      </c>
      <c r="E590" s="50">
        <v>0.27083333333333331</v>
      </c>
      <c r="F590" s="49" t="s">
        <v>13</v>
      </c>
      <c r="G590" s="70" t="s">
        <v>14</v>
      </c>
      <c r="H590" s="51">
        <v>0.26319444444444445</v>
      </c>
      <c r="I590" s="113" t="str">
        <f t="shared" si="148"/>
        <v>13-08-2026T06:19:00</v>
      </c>
      <c r="J590" s="51">
        <v>0.92986111111111114</v>
      </c>
      <c r="K590" s="51"/>
      <c r="L590" s="52">
        <f t="shared" si="149"/>
        <v>0.66666666666666674</v>
      </c>
      <c r="M590" s="53">
        <v>0.625</v>
      </c>
      <c r="N590" s="54" t="str">
        <f t="shared" si="150"/>
        <v>-01:00:00</v>
      </c>
      <c r="O590" s="55">
        <v>250</v>
      </c>
      <c r="P590" s="147" t="s">
        <v>580</v>
      </c>
      <c r="Q590" s="56" t="s">
        <v>15</v>
      </c>
      <c r="R590" s="57">
        <v>0.54722222222222228</v>
      </c>
      <c r="S590" s="57">
        <v>0.58333333333333337</v>
      </c>
      <c r="T590" s="58">
        <f t="shared" si="151"/>
        <v>3.6111111111111094E-2</v>
      </c>
      <c r="U590" s="50"/>
      <c r="V590" s="74">
        <v>6.25E-2</v>
      </c>
      <c r="W590" s="50">
        <f t="shared" si="152"/>
        <v>-2.6388888888888906E-2</v>
      </c>
      <c r="X590" s="171">
        <v>46247.263194444444</v>
      </c>
      <c r="Y590" s="171">
        <v>46247.929861111108</v>
      </c>
      <c r="Z590" s="168">
        <f t="shared" si="144"/>
        <v>0.66666666666424135</v>
      </c>
      <c r="AA590" s="169">
        <f t="shared" si="145"/>
        <v>0.625</v>
      </c>
      <c r="AB590" s="170" t="str">
        <f t="shared" si="146"/>
        <v>-01:00:00</v>
      </c>
      <c r="AC590" s="170" t="b">
        <f t="shared" si="147"/>
        <v>1</v>
      </c>
    </row>
    <row r="591" spans="1:29" s="128" customFormat="1" ht="9.75" hidden="1" customHeight="1" x14ac:dyDescent="0.3">
      <c r="A591" s="99">
        <v>46247</v>
      </c>
      <c r="B591" s="59">
        <v>8168205</v>
      </c>
      <c r="C591" s="60" t="s">
        <v>99</v>
      </c>
      <c r="D591" s="60" t="s">
        <v>375</v>
      </c>
      <c r="E591" s="61">
        <v>0.29166666666666669</v>
      </c>
      <c r="F591" s="60" t="s">
        <v>13</v>
      </c>
      <c r="G591" s="71" t="s">
        <v>103</v>
      </c>
      <c r="H591" s="62">
        <v>0.29236111111111113</v>
      </c>
      <c r="I591" s="113" t="str">
        <f t="shared" si="148"/>
        <v>13-08-2026T07:01:00</v>
      </c>
      <c r="J591" s="62">
        <v>0.89652777777777781</v>
      </c>
      <c r="K591" s="62"/>
      <c r="L591" s="63">
        <f t="shared" si="149"/>
        <v>0.60416666666666674</v>
      </c>
      <c r="M591" s="64">
        <v>0.625</v>
      </c>
      <c r="N591" s="65" t="str">
        <f t="shared" si="150"/>
        <v>00:30:00</v>
      </c>
      <c r="O591" s="66"/>
      <c r="P591" s="124"/>
      <c r="Q591" s="67"/>
      <c r="R591" s="68"/>
      <c r="S591" s="68"/>
      <c r="T591" s="69">
        <f t="shared" si="151"/>
        <v>0</v>
      </c>
      <c r="U591" s="61"/>
      <c r="V591" s="83">
        <v>0</v>
      </c>
      <c r="W591" s="61">
        <f t="shared" si="152"/>
        <v>0</v>
      </c>
      <c r="X591" s="171">
        <v>46247.292361111111</v>
      </c>
      <c r="Y591" s="171">
        <v>46247.896527777775</v>
      </c>
      <c r="Z591" s="168">
        <f t="shared" si="144"/>
        <v>0.60416666666424135</v>
      </c>
      <c r="AA591" s="169">
        <f t="shared" si="145"/>
        <v>0.625</v>
      </c>
      <c r="AB591" s="170" t="str">
        <f t="shared" si="146"/>
        <v>00:30:00</v>
      </c>
      <c r="AC591" s="170" t="b">
        <f t="shared" si="147"/>
        <v>1</v>
      </c>
    </row>
    <row r="592" spans="1:29" s="128" customFormat="1" ht="9.75" hidden="1" customHeight="1" x14ac:dyDescent="0.3">
      <c r="A592" s="99">
        <v>46247</v>
      </c>
      <c r="B592" s="59">
        <v>8168251</v>
      </c>
      <c r="C592" s="60" t="s">
        <v>56</v>
      </c>
      <c r="D592" s="60" t="s">
        <v>472</v>
      </c>
      <c r="E592" s="61">
        <v>0.3125</v>
      </c>
      <c r="F592" s="60" t="s">
        <v>15</v>
      </c>
      <c r="G592" s="71" t="s">
        <v>13</v>
      </c>
      <c r="H592" s="62">
        <v>0.31111111111111112</v>
      </c>
      <c r="I592" s="113" t="str">
        <f t="shared" si="148"/>
        <v>13-08-2026T07:28:00</v>
      </c>
      <c r="J592" s="62">
        <v>0.55138888888888893</v>
      </c>
      <c r="K592" s="62"/>
      <c r="L592" s="63">
        <f t="shared" si="149"/>
        <v>0.24027777777777781</v>
      </c>
      <c r="M592" s="64">
        <v>0.25</v>
      </c>
      <c r="N592" s="65" t="str">
        <f t="shared" si="150"/>
        <v>00:14:00</v>
      </c>
      <c r="O592" s="66"/>
      <c r="P592" s="124"/>
      <c r="Q592" s="67" t="s">
        <v>205</v>
      </c>
      <c r="R592" s="68">
        <v>0.37986111111111109</v>
      </c>
      <c r="S592" s="68">
        <v>0.41805555555555557</v>
      </c>
      <c r="T592" s="69">
        <f t="shared" si="151"/>
        <v>3.8194444444444475E-2</v>
      </c>
      <c r="U592" s="61"/>
      <c r="V592" s="83">
        <v>4.1666666666666664E-2</v>
      </c>
      <c r="W592" s="61">
        <f t="shared" si="152"/>
        <v>-3.4722222222221891E-3</v>
      </c>
      <c r="X592" s="171">
        <v>46247.311111111114</v>
      </c>
      <c r="Y592" s="171">
        <v>46247.551388888889</v>
      </c>
      <c r="Z592" s="168">
        <f t="shared" si="144"/>
        <v>0.24027777777519077</v>
      </c>
      <c r="AA592" s="169">
        <f t="shared" si="145"/>
        <v>0.25</v>
      </c>
      <c r="AB592" s="170" t="str">
        <f t="shared" si="146"/>
        <v>00:14:00</v>
      </c>
      <c r="AC592" s="170" t="b">
        <f t="shared" si="147"/>
        <v>1</v>
      </c>
    </row>
    <row r="593" spans="1:29" s="128" customFormat="1" ht="9.75" hidden="1" customHeight="1" x14ac:dyDescent="0.3">
      <c r="A593" s="99">
        <v>46247</v>
      </c>
      <c r="B593" s="59">
        <v>8168264</v>
      </c>
      <c r="C593" s="60" t="s">
        <v>42</v>
      </c>
      <c r="D593" s="60" t="s">
        <v>181</v>
      </c>
      <c r="E593" s="61">
        <v>0.3125</v>
      </c>
      <c r="F593" s="60" t="s">
        <v>13</v>
      </c>
      <c r="G593" s="71" t="s">
        <v>55</v>
      </c>
      <c r="H593" s="62">
        <v>0.31736111111111109</v>
      </c>
      <c r="I593" s="113" t="str">
        <f t="shared" si="148"/>
        <v>13-08-2026T07:37:00</v>
      </c>
      <c r="J593" s="62">
        <v>0.37638888888888888</v>
      </c>
      <c r="K593" s="62"/>
      <c r="L593" s="63">
        <f t="shared" si="149"/>
        <v>5.902777777777779E-2</v>
      </c>
      <c r="M593" s="64">
        <v>6.25E-2</v>
      </c>
      <c r="N593" s="65" t="str">
        <f t="shared" si="150"/>
        <v>00:05:00</v>
      </c>
      <c r="O593" s="66"/>
      <c r="P593" s="124"/>
      <c r="Q593" s="67"/>
      <c r="R593" s="68"/>
      <c r="S593" s="68"/>
      <c r="T593" s="69">
        <f t="shared" si="151"/>
        <v>0</v>
      </c>
      <c r="U593" s="61" t="s">
        <v>234</v>
      </c>
      <c r="V593" s="83">
        <v>0</v>
      </c>
      <c r="W593" s="61">
        <f t="shared" si="152"/>
        <v>0</v>
      </c>
      <c r="X593" s="171">
        <v>46247.317361111112</v>
      </c>
      <c r="Y593" s="171">
        <v>46247.376388888886</v>
      </c>
      <c r="Z593" s="168">
        <f t="shared" si="144"/>
        <v>5.9027777773735579E-2</v>
      </c>
      <c r="AA593" s="169">
        <f t="shared" si="145"/>
        <v>6.25E-2</v>
      </c>
      <c r="AB593" s="170" t="str">
        <f t="shared" si="146"/>
        <v>00:05:00</v>
      </c>
      <c r="AC593" s="170" t="b">
        <f t="shared" si="147"/>
        <v>1</v>
      </c>
    </row>
    <row r="594" spans="1:29" s="127" customFormat="1" ht="9.75" hidden="1" customHeight="1" x14ac:dyDescent="0.3">
      <c r="A594" s="98">
        <v>46247</v>
      </c>
      <c r="B594" s="48">
        <v>8168364</v>
      </c>
      <c r="C594" s="49" t="s">
        <v>86</v>
      </c>
      <c r="D594" s="49" t="s">
        <v>547</v>
      </c>
      <c r="E594" s="50">
        <v>0.375</v>
      </c>
      <c r="F594" s="49" t="s">
        <v>13</v>
      </c>
      <c r="G594" s="70" t="s">
        <v>31</v>
      </c>
      <c r="H594" s="51">
        <v>46247.371527777781</v>
      </c>
      <c r="I594" s="113" t="str">
        <f t="shared" si="148"/>
        <v>13-08-2026T08:55:00</v>
      </c>
      <c r="J594" s="51">
        <v>46248.272222222222</v>
      </c>
      <c r="K594" s="51"/>
      <c r="L594" s="52">
        <f t="shared" si="149"/>
        <v>0.90069444444088731</v>
      </c>
      <c r="M594" s="53">
        <v>0.75</v>
      </c>
      <c r="N594" s="54" t="str">
        <f t="shared" si="150"/>
        <v>-03:37:00</v>
      </c>
      <c r="O594" s="55">
        <v>800</v>
      </c>
      <c r="P594" s="147" t="s">
        <v>581</v>
      </c>
      <c r="Q594" s="56" t="s">
        <v>45</v>
      </c>
      <c r="R594" s="57">
        <v>46248.063194444447</v>
      </c>
      <c r="S594" s="57">
        <v>46248.084722222222</v>
      </c>
      <c r="T594" s="58">
        <f t="shared" si="151"/>
        <v>2.1527777775190771E-2</v>
      </c>
      <c r="U594" s="50"/>
      <c r="V594" s="74">
        <v>8.3333333333333329E-2</v>
      </c>
      <c r="W594" s="50">
        <f t="shared" si="152"/>
        <v>-6.1805555558142558E-2</v>
      </c>
      <c r="X594" s="171">
        <v>46247.371527777781</v>
      </c>
      <c r="Y594" s="171">
        <v>46248.272222222222</v>
      </c>
      <c r="Z594" s="168">
        <f t="shared" si="144"/>
        <v>0.90069444444088731</v>
      </c>
      <c r="AA594" s="169">
        <f t="shared" si="145"/>
        <v>0.75</v>
      </c>
      <c r="AB594" s="170" t="str">
        <f t="shared" si="146"/>
        <v>-03:37:00</v>
      </c>
      <c r="AC594" s="170" t="b">
        <f t="shared" si="147"/>
        <v>1</v>
      </c>
    </row>
    <row r="595" spans="1:29" s="128" customFormat="1" ht="9.75" hidden="1" customHeight="1" x14ac:dyDescent="0.3">
      <c r="A595" s="99">
        <v>46247</v>
      </c>
      <c r="B595" s="59">
        <v>8168328</v>
      </c>
      <c r="C595" s="60" t="s">
        <v>46</v>
      </c>
      <c r="D595" s="60" t="s">
        <v>374</v>
      </c>
      <c r="E595" s="61">
        <v>0.375</v>
      </c>
      <c r="F595" s="60" t="s">
        <v>13</v>
      </c>
      <c r="G595" s="71" t="s">
        <v>47</v>
      </c>
      <c r="H595" s="62">
        <v>46247.356249999997</v>
      </c>
      <c r="I595" s="113" t="str">
        <f t="shared" si="148"/>
        <v>13-08-2026T08:33:00</v>
      </c>
      <c r="J595" s="62">
        <v>46249.234027777777</v>
      </c>
      <c r="K595" s="62"/>
      <c r="L595" s="63">
        <f t="shared" si="149"/>
        <v>1.8777777777795563</v>
      </c>
      <c r="M595" s="64">
        <v>1.9166666666666667</v>
      </c>
      <c r="N595" s="65" t="str">
        <f t="shared" si="150"/>
        <v>00:56:00</v>
      </c>
      <c r="O595" s="66"/>
      <c r="P595" s="124"/>
      <c r="Q595" s="67" t="s">
        <v>96</v>
      </c>
      <c r="R595" s="68">
        <v>46249.005555555559</v>
      </c>
      <c r="S595" s="68">
        <v>46249.078472222223</v>
      </c>
      <c r="T595" s="69">
        <f t="shared" si="151"/>
        <v>7.2916666664241347E-2</v>
      </c>
      <c r="U595" s="61"/>
      <c r="V595" s="83">
        <v>8.3333333333333329E-2</v>
      </c>
      <c r="W595" s="61">
        <f t="shared" si="152"/>
        <v>-1.0416666669091981E-2</v>
      </c>
      <c r="X595" s="171">
        <v>46247.356249999997</v>
      </c>
      <c r="Y595" s="171">
        <v>46249.234027777777</v>
      </c>
      <c r="Z595" s="168">
        <f t="shared" si="144"/>
        <v>1.8777777777795563</v>
      </c>
      <c r="AA595" s="169">
        <f t="shared" si="145"/>
        <v>1.9166666666666667</v>
      </c>
      <c r="AB595" s="170" t="str">
        <f t="shared" si="146"/>
        <v>00:56:00</v>
      </c>
      <c r="AC595" s="170" t="b">
        <f t="shared" si="147"/>
        <v>1</v>
      </c>
    </row>
    <row r="596" spans="1:29" s="127" customFormat="1" ht="9.75" hidden="1" customHeight="1" x14ac:dyDescent="0.3">
      <c r="A596" s="98">
        <v>46247</v>
      </c>
      <c r="B596" s="48">
        <v>8168379</v>
      </c>
      <c r="C596" s="49" t="s">
        <v>51</v>
      </c>
      <c r="D596" s="49" t="s">
        <v>295</v>
      </c>
      <c r="E596" s="50">
        <v>0.375</v>
      </c>
      <c r="F596" s="49" t="s">
        <v>49</v>
      </c>
      <c r="G596" s="70" t="s">
        <v>13</v>
      </c>
      <c r="H596" s="51">
        <v>0.37430555555555556</v>
      </c>
      <c r="I596" s="113" t="str">
        <f t="shared" si="148"/>
        <v>13-08-2026T08:59:00</v>
      </c>
      <c r="J596" s="51">
        <v>0.9868055555555556</v>
      </c>
      <c r="K596" s="51"/>
      <c r="L596" s="52">
        <f t="shared" si="149"/>
        <v>0.61250000000000004</v>
      </c>
      <c r="M596" s="53">
        <v>0.58333333333333337</v>
      </c>
      <c r="N596" s="54" t="str">
        <f t="shared" si="150"/>
        <v>-00:42:00</v>
      </c>
      <c r="O596" s="55">
        <v>250</v>
      </c>
      <c r="P596" s="147" t="s">
        <v>455</v>
      </c>
      <c r="Q596" s="56" t="s">
        <v>13</v>
      </c>
      <c r="R596" s="57">
        <v>0.90138888888888891</v>
      </c>
      <c r="S596" s="57">
        <v>0.97916666666666663</v>
      </c>
      <c r="T596" s="58">
        <f t="shared" si="151"/>
        <v>7.7777777777777724E-2</v>
      </c>
      <c r="U596" s="50"/>
      <c r="V596" s="74">
        <v>8.3333333333333329E-2</v>
      </c>
      <c r="W596" s="50">
        <f t="shared" si="152"/>
        <v>-5.5555555555556052E-3</v>
      </c>
      <c r="X596" s="171">
        <v>46247.374305555553</v>
      </c>
      <c r="Y596" s="171">
        <v>46247.986805555556</v>
      </c>
      <c r="Z596" s="168">
        <f t="shared" si="144"/>
        <v>0.61250000000291038</v>
      </c>
      <c r="AA596" s="169">
        <f t="shared" si="145"/>
        <v>0.58333333333333337</v>
      </c>
      <c r="AB596" s="170" t="str">
        <f t="shared" si="146"/>
        <v>-00:42:00</v>
      </c>
      <c r="AC596" s="170" t="b">
        <f t="shared" si="147"/>
        <v>1</v>
      </c>
    </row>
    <row r="597" spans="1:29" s="128" customFormat="1" ht="9.75" hidden="1" customHeight="1" x14ac:dyDescent="0.3">
      <c r="A597" s="99">
        <v>46247</v>
      </c>
      <c r="B597" s="59">
        <v>8168441</v>
      </c>
      <c r="C597" s="60" t="s">
        <v>44</v>
      </c>
      <c r="D597" s="60" t="s">
        <v>582</v>
      </c>
      <c r="E597" s="61">
        <v>0.41666666666666669</v>
      </c>
      <c r="F597" s="60" t="s">
        <v>31</v>
      </c>
      <c r="G597" s="71" t="s">
        <v>13</v>
      </c>
      <c r="H597" s="62">
        <v>46247.415277777778</v>
      </c>
      <c r="I597" s="113" t="str">
        <f t="shared" si="148"/>
        <v>13-08-2026T09:58:00</v>
      </c>
      <c r="J597" s="62">
        <v>46248.118750000001</v>
      </c>
      <c r="K597" s="62"/>
      <c r="L597" s="63">
        <f t="shared" si="149"/>
        <v>0.70347222222335404</v>
      </c>
      <c r="M597" s="64">
        <v>0.75</v>
      </c>
      <c r="N597" s="65" t="str">
        <f t="shared" si="150"/>
        <v>01:07:00</v>
      </c>
      <c r="O597" s="66"/>
      <c r="P597" s="124"/>
      <c r="Q597" s="67" t="s">
        <v>45</v>
      </c>
      <c r="R597" s="68">
        <v>0.52430555555555558</v>
      </c>
      <c r="S597" s="68">
        <v>0.56944444444444442</v>
      </c>
      <c r="T597" s="69">
        <f t="shared" si="151"/>
        <v>4.513888888888884E-2</v>
      </c>
      <c r="U597" s="61"/>
      <c r="V597" s="83">
        <v>8.3333333333333329E-2</v>
      </c>
      <c r="W597" s="61">
        <f t="shared" si="152"/>
        <v>-3.8194444444444489E-2</v>
      </c>
      <c r="X597" s="171">
        <v>46247.415277777778</v>
      </c>
      <c r="Y597" s="171">
        <v>46248.118750000001</v>
      </c>
      <c r="Z597" s="168">
        <f t="shared" si="144"/>
        <v>0.70347222222335404</v>
      </c>
      <c r="AA597" s="169">
        <f t="shared" si="145"/>
        <v>0.75</v>
      </c>
      <c r="AB597" s="170" t="str">
        <f t="shared" si="146"/>
        <v>01:07:00</v>
      </c>
      <c r="AC597" s="170" t="b">
        <f t="shared" si="147"/>
        <v>1</v>
      </c>
    </row>
    <row r="598" spans="1:29" s="128" customFormat="1" ht="9.75" hidden="1" customHeight="1" x14ac:dyDescent="0.3">
      <c r="A598" s="99">
        <v>46247</v>
      </c>
      <c r="B598" s="59">
        <v>8168459</v>
      </c>
      <c r="C598" s="60" t="s">
        <v>48</v>
      </c>
      <c r="D598" s="60" t="s">
        <v>183</v>
      </c>
      <c r="E598" s="61">
        <v>0.41666666666666669</v>
      </c>
      <c r="F598" s="60" t="s">
        <v>13</v>
      </c>
      <c r="G598" s="71" t="s">
        <v>49</v>
      </c>
      <c r="H598" s="62">
        <v>0.42777777777777776</v>
      </c>
      <c r="I598" s="113" t="str">
        <f t="shared" si="148"/>
        <v>13-08-2026T10:16:00</v>
      </c>
      <c r="J598" s="62">
        <v>0.92013888888888884</v>
      </c>
      <c r="K598" s="62"/>
      <c r="L598" s="63">
        <f t="shared" si="149"/>
        <v>0.49236111111111108</v>
      </c>
      <c r="M598" s="64">
        <v>0.5</v>
      </c>
      <c r="N598" s="65" t="str">
        <f t="shared" si="150"/>
        <v>00:11:00</v>
      </c>
      <c r="O598" s="66"/>
      <c r="P598" s="124"/>
      <c r="Q598" s="67"/>
      <c r="R598" s="68"/>
      <c r="S598" s="68"/>
      <c r="T598" s="69">
        <f t="shared" si="151"/>
        <v>0</v>
      </c>
      <c r="U598" s="61"/>
      <c r="V598" s="83">
        <v>0</v>
      </c>
      <c r="W598" s="61">
        <f t="shared" si="152"/>
        <v>0</v>
      </c>
      <c r="X598" s="171">
        <v>46247.427777777775</v>
      </c>
      <c r="Y598" s="171">
        <v>46247.920138888891</v>
      </c>
      <c r="Z598" s="168">
        <f t="shared" si="144"/>
        <v>0.492361111115315</v>
      </c>
      <c r="AA598" s="169">
        <f t="shared" si="145"/>
        <v>0.5</v>
      </c>
      <c r="AB598" s="170" t="str">
        <f t="shared" si="146"/>
        <v>00:11:00</v>
      </c>
      <c r="AC598" s="170" t="b">
        <f t="shared" si="147"/>
        <v>1</v>
      </c>
    </row>
    <row r="599" spans="1:29" s="128" customFormat="1" ht="9.75" hidden="1" customHeight="1" x14ac:dyDescent="0.3">
      <c r="A599" s="99">
        <v>46247</v>
      </c>
      <c r="B599" s="59">
        <v>8168543</v>
      </c>
      <c r="C599" s="60" t="s">
        <v>57</v>
      </c>
      <c r="D599" s="60" t="s">
        <v>370</v>
      </c>
      <c r="E599" s="61">
        <v>0.45833333333333331</v>
      </c>
      <c r="F599" s="60" t="s">
        <v>13</v>
      </c>
      <c r="G599" s="71" t="s">
        <v>24</v>
      </c>
      <c r="H599" s="62">
        <v>0.45833333333333331</v>
      </c>
      <c r="I599" s="113" t="str">
        <f t="shared" si="148"/>
        <v>13-08-2026T11:00:00</v>
      </c>
      <c r="J599" s="62">
        <v>0.53125</v>
      </c>
      <c r="K599" s="62"/>
      <c r="L599" s="63">
        <f t="shared" si="149"/>
        <v>7.2916666666666685E-2</v>
      </c>
      <c r="M599" s="64">
        <v>8.3333333333333329E-2</v>
      </c>
      <c r="N599" s="65" t="str">
        <f t="shared" si="150"/>
        <v>00:15:00</v>
      </c>
      <c r="O599" s="66"/>
      <c r="P599" s="124"/>
      <c r="Q599" s="67"/>
      <c r="R599" s="68"/>
      <c r="S599" s="68"/>
      <c r="T599" s="69">
        <f t="shared" si="151"/>
        <v>0</v>
      </c>
      <c r="U599" s="61"/>
      <c r="V599" s="83">
        <v>0</v>
      </c>
      <c r="W599" s="61">
        <f t="shared" si="152"/>
        <v>0</v>
      </c>
      <c r="X599" s="171">
        <v>46247.458333333336</v>
      </c>
      <c r="Y599" s="171">
        <v>46247.53125</v>
      </c>
      <c r="Z599" s="168">
        <f t="shared" si="144"/>
        <v>7.2916666664241347E-2</v>
      </c>
      <c r="AA599" s="169">
        <f t="shared" si="145"/>
        <v>8.3333333333333329E-2</v>
      </c>
      <c r="AB599" s="170" t="str">
        <f t="shared" si="146"/>
        <v>00:15:00</v>
      </c>
      <c r="AC599" s="170" t="b">
        <f t="shared" si="147"/>
        <v>1</v>
      </c>
    </row>
    <row r="600" spans="1:29" s="128" customFormat="1" ht="9.75" hidden="1" customHeight="1" x14ac:dyDescent="0.3">
      <c r="A600" s="99">
        <v>46247</v>
      </c>
      <c r="B600" s="59">
        <v>8167426</v>
      </c>
      <c r="C600" s="60" t="s">
        <v>20</v>
      </c>
      <c r="D600" s="60" t="s">
        <v>232</v>
      </c>
      <c r="E600" s="61">
        <v>0.95833333333333337</v>
      </c>
      <c r="F600" s="60" t="s">
        <v>21</v>
      </c>
      <c r="G600" s="71" t="s">
        <v>13</v>
      </c>
      <c r="H600" s="62">
        <v>4.9305555555555554E-2</v>
      </c>
      <c r="I600" s="113" t="str">
        <f t="shared" si="148"/>
        <v>13-08-2026T01:11:00</v>
      </c>
      <c r="J600" s="62">
        <v>0.29305555555555557</v>
      </c>
      <c r="K600" s="62"/>
      <c r="L600" s="63">
        <f t="shared" si="149"/>
        <v>0.24375000000000002</v>
      </c>
      <c r="M600" s="64">
        <v>0.25</v>
      </c>
      <c r="N600" s="65" t="str">
        <f t="shared" si="150"/>
        <v>00:09:00</v>
      </c>
      <c r="O600" s="66"/>
      <c r="P600" s="124"/>
      <c r="Q600" s="67"/>
      <c r="R600" s="68"/>
      <c r="S600" s="68"/>
      <c r="T600" s="69">
        <f t="shared" si="151"/>
        <v>0</v>
      </c>
      <c r="U600" s="61"/>
      <c r="V600" s="83">
        <v>0</v>
      </c>
      <c r="W600" s="61">
        <f t="shared" si="152"/>
        <v>0</v>
      </c>
      <c r="X600" s="171">
        <v>46247.049305555556</v>
      </c>
      <c r="Y600" s="171">
        <v>46247.293055555558</v>
      </c>
      <c r="Z600" s="168">
        <f t="shared" si="144"/>
        <v>0.24375000000145519</v>
      </c>
      <c r="AA600" s="169">
        <f t="shared" si="145"/>
        <v>0.25</v>
      </c>
      <c r="AB600" s="170" t="str">
        <f t="shared" si="146"/>
        <v>00:09:00</v>
      </c>
      <c r="AC600" s="170" t="b">
        <f t="shared" si="147"/>
        <v>1</v>
      </c>
    </row>
    <row r="601" spans="1:29" s="128" customFormat="1" ht="9.75" hidden="1" customHeight="1" x14ac:dyDescent="0.3">
      <c r="A601" s="99">
        <v>46247</v>
      </c>
      <c r="B601" s="59">
        <v>8168687</v>
      </c>
      <c r="C601" s="60" t="s">
        <v>20</v>
      </c>
      <c r="D601" s="60" t="s">
        <v>232</v>
      </c>
      <c r="E601" s="61">
        <v>0.5</v>
      </c>
      <c r="F601" s="60" t="s">
        <v>13</v>
      </c>
      <c r="G601" s="71" t="s">
        <v>21</v>
      </c>
      <c r="H601" s="62">
        <v>0.50277777777777777</v>
      </c>
      <c r="I601" s="113" t="str">
        <f t="shared" si="148"/>
        <v>13-08-2026T12:04:00</v>
      </c>
      <c r="J601" s="62">
        <v>0.75</v>
      </c>
      <c r="K601" s="62"/>
      <c r="L601" s="63">
        <f t="shared" si="149"/>
        <v>0.24722222222222223</v>
      </c>
      <c r="M601" s="64">
        <v>0.25</v>
      </c>
      <c r="N601" s="65" t="str">
        <f t="shared" si="150"/>
        <v>00:04:00</v>
      </c>
      <c r="O601" s="66"/>
      <c r="P601" s="124"/>
      <c r="Q601" s="67"/>
      <c r="R601" s="68"/>
      <c r="S601" s="68"/>
      <c r="T601" s="69">
        <f t="shared" si="151"/>
        <v>0</v>
      </c>
      <c r="U601" s="61"/>
      <c r="V601" s="83">
        <v>0</v>
      </c>
      <c r="W601" s="61">
        <f t="shared" si="152"/>
        <v>0</v>
      </c>
      <c r="X601" s="171">
        <v>46247.50277777778</v>
      </c>
      <c r="Y601" s="171">
        <v>46247.75</v>
      </c>
      <c r="Z601" s="168">
        <f t="shared" si="144"/>
        <v>0.24722222222044365</v>
      </c>
      <c r="AA601" s="169">
        <f t="shared" si="145"/>
        <v>0.25</v>
      </c>
      <c r="AB601" s="170" t="str">
        <f t="shared" si="146"/>
        <v>00:04:00</v>
      </c>
      <c r="AC601" s="170" t="b">
        <f t="shared" si="147"/>
        <v>1</v>
      </c>
    </row>
    <row r="602" spans="1:29" s="128" customFormat="1" ht="9.75" hidden="1" customHeight="1" x14ac:dyDescent="0.3">
      <c r="A602" s="99">
        <v>46247</v>
      </c>
      <c r="B602" s="59">
        <v>8168802</v>
      </c>
      <c r="C602" s="60" t="s">
        <v>34</v>
      </c>
      <c r="D602" s="60" t="s">
        <v>381</v>
      </c>
      <c r="E602" s="61">
        <v>0.54166666666666663</v>
      </c>
      <c r="F602" s="60" t="s">
        <v>103</v>
      </c>
      <c r="G602" s="71" t="s">
        <v>13</v>
      </c>
      <c r="H602" s="62">
        <v>46247.543055555558</v>
      </c>
      <c r="I602" s="113" t="str">
        <f t="shared" si="148"/>
        <v>13-08-2026T13:02:00</v>
      </c>
      <c r="J602" s="62">
        <v>46248.245833333334</v>
      </c>
      <c r="K602" s="62"/>
      <c r="L602" s="63">
        <f t="shared" si="149"/>
        <v>0.70277777777664596</v>
      </c>
      <c r="M602" s="64">
        <v>0.70833333333333337</v>
      </c>
      <c r="N602" s="65" t="str">
        <f t="shared" si="150"/>
        <v>00:08:00</v>
      </c>
      <c r="O602" s="66"/>
      <c r="P602" s="124"/>
      <c r="Q602" s="67" t="s">
        <v>13</v>
      </c>
      <c r="R602" s="68">
        <v>46248.183333333334</v>
      </c>
      <c r="S602" s="68">
        <v>46248.245138888888</v>
      </c>
      <c r="T602" s="69">
        <f t="shared" si="151"/>
        <v>6.1805555553291924E-2</v>
      </c>
      <c r="U602" s="61"/>
      <c r="V602" s="83">
        <v>8.3333333333333329E-2</v>
      </c>
      <c r="W602" s="61">
        <f t="shared" si="152"/>
        <v>-2.1527777780041404E-2</v>
      </c>
      <c r="X602" s="171">
        <v>46247.543055555558</v>
      </c>
      <c r="Y602" s="171">
        <v>46248.245833333334</v>
      </c>
      <c r="Z602" s="168">
        <f t="shared" si="144"/>
        <v>0.70277777777664596</v>
      </c>
      <c r="AA602" s="169">
        <f t="shared" si="145"/>
        <v>0.70833333333333337</v>
      </c>
      <c r="AB602" s="170" t="str">
        <f t="shared" si="146"/>
        <v>00:08:00</v>
      </c>
      <c r="AC602" s="170" t="b">
        <f t="shared" si="147"/>
        <v>1</v>
      </c>
    </row>
    <row r="603" spans="1:29" s="128" customFormat="1" ht="9.75" hidden="1" customHeight="1" x14ac:dyDescent="0.3">
      <c r="A603" s="99">
        <v>46247</v>
      </c>
      <c r="B603" s="59">
        <v>8168812</v>
      </c>
      <c r="C603" s="60" t="s">
        <v>52</v>
      </c>
      <c r="D603" s="60" t="s">
        <v>616</v>
      </c>
      <c r="E603" s="61">
        <v>0.54166666666666663</v>
      </c>
      <c r="F603" s="60" t="s">
        <v>13</v>
      </c>
      <c r="G603" s="71" t="s">
        <v>15</v>
      </c>
      <c r="H603" s="62">
        <v>0.54583333333333328</v>
      </c>
      <c r="I603" s="113" t="str">
        <f t="shared" si="148"/>
        <v>13-08-2026T13:06:00</v>
      </c>
      <c r="J603" s="62">
        <v>0.74791666666666667</v>
      </c>
      <c r="K603" s="62"/>
      <c r="L603" s="63">
        <f t="shared" si="149"/>
        <v>0.20208333333333339</v>
      </c>
      <c r="M603" s="64">
        <v>0.20833333333333334</v>
      </c>
      <c r="N603" s="65" t="str">
        <f t="shared" si="150"/>
        <v>00:09:00</v>
      </c>
      <c r="O603" s="66"/>
      <c r="P603" s="124"/>
      <c r="Q603" s="67"/>
      <c r="R603" s="68"/>
      <c r="S603" s="68"/>
      <c r="T603" s="69">
        <f t="shared" si="151"/>
        <v>0</v>
      </c>
      <c r="U603" s="61"/>
      <c r="V603" s="83">
        <v>0</v>
      </c>
      <c r="W603" s="61">
        <f t="shared" si="152"/>
        <v>0</v>
      </c>
      <c r="X603" s="171">
        <v>46247.54583333333</v>
      </c>
      <c r="Y603" s="171">
        <v>46247.747916666667</v>
      </c>
      <c r="Z603" s="168">
        <f t="shared" si="144"/>
        <v>0.20208333333721384</v>
      </c>
      <c r="AA603" s="169">
        <f t="shared" si="145"/>
        <v>0.20833333333333334</v>
      </c>
      <c r="AB603" s="170" t="str">
        <f t="shared" si="146"/>
        <v>00:09:00</v>
      </c>
      <c r="AC603" s="170" t="b">
        <f t="shared" si="147"/>
        <v>1</v>
      </c>
    </row>
    <row r="604" spans="1:29" s="128" customFormat="1" ht="9.75" hidden="1" customHeight="1" x14ac:dyDescent="0.3">
      <c r="A604" s="99">
        <v>46247</v>
      </c>
      <c r="B604" s="59">
        <v>8169051</v>
      </c>
      <c r="C604" s="60" t="s">
        <v>53</v>
      </c>
      <c r="D604" s="60" t="s">
        <v>298</v>
      </c>
      <c r="E604" s="61">
        <v>0.64583333333333337</v>
      </c>
      <c r="F604" s="60" t="s">
        <v>19</v>
      </c>
      <c r="G604" s="71" t="s">
        <v>13</v>
      </c>
      <c r="H604" s="62">
        <v>46247.640972222223</v>
      </c>
      <c r="I604" s="113" t="str">
        <f t="shared" si="148"/>
        <v>13-08-2026T15:23:00</v>
      </c>
      <c r="J604" s="62">
        <v>46248.059027777781</v>
      </c>
      <c r="K604" s="62"/>
      <c r="L604" s="63">
        <f t="shared" si="149"/>
        <v>0.4180555555576575</v>
      </c>
      <c r="M604" s="64">
        <v>0.4375</v>
      </c>
      <c r="N604" s="65" t="str">
        <f t="shared" si="150"/>
        <v>00:28:00</v>
      </c>
      <c r="O604" s="66"/>
      <c r="P604" s="124"/>
      <c r="Q604" s="67" t="s">
        <v>229</v>
      </c>
      <c r="R604" s="68">
        <v>0.78125</v>
      </c>
      <c r="S604" s="68">
        <v>0.80555555555555558</v>
      </c>
      <c r="T604" s="69">
        <f t="shared" si="151"/>
        <v>2.430555555555558E-2</v>
      </c>
      <c r="U604" s="61"/>
      <c r="V604" s="83">
        <v>8.3333333333333329E-2</v>
      </c>
      <c r="W604" s="61">
        <f t="shared" si="152"/>
        <v>-5.9027777777777748E-2</v>
      </c>
      <c r="X604" s="171">
        <v>46247.640972222223</v>
      </c>
      <c r="Y604" s="171">
        <v>46248.059027777781</v>
      </c>
      <c r="Z604" s="168">
        <f t="shared" si="144"/>
        <v>0.4180555555576575</v>
      </c>
      <c r="AA604" s="169">
        <f t="shared" si="145"/>
        <v>0.4375</v>
      </c>
      <c r="AB604" s="170" t="str">
        <f t="shared" si="146"/>
        <v>00:28:00</v>
      </c>
      <c r="AC604" s="170" t="b">
        <f t="shared" si="147"/>
        <v>1</v>
      </c>
    </row>
    <row r="605" spans="1:29" s="128" customFormat="1" ht="9.75" hidden="1" customHeight="1" x14ac:dyDescent="0.3">
      <c r="A605" s="99">
        <v>46247</v>
      </c>
      <c r="B605" s="59">
        <v>8169256</v>
      </c>
      <c r="C605" s="60" t="s">
        <v>41</v>
      </c>
      <c r="D605" s="60" t="s">
        <v>299</v>
      </c>
      <c r="E605" s="61">
        <v>0.70833333333333337</v>
      </c>
      <c r="F605" s="60" t="s">
        <v>13</v>
      </c>
      <c r="G605" s="71" t="s">
        <v>24</v>
      </c>
      <c r="H605" s="62">
        <v>0.70833333333333337</v>
      </c>
      <c r="I605" s="113" t="str">
        <f t="shared" si="148"/>
        <v>13-08-2026T17:00:00</v>
      </c>
      <c r="J605" s="62">
        <v>0.78472222222222221</v>
      </c>
      <c r="K605" s="62"/>
      <c r="L605" s="63">
        <f t="shared" si="149"/>
        <v>7.638888888888884E-2</v>
      </c>
      <c r="M605" s="64">
        <v>8.3333333333333329E-2</v>
      </c>
      <c r="N605" s="65" t="str">
        <f t="shared" si="150"/>
        <v>00:10:00</v>
      </c>
      <c r="O605" s="66"/>
      <c r="P605" s="124"/>
      <c r="Q605" s="67"/>
      <c r="R605" s="68"/>
      <c r="S605" s="68"/>
      <c r="T605" s="69">
        <f t="shared" si="151"/>
        <v>0</v>
      </c>
      <c r="U605" s="61"/>
      <c r="V605" s="83">
        <v>0</v>
      </c>
      <c r="W605" s="61">
        <f t="shared" si="152"/>
        <v>0</v>
      </c>
      <c r="X605" s="171">
        <v>46247.708333333336</v>
      </c>
      <c r="Y605" s="171">
        <v>46247.784722222219</v>
      </c>
      <c r="Z605" s="168">
        <f t="shared" si="144"/>
        <v>7.6388888883229811E-2</v>
      </c>
      <c r="AA605" s="169">
        <f t="shared" si="145"/>
        <v>8.3333333333333329E-2</v>
      </c>
      <c r="AB605" s="170" t="str">
        <f t="shared" si="146"/>
        <v>00:10:00</v>
      </c>
      <c r="AC605" s="170" t="b">
        <f t="shared" si="147"/>
        <v>1</v>
      </c>
    </row>
    <row r="606" spans="1:29" s="128" customFormat="1" ht="9.75" hidden="1" customHeight="1" x14ac:dyDescent="0.3">
      <c r="A606" s="99">
        <v>46247</v>
      </c>
      <c r="B606" s="59">
        <v>8169295</v>
      </c>
      <c r="C606" s="60" t="s">
        <v>87</v>
      </c>
      <c r="D606" s="60" t="s">
        <v>367</v>
      </c>
      <c r="E606" s="61">
        <v>0.70833333333333337</v>
      </c>
      <c r="F606" s="60" t="s">
        <v>85</v>
      </c>
      <c r="G606" s="71" t="s">
        <v>13</v>
      </c>
      <c r="H606" s="62">
        <v>46247.724305555559</v>
      </c>
      <c r="I606" s="113" t="str">
        <f t="shared" si="148"/>
        <v>13-08-2026T17:23:00</v>
      </c>
      <c r="J606" s="62">
        <v>46248.052777777775</v>
      </c>
      <c r="K606" s="62"/>
      <c r="L606" s="63">
        <f t="shared" si="149"/>
        <v>0.32847222221607808</v>
      </c>
      <c r="M606" s="64">
        <v>0.33333333333333331</v>
      </c>
      <c r="N606" s="65" t="str">
        <f t="shared" si="150"/>
        <v>00:07:00</v>
      </c>
      <c r="O606" s="66"/>
      <c r="P606" s="124"/>
      <c r="Q606" s="67" t="s">
        <v>174</v>
      </c>
      <c r="R606" s="68">
        <v>46247.78125</v>
      </c>
      <c r="S606" s="68">
        <v>46247.82708333333</v>
      </c>
      <c r="T606" s="47">
        <f t="shared" si="151"/>
        <v>4.5833333329937886E-2</v>
      </c>
      <c r="U606" s="61"/>
      <c r="V606" s="83">
        <v>4.1666666666666664E-2</v>
      </c>
      <c r="W606" s="61">
        <f t="shared" si="152"/>
        <v>4.1666666632712221E-3</v>
      </c>
      <c r="X606" s="171">
        <v>46247.724305555559</v>
      </c>
      <c r="Y606" s="171">
        <v>46248.052777777775</v>
      </c>
      <c r="Z606" s="168">
        <f t="shared" si="144"/>
        <v>0.32847222221607808</v>
      </c>
      <c r="AA606" s="169">
        <f t="shared" si="145"/>
        <v>0.33333333333333331</v>
      </c>
      <c r="AB606" s="170" t="str">
        <f t="shared" si="146"/>
        <v>00:07:00</v>
      </c>
      <c r="AC606" s="170" t="b">
        <f t="shared" si="147"/>
        <v>1</v>
      </c>
    </row>
    <row r="607" spans="1:29" s="128" customFormat="1" ht="9.75" hidden="1" customHeight="1" x14ac:dyDescent="0.3">
      <c r="A607" s="99">
        <v>46247</v>
      </c>
      <c r="B607" s="59">
        <v>8169225</v>
      </c>
      <c r="C607" s="60" t="s">
        <v>94</v>
      </c>
      <c r="D607" s="60" t="s">
        <v>293</v>
      </c>
      <c r="E607" s="61">
        <v>0.70833333333333337</v>
      </c>
      <c r="F607" s="60" t="s">
        <v>13</v>
      </c>
      <c r="G607" s="71" t="s">
        <v>23</v>
      </c>
      <c r="H607" s="62">
        <v>46247.701388888891</v>
      </c>
      <c r="I607" s="113" t="str">
        <f t="shared" si="148"/>
        <v>13-08-2026T16:50:00</v>
      </c>
      <c r="J607" s="62">
        <v>46248.828472222223</v>
      </c>
      <c r="K607" s="62"/>
      <c r="L607" s="63">
        <f t="shared" si="149"/>
        <v>1.1270833333328483</v>
      </c>
      <c r="M607" s="64">
        <v>1</v>
      </c>
      <c r="N607" s="65" t="str">
        <f t="shared" si="150"/>
        <v>-03:03:00</v>
      </c>
      <c r="O607" s="66"/>
      <c r="P607" s="124" t="s">
        <v>600</v>
      </c>
      <c r="Q607" s="67"/>
      <c r="R607" s="68"/>
      <c r="S607" s="68"/>
      <c r="T607" s="69">
        <f t="shared" si="151"/>
        <v>0</v>
      </c>
      <c r="U607" s="61"/>
      <c r="V607" s="83">
        <v>0</v>
      </c>
      <c r="W607" s="61">
        <f t="shared" si="152"/>
        <v>0</v>
      </c>
      <c r="X607" s="172">
        <v>46247.701388888891</v>
      </c>
      <c r="Y607" s="172">
        <v>46248.828472222223</v>
      </c>
      <c r="Z607" s="173">
        <f t="shared" si="144"/>
        <v>1.1270833333328483</v>
      </c>
      <c r="AA607" s="174">
        <f t="shared" si="145"/>
        <v>1</v>
      </c>
      <c r="AB607" s="175" t="str">
        <f t="shared" si="146"/>
        <v>-03:03:00</v>
      </c>
      <c r="AC607" s="175" t="b">
        <f t="shared" si="147"/>
        <v>1</v>
      </c>
    </row>
    <row r="608" spans="1:29" s="127" customFormat="1" ht="9.75" hidden="1" customHeight="1" x14ac:dyDescent="0.3">
      <c r="A608" s="98">
        <v>46247</v>
      </c>
      <c r="B608" s="48">
        <v>8169290</v>
      </c>
      <c r="C608" s="49" t="s">
        <v>27</v>
      </c>
      <c r="D608" s="49" t="s">
        <v>378</v>
      </c>
      <c r="E608" s="50">
        <v>0.70833333333333337</v>
      </c>
      <c r="F608" s="49" t="s">
        <v>28</v>
      </c>
      <c r="G608" s="70" t="s">
        <v>13</v>
      </c>
      <c r="H608" s="51">
        <v>0.72083333333333333</v>
      </c>
      <c r="I608" s="113" t="str">
        <f t="shared" si="148"/>
        <v>13-08-2026T17:18:00</v>
      </c>
      <c r="J608" s="51">
        <v>0.8881944444444444</v>
      </c>
      <c r="K608" s="51"/>
      <c r="L608" s="52">
        <f t="shared" si="149"/>
        <v>0.16736111111111107</v>
      </c>
      <c r="M608" s="53">
        <v>0.16666666666666666</v>
      </c>
      <c r="N608" s="54" t="str">
        <f t="shared" si="150"/>
        <v>-00:01:00</v>
      </c>
      <c r="O608" s="55">
        <v>150</v>
      </c>
      <c r="P608" s="147" t="s">
        <v>455</v>
      </c>
      <c r="Q608" s="56"/>
      <c r="R608" s="57"/>
      <c r="S608" s="57"/>
      <c r="T608" s="58">
        <f t="shared" si="151"/>
        <v>0</v>
      </c>
      <c r="U608" s="50"/>
      <c r="V608" s="74">
        <v>0</v>
      </c>
      <c r="W608" s="50">
        <f t="shared" si="152"/>
        <v>0</v>
      </c>
      <c r="X608" s="171">
        <v>46247.720833333333</v>
      </c>
      <c r="Y608" s="171">
        <v>46247.888194444444</v>
      </c>
      <c r="Z608" s="168">
        <f t="shared" si="144"/>
        <v>0.16736111111094942</v>
      </c>
      <c r="AA608" s="169">
        <f t="shared" si="145"/>
        <v>0.16666666666666666</v>
      </c>
      <c r="AB608" s="170" t="str">
        <f t="shared" si="146"/>
        <v>-00:01:00</v>
      </c>
      <c r="AC608" s="170" t="b">
        <f t="shared" si="147"/>
        <v>1</v>
      </c>
    </row>
    <row r="609" spans="1:29" s="128" customFormat="1" ht="9.75" hidden="1" customHeight="1" x14ac:dyDescent="0.3">
      <c r="A609" s="99">
        <v>46247</v>
      </c>
      <c r="B609" s="59">
        <v>8169317</v>
      </c>
      <c r="C609" s="60" t="s">
        <v>89</v>
      </c>
      <c r="D609" s="60" t="s">
        <v>294</v>
      </c>
      <c r="E609" s="61">
        <v>0.75</v>
      </c>
      <c r="F609" s="60" t="s">
        <v>35</v>
      </c>
      <c r="G609" s="71" t="s">
        <v>13</v>
      </c>
      <c r="H609" s="62">
        <v>0.73333333333333328</v>
      </c>
      <c r="I609" s="113" t="str">
        <f t="shared" si="148"/>
        <v>13-08-2026T17:36:00</v>
      </c>
      <c r="J609" s="62">
        <v>0.76041666666666663</v>
      </c>
      <c r="K609" s="62"/>
      <c r="L609" s="63">
        <f t="shared" si="149"/>
        <v>2.7083333333333348E-2</v>
      </c>
      <c r="M609" s="64">
        <v>4.1666666666666664E-2</v>
      </c>
      <c r="N609" s="65" t="str">
        <f t="shared" si="150"/>
        <v>00:21:00</v>
      </c>
      <c r="O609" s="66"/>
      <c r="P609" s="124"/>
      <c r="Q609" s="67"/>
      <c r="R609" s="68"/>
      <c r="S609" s="68"/>
      <c r="T609" s="69">
        <f t="shared" si="151"/>
        <v>0</v>
      </c>
      <c r="U609" s="61"/>
      <c r="V609" s="83">
        <v>0</v>
      </c>
      <c r="W609" s="61">
        <f t="shared" si="152"/>
        <v>0</v>
      </c>
      <c r="X609" s="171">
        <v>46247.73333333333</v>
      </c>
      <c r="Y609" s="171">
        <v>46247.760416666664</v>
      </c>
      <c r="Z609" s="168">
        <f t="shared" si="144"/>
        <v>2.7083333334303461E-2</v>
      </c>
      <c r="AA609" s="169">
        <f t="shared" si="145"/>
        <v>4.1666666666666664E-2</v>
      </c>
      <c r="AB609" s="170" t="str">
        <f t="shared" si="146"/>
        <v>00:21:00</v>
      </c>
      <c r="AC609" s="170" t="b">
        <f t="shared" si="147"/>
        <v>1</v>
      </c>
    </row>
    <row r="610" spans="1:29" s="128" customFormat="1" ht="9.75" hidden="1" customHeight="1" x14ac:dyDescent="0.3">
      <c r="A610" s="99">
        <v>46247</v>
      </c>
      <c r="B610" s="59">
        <v>8169610</v>
      </c>
      <c r="C610" s="60" t="s">
        <v>32</v>
      </c>
      <c r="D610" s="60" t="s">
        <v>476</v>
      </c>
      <c r="E610" s="61">
        <v>0.83333333333333337</v>
      </c>
      <c r="F610" s="60" t="s">
        <v>287</v>
      </c>
      <c r="G610" s="71" t="s">
        <v>13</v>
      </c>
      <c r="H610" s="62">
        <v>0.82916666666666672</v>
      </c>
      <c r="I610" s="113" t="str">
        <f t="shared" si="148"/>
        <v>13-08-2026T19:54:00</v>
      </c>
      <c r="J610" s="62">
        <v>0.96597222222222223</v>
      </c>
      <c r="K610" s="62"/>
      <c r="L610" s="63">
        <f t="shared" si="149"/>
        <v>0.13680555555555551</v>
      </c>
      <c r="M610" s="64">
        <v>0.14583333333333334</v>
      </c>
      <c r="N610" s="65" t="str">
        <f t="shared" si="150"/>
        <v>00:13:00</v>
      </c>
      <c r="O610" s="66"/>
      <c r="P610" s="124"/>
      <c r="Q610" s="67"/>
      <c r="R610" s="68"/>
      <c r="S610" s="68"/>
      <c r="T610" s="69">
        <f t="shared" si="151"/>
        <v>0</v>
      </c>
      <c r="U610" s="61"/>
      <c r="V610" s="83">
        <v>0</v>
      </c>
      <c r="W610" s="61">
        <f t="shared" si="152"/>
        <v>0</v>
      </c>
      <c r="X610" s="171">
        <v>46247.82916666667</v>
      </c>
      <c r="Y610" s="171">
        <v>46247.96597222222</v>
      </c>
      <c r="Z610" s="168">
        <f t="shared" si="144"/>
        <v>0.13680555555038154</v>
      </c>
      <c r="AA610" s="169">
        <f t="shared" si="145"/>
        <v>0.14583333333333334</v>
      </c>
      <c r="AB610" s="170" t="str">
        <f t="shared" si="146"/>
        <v>00:13:00</v>
      </c>
      <c r="AC610" s="170" t="b">
        <f t="shared" si="147"/>
        <v>1</v>
      </c>
    </row>
    <row r="611" spans="1:29" s="128" customFormat="1" ht="9.75" hidden="1" customHeight="1" x14ac:dyDescent="0.3">
      <c r="A611" s="99">
        <v>46247</v>
      </c>
      <c r="B611" s="59">
        <v>8169834</v>
      </c>
      <c r="C611" s="60" t="s">
        <v>56</v>
      </c>
      <c r="D611" s="60" t="s">
        <v>472</v>
      </c>
      <c r="E611" s="61">
        <v>0.875</v>
      </c>
      <c r="F611" s="60" t="s">
        <v>13</v>
      </c>
      <c r="G611" s="71" t="s">
        <v>15</v>
      </c>
      <c r="H611" s="62">
        <v>46247.887499999997</v>
      </c>
      <c r="I611" s="113" t="str">
        <f t="shared" si="148"/>
        <v>13-08-2026T21:18:00</v>
      </c>
      <c r="J611" s="62">
        <v>46248.095138888886</v>
      </c>
      <c r="K611" s="62"/>
      <c r="L611" s="63">
        <f t="shared" si="149"/>
        <v>0.20763888888905058</v>
      </c>
      <c r="M611" s="64">
        <v>0.20833333333333334</v>
      </c>
      <c r="N611" s="65" t="str">
        <f t="shared" si="150"/>
        <v>00:01:00</v>
      </c>
      <c r="O611" s="66"/>
      <c r="P611" s="124"/>
      <c r="Q611" s="67"/>
      <c r="R611" s="68"/>
      <c r="S611" s="68"/>
      <c r="T611" s="69">
        <f t="shared" si="151"/>
        <v>0</v>
      </c>
      <c r="U611" s="61"/>
      <c r="V611" s="83">
        <v>0</v>
      </c>
      <c r="W611" s="61">
        <f t="shared" si="152"/>
        <v>0</v>
      </c>
      <c r="X611" s="171">
        <v>46247.887499999997</v>
      </c>
      <c r="Y611" s="171">
        <v>46248.095138888886</v>
      </c>
      <c r="Z611" s="168">
        <f t="shared" si="144"/>
        <v>0.20763888888905058</v>
      </c>
      <c r="AA611" s="169">
        <f t="shared" si="145"/>
        <v>0.20833333333333334</v>
      </c>
      <c r="AB611" s="170" t="str">
        <f t="shared" si="146"/>
        <v>00:01:00</v>
      </c>
      <c r="AC611" s="170" t="b">
        <f t="shared" si="147"/>
        <v>1</v>
      </c>
    </row>
    <row r="612" spans="1:29" s="128" customFormat="1" ht="9.75" hidden="1" customHeight="1" x14ac:dyDescent="0.3">
      <c r="A612" s="99">
        <v>46247</v>
      </c>
      <c r="B612" s="59">
        <v>8169793</v>
      </c>
      <c r="C612" s="60" t="s">
        <v>42</v>
      </c>
      <c r="D612" s="60" t="s">
        <v>181</v>
      </c>
      <c r="E612" s="61">
        <v>0.875</v>
      </c>
      <c r="F612" s="60" t="s">
        <v>55</v>
      </c>
      <c r="G612" s="71" t="s">
        <v>13</v>
      </c>
      <c r="H612" s="62">
        <v>0.87638888888888888</v>
      </c>
      <c r="I612" s="113" t="str">
        <f t="shared" si="148"/>
        <v>13-08-2026T21:02:00</v>
      </c>
      <c r="J612" s="62">
        <v>0.92847222222222225</v>
      </c>
      <c r="K612" s="62"/>
      <c r="L612" s="63">
        <f t="shared" si="149"/>
        <v>5.208333333333337E-2</v>
      </c>
      <c r="M612" s="64">
        <v>6.25E-2</v>
      </c>
      <c r="N612" s="65" t="str">
        <f t="shared" si="150"/>
        <v>00:15:00</v>
      </c>
      <c r="O612" s="66"/>
      <c r="P612" s="124"/>
      <c r="Q612" s="67"/>
      <c r="R612" s="68"/>
      <c r="S612" s="68"/>
      <c r="T612" s="69">
        <f t="shared" si="151"/>
        <v>0</v>
      </c>
      <c r="U612" s="61"/>
      <c r="V612" s="83">
        <v>0</v>
      </c>
      <c r="W612" s="61">
        <f t="shared" si="152"/>
        <v>0</v>
      </c>
      <c r="X612" s="171">
        <v>46247.876388888886</v>
      </c>
      <c r="Y612" s="171">
        <v>46247.928472222222</v>
      </c>
      <c r="Z612" s="168">
        <f t="shared" si="144"/>
        <v>5.2083333335758653E-2</v>
      </c>
      <c r="AA612" s="169">
        <f t="shared" si="145"/>
        <v>6.25E-2</v>
      </c>
      <c r="AB612" s="170" t="str">
        <f t="shared" si="146"/>
        <v>00:15:00</v>
      </c>
      <c r="AC612" s="170" t="b">
        <f t="shared" si="147"/>
        <v>1</v>
      </c>
    </row>
    <row r="613" spans="1:29" s="128" customFormat="1" ht="9.75" hidden="1" customHeight="1" x14ac:dyDescent="0.3">
      <c r="A613" s="99">
        <v>46247</v>
      </c>
      <c r="B613" s="59">
        <v>8169730</v>
      </c>
      <c r="C613" s="60" t="s">
        <v>54</v>
      </c>
      <c r="D613" s="60" t="s">
        <v>288</v>
      </c>
      <c r="E613" s="61">
        <v>0.875</v>
      </c>
      <c r="F613" s="60" t="s">
        <v>24</v>
      </c>
      <c r="G613" s="71" t="s">
        <v>13</v>
      </c>
      <c r="H613" s="62">
        <v>0.86458333333333337</v>
      </c>
      <c r="I613" s="113" t="str">
        <f t="shared" si="148"/>
        <v>13-08-2026T20:45:00</v>
      </c>
      <c r="J613" s="62">
        <v>0.93888888888888888</v>
      </c>
      <c r="K613" s="62"/>
      <c r="L613" s="63">
        <f t="shared" si="149"/>
        <v>7.4305555555555514E-2</v>
      </c>
      <c r="M613" s="64">
        <v>8.3333333333333329E-2</v>
      </c>
      <c r="N613" s="65" t="str">
        <f t="shared" si="150"/>
        <v>00:13:00</v>
      </c>
      <c r="O613" s="66"/>
      <c r="P613" s="124"/>
      <c r="Q613" s="67"/>
      <c r="R613" s="68"/>
      <c r="S613" s="68"/>
      <c r="T613" s="69">
        <f t="shared" si="151"/>
        <v>0</v>
      </c>
      <c r="U613" s="61"/>
      <c r="V613" s="83">
        <v>0</v>
      </c>
      <c r="W613" s="61">
        <f t="shared" si="152"/>
        <v>0</v>
      </c>
      <c r="X613" s="171">
        <v>46247.864583333336</v>
      </c>
      <c r="Y613" s="171">
        <v>46247.938888888886</v>
      </c>
      <c r="Z613" s="168">
        <f t="shared" si="144"/>
        <v>7.4305555550381541E-2</v>
      </c>
      <c r="AA613" s="169">
        <f t="shared" si="145"/>
        <v>8.3333333333333329E-2</v>
      </c>
      <c r="AB613" s="170" t="str">
        <f t="shared" si="146"/>
        <v>00:13:00</v>
      </c>
      <c r="AC613" s="170" t="b">
        <f t="shared" si="147"/>
        <v>1</v>
      </c>
    </row>
    <row r="614" spans="1:29" s="128" customFormat="1" ht="9.75" hidden="1" customHeight="1" x14ac:dyDescent="0.3">
      <c r="A614" s="99">
        <v>46247</v>
      </c>
      <c r="B614" s="59">
        <v>8170106</v>
      </c>
      <c r="C614" s="60" t="s">
        <v>52</v>
      </c>
      <c r="D614" s="60" t="s">
        <v>616</v>
      </c>
      <c r="E614" s="61">
        <v>0.99930555555555556</v>
      </c>
      <c r="F614" s="60" t="s">
        <v>15</v>
      </c>
      <c r="G614" s="71" t="s">
        <v>13</v>
      </c>
      <c r="H614" s="62">
        <v>46247.997916666667</v>
      </c>
      <c r="I614" s="113" t="str">
        <f t="shared" si="148"/>
        <v>13-08-2026T23:57:00</v>
      </c>
      <c r="J614" s="62">
        <v>46248.20208333333</v>
      </c>
      <c r="K614" s="62"/>
      <c r="L614" s="63">
        <f t="shared" si="149"/>
        <v>0.20416666666278616</v>
      </c>
      <c r="M614" s="64">
        <v>0.20833333333333334</v>
      </c>
      <c r="N614" s="65" t="str">
        <f t="shared" si="150"/>
        <v>00:06:00</v>
      </c>
      <c r="O614" s="66"/>
      <c r="P614" s="124"/>
      <c r="Q614" s="67"/>
      <c r="R614" s="68"/>
      <c r="S614" s="68"/>
      <c r="T614" s="69">
        <f t="shared" si="151"/>
        <v>0</v>
      </c>
      <c r="U614" s="61"/>
      <c r="V614" s="83">
        <v>0</v>
      </c>
      <c r="W614" s="61">
        <f t="shared" si="152"/>
        <v>0</v>
      </c>
      <c r="X614" s="171">
        <v>46247.997916666667</v>
      </c>
      <c r="Y614" s="171">
        <v>46248.20208333333</v>
      </c>
      <c r="Z614" s="168">
        <f t="shared" si="144"/>
        <v>0.20416666666278616</v>
      </c>
      <c r="AA614" s="169">
        <f t="shared" si="145"/>
        <v>0.20833333333333334</v>
      </c>
      <c r="AB614" s="170" t="str">
        <f t="shared" si="146"/>
        <v>00:06:00</v>
      </c>
      <c r="AC614" s="170" t="b">
        <f t="shared" si="147"/>
        <v>1</v>
      </c>
    </row>
    <row r="615" spans="1:29" s="128" customFormat="1" ht="9.75" customHeight="1" x14ac:dyDescent="0.3">
      <c r="A615" s="99">
        <v>46247</v>
      </c>
      <c r="B615" s="59">
        <v>8167361</v>
      </c>
      <c r="C615" s="60" t="s">
        <v>90</v>
      </c>
      <c r="D615" s="60" t="s">
        <v>290</v>
      </c>
      <c r="E615" s="61">
        <v>0.99930555555555556</v>
      </c>
      <c r="F615" s="60" t="s">
        <v>13</v>
      </c>
      <c r="G615" s="71" t="s">
        <v>15</v>
      </c>
      <c r="H615" s="62">
        <v>2.7777777777777779E-3</v>
      </c>
      <c r="I615" s="113" t="str">
        <f t="shared" si="148"/>
        <v>13-08-2026T00:04:00</v>
      </c>
      <c r="J615" s="62">
        <v>0.24652777777777779</v>
      </c>
      <c r="K615" s="113" t="str">
        <f>TEXT(A615,"dd-mm-yyyy")&amp;"T"&amp;TEXT(J615,"hh:mm:ss")</f>
        <v>13-08-2026T05:55:00</v>
      </c>
      <c r="L615" s="63">
        <f t="shared" si="149"/>
        <v>0.24375000000000002</v>
      </c>
      <c r="M615" s="64">
        <v>0.27083333333333331</v>
      </c>
      <c r="N615" s="65" t="str">
        <f t="shared" si="150"/>
        <v>00:39:00</v>
      </c>
      <c r="O615" s="66"/>
      <c r="P615" s="124"/>
      <c r="Q615" s="67" t="s">
        <v>13</v>
      </c>
      <c r="R615" s="68">
        <v>1.2500000000000001E-2</v>
      </c>
      <c r="S615" s="68">
        <v>3.8194444444444448E-2</v>
      </c>
      <c r="T615" s="69">
        <f t="shared" si="151"/>
        <v>2.5694444444444447E-2</v>
      </c>
      <c r="U615" s="61"/>
      <c r="V615" s="83">
        <v>0</v>
      </c>
      <c r="W615" s="61">
        <f t="shared" si="152"/>
        <v>2.5694444444444447E-2</v>
      </c>
      <c r="X615" s="171">
        <v>46247.00277777778</v>
      </c>
      <c r="Y615" s="171">
        <v>46247.246527777781</v>
      </c>
      <c r="Z615" s="168">
        <f t="shared" si="144"/>
        <v>0.24375000000145519</v>
      </c>
      <c r="AA615" s="169">
        <f t="shared" si="145"/>
        <v>0.27083333333333331</v>
      </c>
      <c r="AB615" s="170" t="str">
        <f t="shared" si="146"/>
        <v>00:39:00</v>
      </c>
      <c r="AC615" s="170" t="b">
        <f t="shared" si="147"/>
        <v>1</v>
      </c>
    </row>
    <row r="616" spans="1:29" s="128" customFormat="1" ht="9.75" hidden="1" customHeight="1" x14ac:dyDescent="0.3">
      <c r="A616" s="99">
        <v>46247</v>
      </c>
      <c r="B616" s="59">
        <v>8170085</v>
      </c>
      <c r="C616" s="60" t="s">
        <v>57</v>
      </c>
      <c r="D616" s="60" t="s">
        <v>370</v>
      </c>
      <c r="E616" s="61">
        <v>0.99930555555555556</v>
      </c>
      <c r="F616" s="60" t="s">
        <v>24</v>
      </c>
      <c r="G616" s="71" t="s">
        <v>13</v>
      </c>
      <c r="H616" s="62">
        <v>46247.994444444441</v>
      </c>
      <c r="I616" s="113" t="str">
        <f t="shared" si="148"/>
        <v>13-08-2026T23:52:00</v>
      </c>
      <c r="J616" s="62">
        <v>46248.066666666666</v>
      </c>
      <c r="K616" s="62"/>
      <c r="L616" s="63">
        <f t="shared" si="149"/>
        <v>7.2222222224809229E-2</v>
      </c>
      <c r="M616" s="64">
        <v>8.3333333333333329E-2</v>
      </c>
      <c r="N616" s="65" t="str">
        <f t="shared" si="150"/>
        <v>00:16:00</v>
      </c>
      <c r="O616" s="66"/>
      <c r="P616" s="124"/>
      <c r="Q616" s="67"/>
      <c r="R616" s="68"/>
      <c r="S616" s="68"/>
      <c r="T616" s="69">
        <f t="shared" si="151"/>
        <v>0</v>
      </c>
      <c r="U616" s="61"/>
      <c r="V616" s="83">
        <v>0</v>
      </c>
      <c r="W616" s="61">
        <f t="shared" si="152"/>
        <v>0</v>
      </c>
      <c r="X616" s="171">
        <v>46247.994444444441</v>
      </c>
      <c r="Y616" s="171">
        <v>46248.066666666666</v>
      </c>
      <c r="Z616" s="168">
        <f t="shared" si="144"/>
        <v>7.2222222224809229E-2</v>
      </c>
      <c r="AA616" s="169">
        <f t="shared" si="145"/>
        <v>8.3333333333333329E-2</v>
      </c>
      <c r="AB616" s="170" t="str">
        <f t="shared" si="146"/>
        <v>00:16:00</v>
      </c>
      <c r="AC616" s="170" t="b">
        <f t="shared" si="147"/>
        <v>1</v>
      </c>
    </row>
    <row r="617" spans="1:29" s="127" customFormat="1" ht="9.75" hidden="1" customHeight="1" x14ac:dyDescent="0.3">
      <c r="A617" s="98">
        <v>46247</v>
      </c>
      <c r="B617" s="48">
        <v>8169653</v>
      </c>
      <c r="C617" s="49" t="s">
        <v>22</v>
      </c>
      <c r="D617" s="49" t="s">
        <v>385</v>
      </c>
      <c r="E617" s="50" t="s">
        <v>184</v>
      </c>
      <c r="F617" s="49" t="s">
        <v>583</v>
      </c>
      <c r="G617" s="70" t="s">
        <v>13</v>
      </c>
      <c r="H617" s="51">
        <v>46247.838194444441</v>
      </c>
      <c r="I617" s="113" t="str">
        <f t="shared" si="148"/>
        <v>13-08-2026T20:07:00</v>
      </c>
      <c r="J617" s="51">
        <v>46249.406944444447</v>
      </c>
      <c r="K617" s="51"/>
      <c r="L617" s="52">
        <f t="shared" si="149"/>
        <v>1.5687500000058208</v>
      </c>
      <c r="M617" s="53">
        <v>1.4583333333333333</v>
      </c>
      <c r="N617" s="54" t="str">
        <f t="shared" si="150"/>
        <v>-02:39:00</v>
      </c>
      <c r="O617" s="55"/>
      <c r="P617" s="125" t="s">
        <v>184</v>
      </c>
      <c r="Q617" s="56"/>
      <c r="R617" s="57"/>
      <c r="S617" s="57"/>
      <c r="T617" s="58">
        <f t="shared" si="151"/>
        <v>0</v>
      </c>
      <c r="U617" s="50"/>
      <c r="V617" s="74" t="s">
        <v>393</v>
      </c>
      <c r="W617" s="50" t="e">
        <f t="shared" si="152"/>
        <v>#VALUE!</v>
      </c>
      <c r="X617" s="171">
        <v>46247.838194444441</v>
      </c>
      <c r="Y617" s="171">
        <v>46249.406944444447</v>
      </c>
      <c r="Z617" s="168">
        <f t="shared" si="144"/>
        <v>1.5687500000058208</v>
      </c>
      <c r="AA617" s="169">
        <f t="shared" si="145"/>
        <v>1.4583333333333333</v>
      </c>
      <c r="AB617" s="170" t="str">
        <f t="shared" si="146"/>
        <v>-02:39:00</v>
      </c>
      <c r="AC617" s="170" t="b">
        <f t="shared" si="147"/>
        <v>1</v>
      </c>
    </row>
    <row r="618" spans="1:29" s="128" customFormat="1" ht="9.75" hidden="1" customHeight="1" x14ac:dyDescent="0.3">
      <c r="A618" s="99">
        <v>46247</v>
      </c>
      <c r="B618" s="59">
        <v>8167378</v>
      </c>
      <c r="C618" s="60" t="s">
        <v>307</v>
      </c>
      <c r="D618" s="60" t="s">
        <v>464</v>
      </c>
      <c r="E618" s="61" t="s">
        <v>184</v>
      </c>
      <c r="F618" s="60" t="s">
        <v>665</v>
      </c>
      <c r="G618" s="71" t="s">
        <v>13</v>
      </c>
      <c r="H618" s="62">
        <v>46247.018055555556</v>
      </c>
      <c r="I618" s="113" t="str">
        <f t="shared" si="148"/>
        <v>13-08-2026T00:26:00</v>
      </c>
      <c r="J618" s="62">
        <v>46248.374305555553</v>
      </c>
      <c r="K618" s="62"/>
      <c r="L618" s="63">
        <f t="shared" si="149"/>
        <v>1.3562499999970896</v>
      </c>
      <c r="M618" s="64">
        <v>1.6666666666666667</v>
      </c>
      <c r="N618" s="65" t="str">
        <f t="shared" si="150"/>
        <v>07:27:00</v>
      </c>
      <c r="O618" s="66"/>
      <c r="P618" s="124" t="s">
        <v>184</v>
      </c>
      <c r="Q618" s="67"/>
      <c r="R618" s="68"/>
      <c r="S618" s="68"/>
      <c r="T618" s="69">
        <v>0</v>
      </c>
      <c r="U618" s="61"/>
      <c r="V618" s="146">
        <v>0</v>
      </c>
      <c r="W618" s="61">
        <f t="shared" si="152"/>
        <v>0</v>
      </c>
      <c r="X618" s="171">
        <v>46247.018055555556</v>
      </c>
      <c r="Y618" s="171">
        <v>46248.374305555553</v>
      </c>
      <c r="Z618" s="168">
        <f t="shared" si="144"/>
        <v>1.3562499999970896</v>
      </c>
      <c r="AA618" s="169">
        <f t="shared" si="145"/>
        <v>1.6666666666666667</v>
      </c>
      <c r="AB618" s="170" t="str">
        <f t="shared" si="146"/>
        <v>07:27:00</v>
      </c>
      <c r="AC618" s="170" t="b">
        <f t="shared" si="147"/>
        <v>1</v>
      </c>
    </row>
    <row r="619" spans="1:29" s="144" customFormat="1" ht="9.75" hidden="1" customHeight="1" x14ac:dyDescent="0.3">
      <c r="A619" s="129">
        <v>46248</v>
      </c>
      <c r="B619" s="130">
        <v>8170200</v>
      </c>
      <c r="C619" s="131" t="s">
        <v>25</v>
      </c>
      <c r="D619" s="131" t="s">
        <v>477</v>
      </c>
      <c r="E619" s="132">
        <v>6.25E-2</v>
      </c>
      <c r="F619" s="131" t="s">
        <v>13</v>
      </c>
      <c r="G619" s="133" t="s">
        <v>26</v>
      </c>
      <c r="H619" s="134">
        <v>7.2222222222222215E-2</v>
      </c>
      <c r="I619" s="113" t="str">
        <f t="shared" si="148"/>
        <v>14-08-2026T01:44:00</v>
      </c>
      <c r="J619" s="134">
        <v>0.54374999999999996</v>
      </c>
      <c r="K619" s="134"/>
      <c r="L619" s="135">
        <f t="shared" si="149"/>
        <v>0.47152777777777777</v>
      </c>
      <c r="M619" s="136">
        <v>0.41666666666666669</v>
      </c>
      <c r="N619" s="137" t="str">
        <f t="shared" si="150"/>
        <v>-01:19:00</v>
      </c>
      <c r="O619" s="138"/>
      <c r="P619" s="145" t="s">
        <v>125</v>
      </c>
      <c r="Q619" s="140" t="s">
        <v>312</v>
      </c>
      <c r="R619" s="141">
        <v>46248.270833333336</v>
      </c>
      <c r="S619" s="141">
        <v>46248.378472222219</v>
      </c>
      <c r="T619" s="142">
        <f>S619-R619</f>
        <v>0.10763888888322981</v>
      </c>
      <c r="U619" s="132"/>
      <c r="V619" s="143">
        <v>4.1666666666666664E-2</v>
      </c>
      <c r="W619" s="132">
        <f t="shared" si="152"/>
        <v>6.5972222216563153E-2</v>
      </c>
      <c r="X619" s="171">
        <v>46248.072222222225</v>
      </c>
      <c r="Y619" s="171">
        <v>46248.543749999997</v>
      </c>
      <c r="Z619" s="168">
        <f t="shared" si="144"/>
        <v>0.47152777777228039</v>
      </c>
      <c r="AA619" s="169">
        <f t="shared" si="145"/>
        <v>0.41666666666666669</v>
      </c>
      <c r="AB619" s="170" t="str">
        <f t="shared" si="146"/>
        <v>-01:19:00</v>
      </c>
      <c r="AC619" s="170" t="b">
        <f t="shared" si="147"/>
        <v>1</v>
      </c>
    </row>
    <row r="620" spans="1:29" s="127" customFormat="1" ht="9.75" hidden="1" customHeight="1" x14ac:dyDescent="0.3">
      <c r="A620" s="98">
        <v>46248</v>
      </c>
      <c r="B620" s="48">
        <v>8170245</v>
      </c>
      <c r="C620" s="49" t="s">
        <v>104</v>
      </c>
      <c r="D620" s="49" t="s">
        <v>382</v>
      </c>
      <c r="E620" s="50">
        <v>8.3333333333333329E-2</v>
      </c>
      <c r="F620" s="49" t="s">
        <v>13</v>
      </c>
      <c r="G620" s="70" t="s">
        <v>19</v>
      </c>
      <c r="H620" s="51">
        <v>8.4027777777777785E-2</v>
      </c>
      <c r="I620" s="113" t="str">
        <f t="shared" si="148"/>
        <v>14-08-2026T02:01:00</v>
      </c>
      <c r="J620" s="51">
        <v>0.5229166666666667</v>
      </c>
      <c r="K620" s="51"/>
      <c r="L620" s="52">
        <f t="shared" si="149"/>
        <v>0.43888888888888888</v>
      </c>
      <c r="M620" s="53">
        <v>0.41666666666666669</v>
      </c>
      <c r="N620" s="54" t="str">
        <f t="shared" si="150"/>
        <v>-00:32:00</v>
      </c>
      <c r="O620" s="55">
        <v>200</v>
      </c>
      <c r="P620" s="147" t="s">
        <v>455</v>
      </c>
      <c r="Q620" s="56" t="s">
        <v>229</v>
      </c>
      <c r="R620" s="57">
        <v>0.37152777777777779</v>
      </c>
      <c r="S620" s="57">
        <v>0.41319444444444442</v>
      </c>
      <c r="T620" s="58">
        <f>S620-R620</f>
        <v>4.166666666666663E-2</v>
      </c>
      <c r="U620" s="50"/>
      <c r="V620" s="74">
        <v>6.25E-2</v>
      </c>
      <c r="W620" s="50">
        <f t="shared" si="152"/>
        <v>-2.083333333333337E-2</v>
      </c>
      <c r="X620" s="177">
        <v>46248.084027777775</v>
      </c>
      <c r="Y620" s="177">
        <v>46248.522916666669</v>
      </c>
      <c r="Z620" s="178">
        <f t="shared" si="144"/>
        <v>0.43888888889341615</v>
      </c>
      <c r="AA620" s="179">
        <f t="shared" si="145"/>
        <v>0.41666666666666669</v>
      </c>
      <c r="AB620" s="180" t="str">
        <f t="shared" si="146"/>
        <v>-00:32:00</v>
      </c>
      <c r="AC620" s="180" t="b">
        <f t="shared" si="147"/>
        <v>1</v>
      </c>
    </row>
    <row r="621" spans="1:29" s="128" customFormat="1" ht="9.75" hidden="1" customHeight="1" x14ac:dyDescent="0.3">
      <c r="A621" s="99">
        <v>46248</v>
      </c>
      <c r="B621" s="59">
        <v>8170244</v>
      </c>
      <c r="C621" s="60" t="s">
        <v>29</v>
      </c>
      <c r="D621" s="60" t="s">
        <v>373</v>
      </c>
      <c r="E621" s="61">
        <v>8.3333333333333329E-2</v>
      </c>
      <c r="F621" s="60" t="s">
        <v>15</v>
      </c>
      <c r="G621" s="71" t="s">
        <v>17</v>
      </c>
      <c r="H621" s="62">
        <v>8.4027777777777785E-2</v>
      </c>
      <c r="I621" s="113" t="str">
        <f t="shared" si="148"/>
        <v>14-08-2026T02:01:00</v>
      </c>
      <c r="J621" s="62">
        <v>0.48680555555555555</v>
      </c>
      <c r="K621" s="62"/>
      <c r="L621" s="63">
        <f t="shared" si="149"/>
        <v>0.40277777777777779</v>
      </c>
      <c r="M621" s="64">
        <v>0.41666666666666669</v>
      </c>
      <c r="N621" s="65" t="str">
        <f t="shared" si="150"/>
        <v>00:20:00</v>
      </c>
      <c r="O621" s="66"/>
      <c r="P621" s="124"/>
      <c r="Q621" s="67"/>
      <c r="R621" s="68"/>
      <c r="S621" s="68"/>
      <c r="T621" s="69">
        <v>0</v>
      </c>
      <c r="U621" s="61"/>
      <c r="V621" s="83">
        <v>0</v>
      </c>
      <c r="W621" s="61">
        <f t="shared" si="152"/>
        <v>0</v>
      </c>
      <c r="X621" s="171">
        <v>8.4027777777777785E-2</v>
      </c>
      <c r="Y621" s="171">
        <v>0.48680555555555555</v>
      </c>
      <c r="Z621" s="168">
        <f t="shared" si="144"/>
        <v>0.40277777777777779</v>
      </c>
      <c r="AA621" s="169">
        <f t="shared" si="145"/>
        <v>0.41666666666666669</v>
      </c>
      <c r="AB621" s="170" t="str">
        <f t="shared" si="146"/>
        <v>00:20:00</v>
      </c>
      <c r="AC621" s="170" t="b">
        <f t="shared" si="147"/>
        <v>1</v>
      </c>
    </row>
    <row r="622" spans="1:29" ht="9.75" hidden="1" customHeight="1" x14ac:dyDescent="0.3">
      <c r="A622" s="149">
        <v>46247</v>
      </c>
      <c r="B622" s="150" t="s">
        <v>667</v>
      </c>
      <c r="C622" s="151" t="s">
        <v>105</v>
      </c>
      <c r="D622" s="151" t="s">
        <v>386</v>
      </c>
      <c r="E622" s="152">
        <v>0</v>
      </c>
      <c r="F622" s="151"/>
      <c r="G622" s="153"/>
      <c r="H622" s="154">
        <v>0</v>
      </c>
      <c r="I622" s="113" t="str">
        <f t="shared" si="148"/>
        <v>13-08-2026T00:00:00</v>
      </c>
      <c r="J622" s="154">
        <v>0</v>
      </c>
      <c r="K622" s="154"/>
      <c r="L622" s="155">
        <v>0</v>
      </c>
      <c r="M622" s="160">
        <v>0</v>
      </c>
      <c r="N622" s="156">
        <v>0</v>
      </c>
      <c r="O622" s="157"/>
      <c r="P622" s="158" t="s">
        <v>480</v>
      </c>
      <c r="Q622" s="159" t="s">
        <v>480</v>
      </c>
      <c r="R622" s="148" t="s">
        <v>480</v>
      </c>
      <c r="S622" s="148" t="s">
        <v>480</v>
      </c>
      <c r="T622" s="161" t="s">
        <v>480</v>
      </c>
      <c r="U622" s="152" t="s">
        <v>480</v>
      </c>
      <c r="V622" s="146" t="s">
        <v>480</v>
      </c>
      <c r="W622" s="152" t="s">
        <v>480</v>
      </c>
      <c r="X622" s="171" t="s">
        <v>668</v>
      </c>
      <c r="Y622" s="171" t="s">
        <v>668</v>
      </c>
      <c r="Z622" s="168" t="e">
        <f t="shared" si="144"/>
        <v>#VALUE!</v>
      </c>
      <c r="AA622" s="169">
        <f t="shared" si="145"/>
        <v>0</v>
      </c>
      <c r="AB622" s="170" t="e">
        <f t="shared" si="146"/>
        <v>#VALUE!</v>
      </c>
      <c r="AC622" s="170" t="e">
        <f t="shared" si="147"/>
        <v>#VALUE!</v>
      </c>
    </row>
    <row r="623" spans="1:29" s="127" customFormat="1" ht="9.75" hidden="1" customHeight="1" x14ac:dyDescent="0.3">
      <c r="A623" s="98">
        <v>46248</v>
      </c>
      <c r="B623" s="48">
        <v>8170337</v>
      </c>
      <c r="C623" s="49" t="s">
        <v>105</v>
      </c>
      <c r="D623" s="49" t="s">
        <v>386</v>
      </c>
      <c r="E623" s="50">
        <v>0.125</v>
      </c>
      <c r="F623" s="49" t="s">
        <v>23</v>
      </c>
      <c r="G623" s="70" t="s">
        <v>13</v>
      </c>
      <c r="H623" s="51">
        <v>0.12569444444444444</v>
      </c>
      <c r="I623" s="113" t="str">
        <f t="shared" si="148"/>
        <v>14-08-2026T03:01:00</v>
      </c>
      <c r="J623" s="51">
        <v>46249.289583333331</v>
      </c>
      <c r="K623" s="51"/>
      <c r="L623" s="52">
        <f t="shared" ref="L623:L654" si="153">J623-H623</f>
        <v>46249.163888888885</v>
      </c>
      <c r="M623" s="53">
        <v>1.0833333333333333</v>
      </c>
      <c r="N623" s="54" t="str">
        <f t="shared" ref="N623:N654" si="154">IF(M623-L623&gt;0,TEXT(M623-L623,"HH:MM:SS"),TEXT(ABS(M623-L623),"-HH:MM:SS"))</f>
        <v>-01:56:00</v>
      </c>
      <c r="O623" s="55"/>
      <c r="P623" s="147" t="s">
        <v>569</v>
      </c>
      <c r="Q623" s="56" t="s">
        <v>178</v>
      </c>
      <c r="R623" s="57">
        <v>46249.248611111114</v>
      </c>
      <c r="S623" s="57">
        <v>46249.28125</v>
      </c>
      <c r="T623" s="58">
        <f>S623-R623</f>
        <v>3.2638888886140194E-2</v>
      </c>
      <c r="U623" s="50"/>
      <c r="V623" s="74">
        <v>8.3333333333333329E-2</v>
      </c>
      <c r="W623" s="50">
        <f t="shared" ref="W623:W645" si="155">T623-V623</f>
        <v>-5.0694444447193135E-2</v>
      </c>
      <c r="X623" s="171">
        <v>46248.125694444447</v>
      </c>
      <c r="Y623" s="171">
        <v>46249.289583333331</v>
      </c>
      <c r="Z623" s="168">
        <f t="shared" si="144"/>
        <v>1.163888888884685</v>
      </c>
      <c r="AA623" s="169">
        <f t="shared" si="145"/>
        <v>1.0833333333333333</v>
      </c>
      <c r="AB623" s="170" t="str">
        <f t="shared" si="146"/>
        <v>-01:56:00</v>
      </c>
      <c r="AC623" s="170" t="b">
        <f t="shared" si="147"/>
        <v>1</v>
      </c>
    </row>
    <row r="624" spans="1:29" s="128" customFormat="1" ht="9.75" hidden="1" customHeight="1" x14ac:dyDescent="0.3">
      <c r="A624" s="99">
        <v>46248</v>
      </c>
      <c r="B624" s="59">
        <v>8170349</v>
      </c>
      <c r="C624" s="60" t="s">
        <v>84</v>
      </c>
      <c r="D624" s="60" t="s">
        <v>301</v>
      </c>
      <c r="E624" s="61">
        <v>0.125</v>
      </c>
      <c r="F624" s="60" t="s">
        <v>13</v>
      </c>
      <c r="G624" s="71" t="s">
        <v>284</v>
      </c>
      <c r="H624" s="62">
        <v>0.12777777777777777</v>
      </c>
      <c r="I624" s="113" t="str">
        <f t="shared" si="148"/>
        <v>14-08-2026T03:04:00</v>
      </c>
      <c r="J624" s="62">
        <v>0.4777777777777778</v>
      </c>
      <c r="K624" s="62"/>
      <c r="L624" s="63">
        <f t="shared" si="153"/>
        <v>0.35000000000000003</v>
      </c>
      <c r="M624" s="64">
        <v>0.35416666666666669</v>
      </c>
      <c r="N624" s="65" t="str">
        <f t="shared" si="154"/>
        <v>00:06:00</v>
      </c>
      <c r="O624" s="66"/>
      <c r="P624" s="124"/>
      <c r="Q624" s="67" t="s">
        <v>174</v>
      </c>
      <c r="R624" s="68">
        <v>46248.354166666664</v>
      </c>
      <c r="S624" s="68">
        <v>46248.408333333333</v>
      </c>
      <c r="T624" s="69">
        <f>S624-R624</f>
        <v>5.4166666668606922E-2</v>
      </c>
      <c r="U624" s="61"/>
      <c r="V624" s="83">
        <v>6.25E-2</v>
      </c>
      <c r="W624" s="61">
        <f t="shared" si="155"/>
        <v>-8.333333331393078E-3</v>
      </c>
      <c r="X624" s="171">
        <v>46248.12777777778</v>
      </c>
      <c r="Y624" s="171">
        <v>46248.477777777778</v>
      </c>
      <c r="Z624" s="168">
        <f t="shared" si="144"/>
        <v>0.34999999999854481</v>
      </c>
      <c r="AA624" s="169">
        <f t="shared" si="145"/>
        <v>0.35416666666666669</v>
      </c>
      <c r="AB624" s="170" t="str">
        <f t="shared" si="146"/>
        <v>00:06:00</v>
      </c>
      <c r="AC624" s="170" t="b">
        <f t="shared" si="147"/>
        <v>1</v>
      </c>
    </row>
    <row r="625" spans="1:29" s="128" customFormat="1" ht="9.75" hidden="1" customHeight="1" x14ac:dyDescent="0.3">
      <c r="A625" s="99">
        <v>46248</v>
      </c>
      <c r="B625" s="59">
        <v>8170322</v>
      </c>
      <c r="C625" s="60" t="s">
        <v>41</v>
      </c>
      <c r="D625" s="60" t="s">
        <v>299</v>
      </c>
      <c r="E625" s="61">
        <v>0.125</v>
      </c>
      <c r="F625" s="60" t="s">
        <v>24</v>
      </c>
      <c r="G625" s="71" t="s">
        <v>13</v>
      </c>
      <c r="H625" s="62">
        <v>0.12361111111111112</v>
      </c>
      <c r="I625" s="113" t="str">
        <f t="shared" si="148"/>
        <v>14-08-2026T02:58:00</v>
      </c>
      <c r="J625" s="62">
        <v>0.19930555555555557</v>
      </c>
      <c r="K625" s="62"/>
      <c r="L625" s="63">
        <f t="shared" si="153"/>
        <v>7.5694444444444453E-2</v>
      </c>
      <c r="M625" s="64">
        <v>8.3333333333333329E-2</v>
      </c>
      <c r="N625" s="65" t="str">
        <f t="shared" si="154"/>
        <v>00:11:00</v>
      </c>
      <c r="O625" s="66"/>
      <c r="P625" s="124"/>
      <c r="Q625" s="67"/>
      <c r="R625" s="68"/>
      <c r="S625" s="68"/>
      <c r="T625" s="69">
        <v>0</v>
      </c>
      <c r="U625" s="61"/>
      <c r="V625" s="83">
        <v>0</v>
      </c>
      <c r="W625" s="61">
        <f t="shared" si="155"/>
        <v>0</v>
      </c>
      <c r="X625" s="171">
        <v>46248.123611111114</v>
      </c>
      <c r="Y625" s="171">
        <v>46248.199305555558</v>
      </c>
      <c r="Z625" s="168">
        <f t="shared" si="144"/>
        <v>7.5694444443797693E-2</v>
      </c>
      <c r="AA625" s="169">
        <f t="shared" si="145"/>
        <v>8.3333333333333329E-2</v>
      </c>
      <c r="AB625" s="170" t="str">
        <f t="shared" si="146"/>
        <v>00:11:00</v>
      </c>
      <c r="AC625" s="170" t="b">
        <f t="shared" si="147"/>
        <v>1</v>
      </c>
    </row>
    <row r="626" spans="1:29" s="128" customFormat="1" ht="9.75" hidden="1" customHeight="1" x14ac:dyDescent="0.3">
      <c r="A626" s="99">
        <v>46248</v>
      </c>
      <c r="B626" s="59">
        <v>8170474</v>
      </c>
      <c r="C626" s="60" t="s">
        <v>54</v>
      </c>
      <c r="D626" s="60" t="s">
        <v>288</v>
      </c>
      <c r="E626" s="61">
        <v>0.16666666666666666</v>
      </c>
      <c r="F626" s="60" t="s">
        <v>13</v>
      </c>
      <c r="G626" s="71" t="s">
        <v>24</v>
      </c>
      <c r="H626" s="62">
        <v>0.17083333333333334</v>
      </c>
      <c r="I626" s="113" t="str">
        <f t="shared" si="148"/>
        <v>14-08-2026T04:06:00</v>
      </c>
      <c r="J626" s="62">
        <v>0.24305555555555555</v>
      </c>
      <c r="K626" s="62"/>
      <c r="L626" s="63">
        <f t="shared" si="153"/>
        <v>7.2222222222222215E-2</v>
      </c>
      <c r="M626" s="64">
        <v>8.3333333333333329E-2</v>
      </c>
      <c r="N626" s="65" t="str">
        <f t="shared" si="154"/>
        <v>00:16:00</v>
      </c>
      <c r="O626" s="66"/>
      <c r="P626" s="124"/>
      <c r="Q626" s="67"/>
      <c r="R626" s="68"/>
      <c r="S626" s="68"/>
      <c r="T626" s="69">
        <v>0</v>
      </c>
      <c r="U626" s="61"/>
      <c r="V626" s="83">
        <v>0</v>
      </c>
      <c r="W626" s="61">
        <f t="shared" si="155"/>
        <v>0</v>
      </c>
      <c r="X626" s="171">
        <v>46248.17083333333</v>
      </c>
      <c r="Y626" s="171">
        <v>46248.243055555555</v>
      </c>
      <c r="Z626" s="168">
        <f t="shared" si="144"/>
        <v>7.2222222224809229E-2</v>
      </c>
      <c r="AA626" s="169">
        <f t="shared" si="145"/>
        <v>8.3333333333333329E-2</v>
      </c>
      <c r="AB626" s="170" t="str">
        <f t="shared" si="146"/>
        <v>00:16:00</v>
      </c>
      <c r="AC626" s="170" t="b">
        <f t="shared" si="147"/>
        <v>1</v>
      </c>
    </row>
    <row r="627" spans="1:29" s="128" customFormat="1" ht="9.75" hidden="1" customHeight="1" x14ac:dyDescent="0.3">
      <c r="A627" s="99">
        <v>46248</v>
      </c>
      <c r="B627" s="59">
        <v>8170467</v>
      </c>
      <c r="C627" s="60" t="s">
        <v>27</v>
      </c>
      <c r="D627" s="60" t="s">
        <v>378</v>
      </c>
      <c r="E627" s="61">
        <v>0.16666666666666666</v>
      </c>
      <c r="F627" s="60" t="s">
        <v>13</v>
      </c>
      <c r="G627" s="71" t="s">
        <v>28</v>
      </c>
      <c r="H627" s="62">
        <v>0.16875000000000001</v>
      </c>
      <c r="I627" s="113" t="str">
        <f t="shared" si="148"/>
        <v>14-08-2026T04:03:00</v>
      </c>
      <c r="J627" s="62">
        <v>0.33333333333333331</v>
      </c>
      <c r="K627" s="62"/>
      <c r="L627" s="63">
        <f t="shared" si="153"/>
        <v>0.1645833333333333</v>
      </c>
      <c r="M627" s="64">
        <v>0.16666666666666666</v>
      </c>
      <c r="N627" s="65" t="str">
        <f t="shared" si="154"/>
        <v>00:03:00</v>
      </c>
      <c r="O627" s="66"/>
      <c r="P627" s="124"/>
      <c r="Q627" s="67"/>
      <c r="R627" s="68"/>
      <c r="S627" s="68"/>
      <c r="T627" s="69">
        <v>0</v>
      </c>
      <c r="U627" s="61" t="s">
        <v>234</v>
      </c>
      <c r="V627" s="83">
        <v>0</v>
      </c>
      <c r="W627" s="61">
        <f t="shared" si="155"/>
        <v>0</v>
      </c>
      <c r="X627" s="171">
        <v>46248.168749999997</v>
      </c>
      <c r="Y627" s="171">
        <v>46248.333333333336</v>
      </c>
      <c r="Z627" s="168">
        <f t="shared" si="144"/>
        <v>0.16458333333866904</v>
      </c>
      <c r="AA627" s="169">
        <f t="shared" si="145"/>
        <v>0.16666666666666666</v>
      </c>
      <c r="AB627" s="170" t="str">
        <f t="shared" si="146"/>
        <v>00:03:00</v>
      </c>
      <c r="AC627" s="170" t="b">
        <f t="shared" si="147"/>
        <v>1</v>
      </c>
    </row>
    <row r="628" spans="1:29" s="127" customFormat="1" ht="9.75" hidden="1" customHeight="1" x14ac:dyDescent="0.3">
      <c r="A628" s="98">
        <v>46248</v>
      </c>
      <c r="B628" s="48">
        <v>8170491</v>
      </c>
      <c r="C628" s="49" t="s">
        <v>16</v>
      </c>
      <c r="D628" s="49" t="s">
        <v>285</v>
      </c>
      <c r="E628" s="50">
        <v>0.16666666666666666</v>
      </c>
      <c r="F628" s="49" t="s">
        <v>17</v>
      </c>
      <c r="G628" s="70" t="s">
        <v>15</v>
      </c>
      <c r="H628" s="51">
        <v>0.17777777777777778</v>
      </c>
      <c r="I628" s="113" t="str">
        <f t="shared" si="148"/>
        <v>14-08-2026T04:16:00</v>
      </c>
      <c r="J628" s="51">
        <v>0.68611111111111112</v>
      </c>
      <c r="K628" s="51"/>
      <c r="L628" s="52">
        <f t="shared" si="153"/>
        <v>0.5083333333333333</v>
      </c>
      <c r="M628" s="53">
        <v>0.5</v>
      </c>
      <c r="N628" s="54" t="str">
        <f t="shared" si="154"/>
        <v>-00:12:00</v>
      </c>
      <c r="O628" s="55">
        <v>250</v>
      </c>
      <c r="P628" s="147" t="s">
        <v>636</v>
      </c>
      <c r="Q628" s="56"/>
      <c r="R628" s="57"/>
      <c r="S628" s="57"/>
      <c r="T628" s="58">
        <v>0</v>
      </c>
      <c r="U628" s="50" t="s">
        <v>234</v>
      </c>
      <c r="V628" s="74">
        <v>0</v>
      </c>
      <c r="W628" s="50">
        <f t="shared" si="155"/>
        <v>0</v>
      </c>
      <c r="X628" s="171">
        <v>0.17777777777777778</v>
      </c>
      <c r="Y628" s="171">
        <v>0.68611111111111112</v>
      </c>
      <c r="Z628" s="168">
        <f t="shared" si="144"/>
        <v>0.5083333333333333</v>
      </c>
      <c r="AA628" s="169">
        <f t="shared" si="145"/>
        <v>0.5</v>
      </c>
      <c r="AB628" s="170" t="str">
        <f t="shared" si="146"/>
        <v>-00:12:00</v>
      </c>
      <c r="AC628" s="170" t="b">
        <f t="shared" si="147"/>
        <v>1</v>
      </c>
    </row>
    <row r="629" spans="1:29" s="127" customFormat="1" ht="9.75" hidden="1" customHeight="1" x14ac:dyDescent="0.3">
      <c r="A629" s="98">
        <v>46248</v>
      </c>
      <c r="B629" s="48">
        <v>8170449</v>
      </c>
      <c r="C629" s="49" t="s">
        <v>40</v>
      </c>
      <c r="D629" s="49" t="s">
        <v>460</v>
      </c>
      <c r="E629" s="50">
        <v>0.16666666666666666</v>
      </c>
      <c r="F629" s="49" t="s">
        <v>31</v>
      </c>
      <c r="G629" s="70" t="s">
        <v>13</v>
      </c>
      <c r="H629" s="51">
        <v>0.16597222222222222</v>
      </c>
      <c r="I629" s="113" t="str">
        <f t="shared" si="148"/>
        <v>14-08-2026T03:59:00</v>
      </c>
      <c r="J629" s="51">
        <v>46249.004166666666</v>
      </c>
      <c r="K629" s="51"/>
      <c r="L629" s="52">
        <f t="shared" si="153"/>
        <v>46248.838194444441</v>
      </c>
      <c r="M629" s="53">
        <v>0.70833333333333337</v>
      </c>
      <c r="N629" s="54" t="str">
        <f t="shared" si="154"/>
        <v>-03:07:00</v>
      </c>
      <c r="O629" s="55">
        <v>800</v>
      </c>
      <c r="P629" s="147" t="s">
        <v>623</v>
      </c>
      <c r="Q629" s="56" t="s">
        <v>13</v>
      </c>
      <c r="R629" s="57">
        <v>46248.945833333331</v>
      </c>
      <c r="S629" s="57">
        <v>46248.995138888888</v>
      </c>
      <c r="T629" s="58">
        <f>S629-R629</f>
        <v>4.9305555556202307E-2</v>
      </c>
      <c r="U629" s="50"/>
      <c r="V629" s="74">
        <v>8.3333333333333329E-2</v>
      </c>
      <c r="W629" s="50">
        <f t="shared" si="155"/>
        <v>-3.4027777777131021E-2</v>
      </c>
      <c r="X629" s="171">
        <v>46248.165972222225</v>
      </c>
      <c r="Y629" s="171">
        <v>46249.004166666666</v>
      </c>
      <c r="Z629" s="168">
        <f t="shared" si="144"/>
        <v>0.83819444444088731</v>
      </c>
      <c r="AA629" s="169">
        <f t="shared" si="145"/>
        <v>0.70833333333333337</v>
      </c>
      <c r="AB629" s="170" t="str">
        <f t="shared" si="146"/>
        <v>-03:07:00</v>
      </c>
      <c r="AC629" s="170" t="b">
        <f t="shared" si="147"/>
        <v>1</v>
      </c>
    </row>
    <row r="630" spans="1:29" s="127" customFormat="1" ht="9.75" hidden="1" customHeight="1" x14ac:dyDescent="0.3">
      <c r="A630" s="98">
        <v>46248</v>
      </c>
      <c r="B630" s="48">
        <v>8170459</v>
      </c>
      <c r="C630" s="49" t="s">
        <v>83</v>
      </c>
      <c r="D630" s="49" t="s">
        <v>454</v>
      </c>
      <c r="E630" s="50">
        <v>0.16666666666666666</v>
      </c>
      <c r="F630" s="49" t="s">
        <v>13</v>
      </c>
      <c r="G630" s="70" t="s">
        <v>14</v>
      </c>
      <c r="H630" s="51">
        <v>0.1673611111111111</v>
      </c>
      <c r="I630" s="113" t="str">
        <f t="shared" si="148"/>
        <v>14-08-2026T04:01:00</v>
      </c>
      <c r="J630" s="51">
        <v>0.74236111111111114</v>
      </c>
      <c r="K630" s="51"/>
      <c r="L630" s="52">
        <f t="shared" si="153"/>
        <v>0.57500000000000007</v>
      </c>
      <c r="M630" s="53">
        <v>0.54166666666666663</v>
      </c>
      <c r="N630" s="54" t="str">
        <f t="shared" si="154"/>
        <v>-00:48:00</v>
      </c>
      <c r="O630" s="55">
        <v>200</v>
      </c>
      <c r="P630" s="147" t="s">
        <v>590</v>
      </c>
      <c r="Q630" s="56"/>
      <c r="R630" s="57"/>
      <c r="S630" s="57"/>
      <c r="T630" s="58">
        <v>0</v>
      </c>
      <c r="U630" s="50"/>
      <c r="V630" s="74">
        <v>0</v>
      </c>
      <c r="W630" s="50">
        <f t="shared" si="155"/>
        <v>0</v>
      </c>
      <c r="X630" s="171">
        <v>46248.167361111111</v>
      </c>
      <c r="Y630" s="171">
        <v>46248.742361111108</v>
      </c>
      <c r="Z630" s="168">
        <f t="shared" si="144"/>
        <v>0.57499999999708962</v>
      </c>
      <c r="AA630" s="169">
        <f t="shared" si="145"/>
        <v>0.54166666666666663</v>
      </c>
      <c r="AB630" s="170" t="str">
        <f t="shared" si="146"/>
        <v>-00:48:00</v>
      </c>
      <c r="AC630" s="170" t="b">
        <f t="shared" si="147"/>
        <v>1</v>
      </c>
    </row>
    <row r="631" spans="1:29" s="128" customFormat="1" ht="9.75" hidden="1" customHeight="1" x14ac:dyDescent="0.3">
      <c r="A631" s="99">
        <v>46248</v>
      </c>
      <c r="B631" s="59">
        <v>8170636</v>
      </c>
      <c r="C631" s="60" t="s">
        <v>32</v>
      </c>
      <c r="D631" s="60" t="s">
        <v>476</v>
      </c>
      <c r="E631" s="61">
        <v>0.20833333333333334</v>
      </c>
      <c r="F631" s="60" t="s">
        <v>13</v>
      </c>
      <c r="G631" s="71" t="s">
        <v>287</v>
      </c>
      <c r="H631" s="62">
        <v>0.20902777777777778</v>
      </c>
      <c r="I631" s="113" t="str">
        <f t="shared" si="148"/>
        <v>14-08-2026T05:01:00</v>
      </c>
      <c r="J631" s="62">
        <v>0.35069444444444442</v>
      </c>
      <c r="K631" s="62"/>
      <c r="L631" s="63">
        <f t="shared" si="153"/>
        <v>0.14166666666666664</v>
      </c>
      <c r="M631" s="64">
        <v>0.14583333333333334</v>
      </c>
      <c r="N631" s="65" t="str">
        <f t="shared" si="154"/>
        <v>00:06:00</v>
      </c>
      <c r="O631" s="66"/>
      <c r="P631" s="124"/>
      <c r="Q631" s="67"/>
      <c r="R631" s="68"/>
      <c r="S631" s="68"/>
      <c r="T631" s="69">
        <v>0</v>
      </c>
      <c r="U631" s="61"/>
      <c r="V631" s="83">
        <v>0</v>
      </c>
      <c r="W631" s="61">
        <f t="shared" si="155"/>
        <v>0</v>
      </c>
      <c r="X631" s="171">
        <v>46248.209027777775</v>
      </c>
      <c r="Y631" s="171">
        <v>46248.350694444445</v>
      </c>
      <c r="Z631" s="168">
        <f t="shared" si="144"/>
        <v>0.14166666667006211</v>
      </c>
      <c r="AA631" s="169">
        <f t="shared" si="145"/>
        <v>0.14583333333333334</v>
      </c>
      <c r="AB631" s="170" t="str">
        <f t="shared" si="146"/>
        <v>00:06:00</v>
      </c>
      <c r="AC631" s="170" t="b">
        <f t="shared" si="147"/>
        <v>1</v>
      </c>
    </row>
    <row r="632" spans="1:29" s="144" customFormat="1" ht="9.75" hidden="1" customHeight="1" x14ac:dyDescent="0.3">
      <c r="A632" s="129">
        <v>46248</v>
      </c>
      <c r="B632" s="130">
        <v>8170524</v>
      </c>
      <c r="C632" s="131" t="s">
        <v>82</v>
      </c>
      <c r="D632" s="131" t="s">
        <v>333</v>
      </c>
      <c r="E632" s="132">
        <v>0.20833333333333334</v>
      </c>
      <c r="F632" s="131" t="s">
        <v>26</v>
      </c>
      <c r="G632" s="133" t="s">
        <v>13</v>
      </c>
      <c r="H632" s="134">
        <v>0.18819444444444444</v>
      </c>
      <c r="I632" s="113" t="str">
        <f t="shared" si="148"/>
        <v>14-08-2026T04:31:00</v>
      </c>
      <c r="J632" s="134">
        <v>0.65208333333333335</v>
      </c>
      <c r="K632" s="134"/>
      <c r="L632" s="135">
        <f t="shared" si="153"/>
        <v>0.46388888888888891</v>
      </c>
      <c r="M632" s="136">
        <v>0.45833333333333331</v>
      </c>
      <c r="N632" s="137" t="str">
        <f t="shared" si="154"/>
        <v>-00:08:00</v>
      </c>
      <c r="O632" s="138"/>
      <c r="P632" s="145" t="s">
        <v>125</v>
      </c>
      <c r="Q632" s="140" t="s">
        <v>178</v>
      </c>
      <c r="R632" s="141">
        <v>46248.552083333336</v>
      </c>
      <c r="S632" s="141">
        <v>46248.645833333336</v>
      </c>
      <c r="T632" s="142">
        <f>S632-R632</f>
        <v>9.375E-2</v>
      </c>
      <c r="U632" s="132"/>
      <c r="V632" s="143">
        <v>8.3333333333333329E-2</v>
      </c>
      <c r="W632" s="132">
        <f t="shared" si="155"/>
        <v>1.0416666666666671E-2</v>
      </c>
      <c r="X632" s="171">
        <v>46248.188194444447</v>
      </c>
      <c r="Y632" s="171">
        <v>46248.652083333334</v>
      </c>
      <c r="Z632" s="168">
        <f t="shared" si="144"/>
        <v>0.46388888888759539</v>
      </c>
      <c r="AA632" s="169">
        <f t="shared" si="145"/>
        <v>0.45833333333333331</v>
      </c>
      <c r="AB632" s="170" t="str">
        <f t="shared" si="146"/>
        <v>-00:08:00</v>
      </c>
      <c r="AC632" s="170" t="b">
        <f t="shared" si="147"/>
        <v>1</v>
      </c>
    </row>
    <row r="633" spans="1:29" s="127" customFormat="1" ht="9.75" hidden="1" customHeight="1" x14ac:dyDescent="0.3">
      <c r="A633" s="98">
        <v>46248</v>
      </c>
      <c r="B633" s="48">
        <v>8170761</v>
      </c>
      <c r="C633" s="49" t="s">
        <v>58</v>
      </c>
      <c r="D633" s="49" t="s">
        <v>591</v>
      </c>
      <c r="E633" s="50">
        <v>0.25</v>
      </c>
      <c r="F633" s="49" t="s">
        <v>14</v>
      </c>
      <c r="G633" s="70" t="s">
        <v>13</v>
      </c>
      <c r="H633" s="51">
        <v>0.24583333333333332</v>
      </c>
      <c r="I633" s="113" t="str">
        <f t="shared" si="148"/>
        <v>14-08-2026T05:54:00</v>
      </c>
      <c r="J633" s="51">
        <v>0.86319444444444449</v>
      </c>
      <c r="K633" s="51"/>
      <c r="L633" s="52">
        <f t="shared" si="153"/>
        <v>0.61736111111111114</v>
      </c>
      <c r="M633" s="53">
        <v>0.54166666666666663</v>
      </c>
      <c r="N633" s="54" t="str">
        <f t="shared" si="154"/>
        <v>-01:49:00</v>
      </c>
      <c r="O633" s="55">
        <v>500</v>
      </c>
      <c r="P633" s="147" t="s">
        <v>592</v>
      </c>
      <c r="Q633" s="56"/>
      <c r="R633" s="57"/>
      <c r="S633" s="57"/>
      <c r="T633" s="58">
        <v>0</v>
      </c>
      <c r="U633" s="50"/>
      <c r="V633" s="74">
        <v>0</v>
      </c>
      <c r="W633" s="50">
        <f t="shared" si="155"/>
        <v>0</v>
      </c>
      <c r="X633" s="171">
        <v>46248.245833333334</v>
      </c>
      <c r="Y633" s="171">
        <v>46248.863194444442</v>
      </c>
      <c r="Z633" s="168">
        <f t="shared" si="144"/>
        <v>0.61736111110803904</v>
      </c>
      <c r="AA633" s="169">
        <f t="shared" si="145"/>
        <v>0.54166666666666663</v>
      </c>
      <c r="AB633" s="170" t="str">
        <f t="shared" si="146"/>
        <v>-01:49:00</v>
      </c>
      <c r="AC633" s="170" t="b">
        <f t="shared" si="147"/>
        <v>1</v>
      </c>
    </row>
    <row r="634" spans="1:29" s="128" customFormat="1" ht="9.75" hidden="1" customHeight="1" x14ac:dyDescent="0.3">
      <c r="A634" s="99">
        <v>46248</v>
      </c>
      <c r="B634" s="59">
        <v>8170834</v>
      </c>
      <c r="C634" s="60" t="s">
        <v>89</v>
      </c>
      <c r="D634" s="60" t="s">
        <v>294</v>
      </c>
      <c r="E634" s="61">
        <v>0.25</v>
      </c>
      <c r="F634" s="60" t="s">
        <v>13</v>
      </c>
      <c r="G634" s="71" t="s">
        <v>35</v>
      </c>
      <c r="H634" s="62">
        <v>0.25555555555555554</v>
      </c>
      <c r="I634" s="113" t="str">
        <f t="shared" si="148"/>
        <v>14-08-2026T06:08:00</v>
      </c>
      <c r="J634" s="62">
        <v>0.29166666666666669</v>
      </c>
      <c r="K634" s="62"/>
      <c r="L634" s="63">
        <f t="shared" si="153"/>
        <v>3.6111111111111149E-2</v>
      </c>
      <c r="M634" s="64">
        <v>4.1666666666666664E-2</v>
      </c>
      <c r="N634" s="65" t="str">
        <f t="shared" si="154"/>
        <v>00:08:00</v>
      </c>
      <c r="O634" s="66"/>
      <c r="P634" s="124"/>
      <c r="Q634" s="67"/>
      <c r="R634" s="68"/>
      <c r="S634" s="68"/>
      <c r="T634" s="69">
        <v>0</v>
      </c>
      <c r="U634" s="61"/>
      <c r="V634" s="83">
        <v>0</v>
      </c>
      <c r="W634" s="61">
        <f t="shared" si="155"/>
        <v>0</v>
      </c>
      <c r="X634" s="171">
        <v>46248.255555555559</v>
      </c>
      <c r="Y634" s="171">
        <v>46248.291666666664</v>
      </c>
      <c r="Z634" s="168">
        <f t="shared" si="144"/>
        <v>3.6111111105128657E-2</v>
      </c>
      <c r="AA634" s="169">
        <f t="shared" si="145"/>
        <v>4.1666666666666664E-2</v>
      </c>
      <c r="AB634" s="170" t="str">
        <f t="shared" si="146"/>
        <v>00:08:00</v>
      </c>
      <c r="AC634" s="170" t="b">
        <f t="shared" si="147"/>
        <v>1</v>
      </c>
    </row>
    <row r="635" spans="1:29" s="127" customFormat="1" ht="9.75" hidden="1" customHeight="1" x14ac:dyDescent="0.3">
      <c r="A635" s="98">
        <v>46248</v>
      </c>
      <c r="B635" s="48">
        <v>8170867</v>
      </c>
      <c r="C635" s="49" t="s">
        <v>37</v>
      </c>
      <c r="D635" s="49" t="s">
        <v>578</v>
      </c>
      <c r="E635" s="50">
        <v>0.27083333333333331</v>
      </c>
      <c r="F635" s="49" t="s">
        <v>14</v>
      </c>
      <c r="G635" s="70" t="s">
        <v>13</v>
      </c>
      <c r="H635" s="51">
        <v>0.26944444444444443</v>
      </c>
      <c r="I635" s="113" t="str">
        <f t="shared" si="148"/>
        <v>14-08-2026T06:28:00</v>
      </c>
      <c r="J635" s="51">
        <v>0.96111111111111114</v>
      </c>
      <c r="K635" s="51"/>
      <c r="L635" s="52">
        <f t="shared" si="153"/>
        <v>0.69166666666666665</v>
      </c>
      <c r="M635" s="53">
        <v>0.625</v>
      </c>
      <c r="N635" s="54" t="str">
        <f t="shared" si="154"/>
        <v>-01:36:00</v>
      </c>
      <c r="O635" s="55">
        <v>400</v>
      </c>
      <c r="P635" s="147" t="s">
        <v>601</v>
      </c>
      <c r="Q635" s="56" t="s">
        <v>126</v>
      </c>
      <c r="R635" s="57">
        <v>46248.418055555558</v>
      </c>
      <c r="S635" s="57">
        <v>46248.4375</v>
      </c>
      <c r="T635" s="58">
        <f>S635-R635</f>
        <v>1.9444444442342501E-2</v>
      </c>
      <c r="U635" s="50"/>
      <c r="V635" s="74">
        <v>6.25E-2</v>
      </c>
      <c r="W635" s="50">
        <f t="shared" si="155"/>
        <v>-4.3055555557657499E-2</v>
      </c>
      <c r="X635" s="171">
        <v>46248.269444444442</v>
      </c>
      <c r="Y635" s="171">
        <v>46248.961111111108</v>
      </c>
      <c r="Z635" s="168">
        <f t="shared" si="144"/>
        <v>0.69166666666569654</v>
      </c>
      <c r="AA635" s="169">
        <f t="shared" si="145"/>
        <v>0.625</v>
      </c>
      <c r="AB635" s="170" t="str">
        <f t="shared" si="146"/>
        <v>-01:36:00</v>
      </c>
      <c r="AC635" s="170" t="b">
        <f t="shared" si="147"/>
        <v>1</v>
      </c>
    </row>
    <row r="636" spans="1:29" s="128" customFormat="1" ht="9.75" hidden="1" customHeight="1" x14ac:dyDescent="0.3">
      <c r="A636" s="99">
        <v>46248</v>
      </c>
      <c r="B636" s="59">
        <v>8170906</v>
      </c>
      <c r="C636" s="60" t="s">
        <v>38</v>
      </c>
      <c r="D636" s="60" t="s">
        <v>289</v>
      </c>
      <c r="E636" s="61">
        <v>0.27083333333333331</v>
      </c>
      <c r="F636" s="60" t="s">
        <v>13</v>
      </c>
      <c r="G636" s="71" t="s">
        <v>14</v>
      </c>
      <c r="H636" s="62">
        <v>0.28333333333333333</v>
      </c>
      <c r="I636" s="113" t="str">
        <f t="shared" si="148"/>
        <v>14-08-2026T06:48:00</v>
      </c>
      <c r="J636" s="62">
        <v>0.89166666666666672</v>
      </c>
      <c r="K636" s="62"/>
      <c r="L636" s="63">
        <f t="shared" si="153"/>
        <v>0.60833333333333339</v>
      </c>
      <c r="M636" s="64">
        <v>0.625</v>
      </c>
      <c r="N636" s="65" t="str">
        <f t="shared" si="154"/>
        <v>00:24:00</v>
      </c>
      <c r="O636" s="66"/>
      <c r="P636" s="124"/>
      <c r="Q636" s="67" t="s">
        <v>15</v>
      </c>
      <c r="R636" s="68">
        <v>46248.511111111111</v>
      </c>
      <c r="S636" s="68">
        <v>46248.556250000001</v>
      </c>
      <c r="T636" s="69">
        <f>S636-R636</f>
        <v>4.5138888890505768E-2</v>
      </c>
      <c r="U636" s="61" t="s">
        <v>234</v>
      </c>
      <c r="V636" s="83">
        <v>6.25E-2</v>
      </c>
      <c r="W636" s="61">
        <f t="shared" si="155"/>
        <v>-1.7361111109494232E-2</v>
      </c>
      <c r="X636" s="171">
        <v>46248.283333333333</v>
      </c>
      <c r="Y636" s="171">
        <v>46248.89166666667</v>
      </c>
      <c r="Z636" s="168">
        <f t="shared" ref="Z636:Z699" si="156">Y636-X636</f>
        <v>0.60833333333721384</v>
      </c>
      <c r="AA636" s="169">
        <f t="shared" ref="AA636:AA699" si="157">M636</f>
        <v>0.625</v>
      </c>
      <c r="AB636" s="170" t="str">
        <f t="shared" ref="AB636:AB699" si="158">IF(AA636-Z636&gt;0,TEXT(AA636-Z636,"HH:MM:SS"),TEXT(ABS(AA636-Z636),"-HH:MM:SS"))</f>
        <v>00:24:00</v>
      </c>
      <c r="AC636" s="170" t="b">
        <f t="shared" ref="AC636:AC699" si="159">AB636=N636</f>
        <v>1</v>
      </c>
    </row>
    <row r="637" spans="1:29" s="128" customFormat="1" ht="9.75" hidden="1" customHeight="1" x14ac:dyDescent="0.3">
      <c r="A637" s="99">
        <v>46248</v>
      </c>
      <c r="B637" s="59">
        <v>8171505</v>
      </c>
      <c r="C637" s="60" t="s">
        <v>99</v>
      </c>
      <c r="D637" s="60" t="s">
        <v>375</v>
      </c>
      <c r="E637" s="61">
        <v>0.27083333333333331</v>
      </c>
      <c r="F637" s="60" t="s">
        <v>103</v>
      </c>
      <c r="G637" s="71" t="s">
        <v>13</v>
      </c>
      <c r="H637" s="62">
        <v>46248.529861111114</v>
      </c>
      <c r="I637" s="113" t="str">
        <f t="shared" si="148"/>
        <v>14-08-2026T12:43:00</v>
      </c>
      <c r="J637" s="62">
        <v>46249.193055555559</v>
      </c>
      <c r="K637" s="62"/>
      <c r="L637" s="63">
        <f t="shared" si="153"/>
        <v>0.66319444444525288</v>
      </c>
      <c r="M637" s="64">
        <v>0.70833333333333337</v>
      </c>
      <c r="N637" s="65" t="str">
        <f t="shared" si="154"/>
        <v>01:05:00</v>
      </c>
      <c r="O637" s="66"/>
      <c r="P637" s="124"/>
      <c r="Q637" s="67" t="s">
        <v>13</v>
      </c>
      <c r="R637" s="68">
        <v>46249.133333333331</v>
      </c>
      <c r="S637" s="68">
        <v>46249.183333333334</v>
      </c>
      <c r="T637" s="69">
        <f>S637-R637</f>
        <v>5.0000000002910383E-2</v>
      </c>
      <c r="U637" s="61"/>
      <c r="V637" s="83">
        <v>8.3333333333333329E-2</v>
      </c>
      <c r="W637" s="61">
        <f t="shared" si="155"/>
        <v>-3.3333333330422946E-2</v>
      </c>
      <c r="X637" s="171">
        <v>46248.529861111114</v>
      </c>
      <c r="Y637" s="171">
        <v>46249.193055555559</v>
      </c>
      <c r="Z637" s="168">
        <f t="shared" si="156"/>
        <v>0.66319444444525288</v>
      </c>
      <c r="AA637" s="169">
        <f t="shared" si="157"/>
        <v>0.70833333333333337</v>
      </c>
      <c r="AB637" s="170" t="str">
        <f t="shared" si="158"/>
        <v>01:05:00</v>
      </c>
      <c r="AC637" s="170" t="b">
        <f t="shared" si="159"/>
        <v>1</v>
      </c>
    </row>
    <row r="638" spans="1:29" s="128" customFormat="1" ht="9.75" hidden="1" customHeight="1" x14ac:dyDescent="0.3">
      <c r="A638" s="99">
        <v>46248</v>
      </c>
      <c r="B638" s="59">
        <v>8170998</v>
      </c>
      <c r="C638" s="60" t="s">
        <v>56</v>
      </c>
      <c r="D638" s="60" t="s">
        <v>472</v>
      </c>
      <c r="E638" s="61">
        <v>0.3125</v>
      </c>
      <c r="F638" s="60" t="s">
        <v>15</v>
      </c>
      <c r="G638" s="71" t="s">
        <v>13</v>
      </c>
      <c r="H638" s="62">
        <v>0.31458333333333333</v>
      </c>
      <c r="I638" s="113" t="str">
        <f t="shared" si="148"/>
        <v>14-08-2026T07:33:00</v>
      </c>
      <c r="J638" s="62">
        <v>0.55763888888888891</v>
      </c>
      <c r="K638" s="62"/>
      <c r="L638" s="63">
        <f t="shared" si="153"/>
        <v>0.24305555555555558</v>
      </c>
      <c r="M638" s="64">
        <v>0.25</v>
      </c>
      <c r="N638" s="65" t="str">
        <f t="shared" si="154"/>
        <v>00:10:00</v>
      </c>
      <c r="O638" s="66"/>
      <c r="P638" s="124"/>
      <c r="Q638" s="67" t="s">
        <v>205</v>
      </c>
      <c r="R638" s="68">
        <v>46248.378472222219</v>
      </c>
      <c r="S638" s="68">
        <v>46248.420138888891</v>
      </c>
      <c r="T638" s="69">
        <f>S638-R638</f>
        <v>4.1666666671517305E-2</v>
      </c>
      <c r="U638" s="61"/>
      <c r="V638" s="83">
        <v>4.1666666666666664E-2</v>
      </c>
      <c r="W638" s="61">
        <f t="shared" si="155"/>
        <v>4.8506407224202519E-12</v>
      </c>
      <c r="X638" s="171">
        <v>46248.314583333333</v>
      </c>
      <c r="Y638" s="171">
        <v>46248.557638888888</v>
      </c>
      <c r="Z638" s="168">
        <f t="shared" si="156"/>
        <v>0.24305555555474712</v>
      </c>
      <c r="AA638" s="169">
        <f t="shared" si="157"/>
        <v>0.25</v>
      </c>
      <c r="AB638" s="170" t="str">
        <f t="shared" si="158"/>
        <v>00:10:00</v>
      </c>
      <c r="AC638" s="170" t="b">
        <f t="shared" si="159"/>
        <v>1</v>
      </c>
    </row>
    <row r="639" spans="1:29" s="128" customFormat="1" ht="9.75" hidden="1" customHeight="1" x14ac:dyDescent="0.3">
      <c r="A639" s="99">
        <v>46248</v>
      </c>
      <c r="B639" s="59">
        <v>8170966</v>
      </c>
      <c r="C639" s="60" t="s">
        <v>30</v>
      </c>
      <c r="D639" s="60" t="s">
        <v>286</v>
      </c>
      <c r="E639" s="61">
        <v>0.29166666666666669</v>
      </c>
      <c r="F639" s="60" t="s">
        <v>13</v>
      </c>
      <c r="G639" s="71" t="s">
        <v>31</v>
      </c>
      <c r="H639" s="62">
        <v>0.2986111111111111</v>
      </c>
      <c r="I639" s="113" t="str">
        <f t="shared" si="148"/>
        <v>14-08-2026T07:10:00</v>
      </c>
      <c r="J639" s="62">
        <v>0.89375000000000004</v>
      </c>
      <c r="K639" s="62"/>
      <c r="L639" s="63">
        <f t="shared" si="153"/>
        <v>0.59513888888888888</v>
      </c>
      <c r="M639" s="64">
        <v>0.625</v>
      </c>
      <c r="N639" s="65" t="str">
        <f t="shared" si="154"/>
        <v>00:43:00</v>
      </c>
      <c r="O639" s="66"/>
      <c r="P639" s="124"/>
      <c r="Q639" s="67"/>
      <c r="R639" s="68"/>
      <c r="S639" s="68"/>
      <c r="T639" s="69">
        <f>S639-R639</f>
        <v>0</v>
      </c>
      <c r="U639" s="61"/>
      <c r="V639" s="83">
        <v>0</v>
      </c>
      <c r="W639" s="61">
        <f t="shared" si="155"/>
        <v>0</v>
      </c>
      <c r="X639" s="171">
        <v>46248.298611111109</v>
      </c>
      <c r="Y639" s="171">
        <v>46248.893750000003</v>
      </c>
      <c r="Z639" s="168">
        <f t="shared" si="156"/>
        <v>0.59513888889341615</v>
      </c>
      <c r="AA639" s="169">
        <f t="shared" si="157"/>
        <v>0.625</v>
      </c>
      <c r="AB639" s="170" t="str">
        <f t="shared" si="158"/>
        <v>00:43:00</v>
      </c>
      <c r="AC639" s="170" t="b">
        <f t="shared" si="159"/>
        <v>1</v>
      </c>
    </row>
    <row r="640" spans="1:29" s="128" customFormat="1" ht="9.75" hidden="1" customHeight="1" x14ac:dyDescent="0.3">
      <c r="A640" s="99">
        <v>46248</v>
      </c>
      <c r="B640" s="59">
        <v>8170974</v>
      </c>
      <c r="C640" s="60" t="s">
        <v>42</v>
      </c>
      <c r="D640" s="60" t="s">
        <v>181</v>
      </c>
      <c r="E640" s="61">
        <v>0.3125</v>
      </c>
      <c r="F640" s="60" t="s">
        <v>13</v>
      </c>
      <c r="G640" s="71" t="s">
        <v>55</v>
      </c>
      <c r="H640" s="62">
        <v>0.30277777777777776</v>
      </c>
      <c r="I640" s="113" t="str">
        <f t="shared" si="148"/>
        <v>14-08-2026T07:16:00</v>
      </c>
      <c r="J640" s="62">
        <v>0.35972222222222222</v>
      </c>
      <c r="K640" s="62"/>
      <c r="L640" s="63">
        <f t="shared" si="153"/>
        <v>5.6944444444444464E-2</v>
      </c>
      <c r="M640" s="64">
        <v>6.25E-2</v>
      </c>
      <c r="N640" s="65" t="str">
        <f t="shared" si="154"/>
        <v>00:08:00</v>
      </c>
      <c r="O640" s="66"/>
      <c r="P640" s="124"/>
      <c r="Q640" s="67"/>
      <c r="R640" s="68"/>
      <c r="S640" s="68"/>
      <c r="T640" s="69">
        <v>0</v>
      </c>
      <c r="U640" s="61"/>
      <c r="V640" s="83">
        <v>0</v>
      </c>
      <c r="W640" s="61">
        <f t="shared" si="155"/>
        <v>0</v>
      </c>
      <c r="X640" s="171">
        <v>46248.302777777775</v>
      </c>
      <c r="Y640" s="171">
        <v>46248.359722222223</v>
      </c>
      <c r="Z640" s="168">
        <f t="shared" si="156"/>
        <v>5.6944444448163267E-2</v>
      </c>
      <c r="AA640" s="169">
        <f t="shared" si="157"/>
        <v>6.25E-2</v>
      </c>
      <c r="AB640" s="170" t="str">
        <f t="shared" si="158"/>
        <v>00:08:00</v>
      </c>
      <c r="AC640" s="170" t="b">
        <f t="shared" si="159"/>
        <v>1</v>
      </c>
    </row>
    <row r="641" spans="1:29" s="127" customFormat="1" ht="9.75" hidden="1" customHeight="1" x14ac:dyDescent="0.3">
      <c r="A641" s="98">
        <v>46248</v>
      </c>
      <c r="B641" s="48">
        <v>8171124</v>
      </c>
      <c r="C641" s="49" t="s">
        <v>44</v>
      </c>
      <c r="D641" s="49" t="s">
        <v>582</v>
      </c>
      <c r="E641" s="50">
        <v>0.375</v>
      </c>
      <c r="F641" s="49" t="s">
        <v>13</v>
      </c>
      <c r="G641" s="70" t="s">
        <v>31</v>
      </c>
      <c r="H641" s="51">
        <v>46248.370833333334</v>
      </c>
      <c r="I641" s="113" t="str">
        <f t="shared" si="148"/>
        <v>14-08-2026T08:54:00</v>
      </c>
      <c r="J641" s="51">
        <v>46249.306250000001</v>
      </c>
      <c r="K641" s="51"/>
      <c r="L641" s="52">
        <f t="shared" si="153"/>
        <v>0.93541666666715173</v>
      </c>
      <c r="M641" s="53">
        <v>0.75</v>
      </c>
      <c r="N641" s="54" t="str">
        <f t="shared" si="154"/>
        <v>-04:27:00</v>
      </c>
      <c r="O641" s="55">
        <v>1000</v>
      </c>
      <c r="P641" s="147" t="s">
        <v>601</v>
      </c>
      <c r="Q641" s="56" t="s">
        <v>45</v>
      </c>
      <c r="R641" s="57">
        <v>46249.197222222225</v>
      </c>
      <c r="S641" s="57">
        <v>46249.306250000001</v>
      </c>
      <c r="T641" s="47">
        <f>S641-R641</f>
        <v>0.10902777777664596</v>
      </c>
      <c r="U641" s="50"/>
      <c r="V641" s="74">
        <v>8.3333333333333329E-2</v>
      </c>
      <c r="W641" s="50">
        <f t="shared" si="155"/>
        <v>2.5694444443312633E-2</v>
      </c>
      <c r="X641" s="171">
        <v>46248.370833333334</v>
      </c>
      <c r="Y641" s="171">
        <v>46249.306250000001</v>
      </c>
      <c r="Z641" s="168">
        <f t="shared" si="156"/>
        <v>0.93541666666715173</v>
      </c>
      <c r="AA641" s="169">
        <f t="shared" si="157"/>
        <v>0.75</v>
      </c>
      <c r="AB641" s="170" t="str">
        <f t="shared" si="158"/>
        <v>-04:27:00</v>
      </c>
      <c r="AC641" s="170" t="b">
        <f t="shared" si="159"/>
        <v>1</v>
      </c>
    </row>
    <row r="642" spans="1:29" s="128" customFormat="1" ht="9.75" hidden="1" customHeight="1" x14ac:dyDescent="0.3">
      <c r="A642" s="99">
        <v>46248</v>
      </c>
      <c r="B642" s="59">
        <v>8171136</v>
      </c>
      <c r="C642" s="60" t="s">
        <v>175</v>
      </c>
      <c r="D642" s="60" t="s">
        <v>306</v>
      </c>
      <c r="E642" s="61">
        <v>0.375</v>
      </c>
      <c r="F642" s="60" t="s">
        <v>13</v>
      </c>
      <c r="G642" s="71" t="s">
        <v>47</v>
      </c>
      <c r="H642" s="62">
        <v>46248.374305555553</v>
      </c>
      <c r="I642" s="113" t="str">
        <f t="shared" si="148"/>
        <v>14-08-2026T08:59:00</v>
      </c>
      <c r="J642" s="62">
        <v>46250.255555555559</v>
      </c>
      <c r="K642" s="62"/>
      <c r="L642" s="63">
        <f t="shared" si="153"/>
        <v>1.8812500000058208</v>
      </c>
      <c r="M642" s="64">
        <v>1.9166666666666667</v>
      </c>
      <c r="N642" s="65" t="str">
        <f t="shared" si="154"/>
        <v>00:51:00</v>
      </c>
      <c r="O642" s="66"/>
      <c r="P642" s="124"/>
      <c r="Q642" s="67" t="s">
        <v>96</v>
      </c>
      <c r="R642" s="68">
        <v>46249.990972222222</v>
      </c>
      <c r="S642" s="68">
        <v>46250.072916666664</v>
      </c>
      <c r="T642" s="69">
        <f>S642-R642</f>
        <v>8.1944444442342501E-2</v>
      </c>
      <c r="U642" s="61" t="s">
        <v>234</v>
      </c>
      <c r="V642" s="83">
        <v>8.3333333333333329E-2</v>
      </c>
      <c r="W642" s="61">
        <f t="shared" si="155"/>
        <v>-1.3888888909908276E-3</v>
      </c>
      <c r="X642" s="171">
        <v>46248.374305555553</v>
      </c>
      <c r="Y642" s="171">
        <v>46250.255555555559</v>
      </c>
      <c r="Z642" s="168">
        <f t="shared" si="156"/>
        <v>1.8812500000058208</v>
      </c>
      <c r="AA642" s="169">
        <f t="shared" si="157"/>
        <v>1.9166666666666667</v>
      </c>
      <c r="AB642" s="170" t="str">
        <f t="shared" si="158"/>
        <v>00:51:00</v>
      </c>
      <c r="AC642" s="170" t="b">
        <f t="shared" si="159"/>
        <v>1</v>
      </c>
    </row>
    <row r="643" spans="1:29" s="128" customFormat="1" ht="9.75" hidden="1" customHeight="1" x14ac:dyDescent="0.3">
      <c r="A643" s="99">
        <v>46248</v>
      </c>
      <c r="B643" s="59">
        <v>8171263</v>
      </c>
      <c r="C643" s="60" t="s">
        <v>48</v>
      </c>
      <c r="D643" s="60" t="s">
        <v>183</v>
      </c>
      <c r="E643" s="61">
        <v>0.375</v>
      </c>
      <c r="F643" s="60" t="s">
        <v>49</v>
      </c>
      <c r="G643" s="71" t="s">
        <v>13</v>
      </c>
      <c r="H643" s="62">
        <v>46248.45208333333</v>
      </c>
      <c r="I643" s="113" t="str">
        <f t="shared" si="148"/>
        <v>14-08-2026T10:51:00</v>
      </c>
      <c r="J643" s="62">
        <v>46249.027083333334</v>
      </c>
      <c r="K643" s="62"/>
      <c r="L643" s="63">
        <f t="shared" si="153"/>
        <v>0.57500000000436557</v>
      </c>
      <c r="M643" s="64">
        <v>0.58333333333333337</v>
      </c>
      <c r="N643" s="65" t="str">
        <f t="shared" si="154"/>
        <v>00:12:00</v>
      </c>
      <c r="O643" s="66"/>
      <c r="P643" s="124"/>
      <c r="Q643" s="67" t="s">
        <v>13</v>
      </c>
      <c r="R643" s="68">
        <v>46248.939583333333</v>
      </c>
      <c r="S643" s="68">
        <v>46249.020833333336</v>
      </c>
      <c r="T643" s="69">
        <f>S643-R643</f>
        <v>8.1250000002910383E-2</v>
      </c>
      <c r="U643" s="61"/>
      <c r="V643" s="83">
        <v>8.3333333333333329E-2</v>
      </c>
      <c r="W643" s="61">
        <f t="shared" si="155"/>
        <v>-2.0833333304229457E-3</v>
      </c>
      <c r="X643" s="171">
        <v>46248.45208333333</v>
      </c>
      <c r="Y643" s="171">
        <v>46249.027083333334</v>
      </c>
      <c r="Z643" s="168">
        <f t="shared" si="156"/>
        <v>0.57500000000436557</v>
      </c>
      <c r="AA643" s="169">
        <f t="shared" si="157"/>
        <v>0.58333333333333337</v>
      </c>
      <c r="AB643" s="170" t="str">
        <f t="shared" si="158"/>
        <v>00:12:00</v>
      </c>
      <c r="AC643" s="170" t="b">
        <f t="shared" si="159"/>
        <v>1</v>
      </c>
    </row>
    <row r="644" spans="1:29" s="127" customFormat="1" ht="9.75" hidden="1" customHeight="1" x14ac:dyDescent="0.3">
      <c r="A644" s="98">
        <v>46248</v>
      </c>
      <c r="B644" s="48">
        <v>8171214</v>
      </c>
      <c r="C644" s="49" t="s">
        <v>86</v>
      </c>
      <c r="D644" s="49" t="s">
        <v>547</v>
      </c>
      <c r="E644" s="50">
        <v>0.41666666666666669</v>
      </c>
      <c r="F644" s="49" t="s">
        <v>31</v>
      </c>
      <c r="G644" s="70" t="s">
        <v>13</v>
      </c>
      <c r="H644" s="51">
        <v>46248.424305555556</v>
      </c>
      <c r="I644" s="113" t="str">
        <f t="shared" ref="I644:I707" si="160">TEXT(A644,"dd-mm-yyyy")&amp;"T"&amp;TEXT(H644,"hh:mm:ss")</f>
        <v>14-08-2026T10:11:00</v>
      </c>
      <c r="J644" s="51">
        <v>46249.48333333333</v>
      </c>
      <c r="K644" s="51"/>
      <c r="L644" s="52">
        <f t="shared" si="153"/>
        <v>1.0590277777737356</v>
      </c>
      <c r="M644" s="53">
        <v>0.75</v>
      </c>
      <c r="N644" s="54" t="str">
        <f t="shared" si="154"/>
        <v>-07:25:00</v>
      </c>
      <c r="O644" s="55">
        <v>1600</v>
      </c>
      <c r="P644" s="147" t="s">
        <v>602</v>
      </c>
      <c r="Q644" s="56" t="s">
        <v>45</v>
      </c>
      <c r="R644" s="57">
        <v>0.60416666666666663</v>
      </c>
      <c r="S644" s="57">
        <v>0.63541666666666663</v>
      </c>
      <c r="T644" s="58">
        <f>S644-R644</f>
        <v>3.125E-2</v>
      </c>
      <c r="U644" s="50"/>
      <c r="V644" s="74">
        <v>8.3333333333333329E-2</v>
      </c>
      <c r="W644" s="50">
        <f t="shared" si="155"/>
        <v>-5.2083333333333329E-2</v>
      </c>
      <c r="X644" s="171">
        <v>46248.424305555556</v>
      </c>
      <c r="Y644" s="171">
        <v>46249.48333333333</v>
      </c>
      <c r="Z644" s="168">
        <f t="shared" si="156"/>
        <v>1.0590277777737356</v>
      </c>
      <c r="AA644" s="169">
        <f t="shared" si="157"/>
        <v>0.75</v>
      </c>
      <c r="AB644" s="170" t="str">
        <f t="shared" si="158"/>
        <v>-07:25:00</v>
      </c>
      <c r="AC644" s="170" t="b">
        <f t="shared" si="159"/>
        <v>1</v>
      </c>
    </row>
    <row r="645" spans="1:29" s="128" customFormat="1" ht="9.75" hidden="1" customHeight="1" x14ac:dyDescent="0.3">
      <c r="A645" s="99">
        <v>46248</v>
      </c>
      <c r="B645" s="59">
        <v>8171212</v>
      </c>
      <c r="C645" s="60" t="s">
        <v>51</v>
      </c>
      <c r="D645" s="60" t="s">
        <v>295</v>
      </c>
      <c r="E645" s="61">
        <v>0.41666666666666669</v>
      </c>
      <c r="F645" s="60" t="s">
        <v>13</v>
      </c>
      <c r="G645" s="71" t="s">
        <v>49</v>
      </c>
      <c r="H645" s="62">
        <v>0.4236111111111111</v>
      </c>
      <c r="I645" s="113" t="str">
        <f t="shared" si="160"/>
        <v>14-08-2026T10:10:00</v>
      </c>
      <c r="J645" s="62">
        <v>0.91319444444444442</v>
      </c>
      <c r="K645" s="62"/>
      <c r="L645" s="63">
        <f t="shared" si="153"/>
        <v>0.48958333333333331</v>
      </c>
      <c r="M645" s="64">
        <v>0.5</v>
      </c>
      <c r="N645" s="65" t="str">
        <f t="shared" si="154"/>
        <v>00:15:00</v>
      </c>
      <c r="O645" s="66"/>
      <c r="P645" s="124"/>
      <c r="Q645" s="67"/>
      <c r="R645" s="68"/>
      <c r="S645" s="68"/>
      <c r="T645" s="69">
        <v>0</v>
      </c>
      <c r="U645" s="61" t="s">
        <v>234</v>
      </c>
      <c r="V645" s="83">
        <v>0</v>
      </c>
      <c r="W645" s="61">
        <f t="shared" si="155"/>
        <v>0</v>
      </c>
      <c r="X645" s="171">
        <v>46248.423611111109</v>
      </c>
      <c r="Y645" s="171">
        <v>46248.913194444445</v>
      </c>
      <c r="Z645" s="168">
        <f t="shared" si="156"/>
        <v>0.48958333333575865</v>
      </c>
      <c r="AA645" s="169">
        <f t="shared" si="157"/>
        <v>0.5</v>
      </c>
      <c r="AB645" s="170" t="str">
        <f t="shared" si="158"/>
        <v>00:15:00</v>
      </c>
      <c r="AC645" s="170" t="b">
        <f t="shared" si="159"/>
        <v>1</v>
      </c>
    </row>
    <row r="646" spans="1:29" s="127" customFormat="1" ht="9.75" hidden="1" customHeight="1" x14ac:dyDescent="0.3">
      <c r="A646" s="98">
        <v>46247</v>
      </c>
      <c r="B646" s="48">
        <v>8168471</v>
      </c>
      <c r="C646" s="49" t="s">
        <v>90</v>
      </c>
      <c r="D646" s="49" t="s">
        <v>290</v>
      </c>
      <c r="E646" s="50">
        <v>0.4375</v>
      </c>
      <c r="F646" s="49" t="s">
        <v>15</v>
      </c>
      <c r="G646" s="70" t="s">
        <v>13</v>
      </c>
      <c r="H646" s="51">
        <v>0.43611111111111112</v>
      </c>
      <c r="I646" s="113" t="str">
        <f t="shared" si="160"/>
        <v>13-08-2026T10:28:00</v>
      </c>
      <c r="J646" s="51">
        <v>0.65625</v>
      </c>
      <c r="K646" s="113" t="str">
        <f t="shared" ref="K646:K648" si="161">TEXT(A646,"dd-mm-yyyy")&amp;"T"&amp;TEXT(J646,"hh:mm:ss")</f>
        <v>13-08-2026T15:45:00</v>
      </c>
      <c r="L646" s="52">
        <f t="shared" si="153"/>
        <v>0.22013888888888888</v>
      </c>
      <c r="M646" s="53">
        <v>0.20833333333333334</v>
      </c>
      <c r="N646" s="54" t="str">
        <f t="shared" si="154"/>
        <v>-00:17:00</v>
      </c>
      <c r="O646" s="55">
        <v>200</v>
      </c>
      <c r="P646" s="147" t="s">
        <v>455</v>
      </c>
      <c r="Q646" s="56"/>
      <c r="R646" s="57"/>
      <c r="S646" s="57"/>
      <c r="T646" s="58"/>
      <c r="U646" s="50"/>
      <c r="V646" s="74"/>
      <c r="W646" s="50"/>
      <c r="X646" s="171">
        <v>46247.436111111114</v>
      </c>
      <c r="Y646" s="171">
        <v>46247.65625</v>
      </c>
      <c r="Z646" s="168">
        <f t="shared" si="156"/>
        <v>0.22013888888614019</v>
      </c>
      <c r="AA646" s="169">
        <f t="shared" si="157"/>
        <v>0.20833333333333334</v>
      </c>
      <c r="AB646" s="170" t="str">
        <f t="shared" si="158"/>
        <v>-00:17:00</v>
      </c>
      <c r="AC646" s="170" t="b">
        <f t="shared" si="159"/>
        <v>1</v>
      </c>
    </row>
    <row r="647" spans="1:29" s="128" customFormat="1" ht="9.75" customHeight="1" x14ac:dyDescent="0.3">
      <c r="A647" s="99">
        <v>46248</v>
      </c>
      <c r="B647" s="59">
        <v>8170132</v>
      </c>
      <c r="C647" s="60" t="s">
        <v>90</v>
      </c>
      <c r="D647" s="60" t="s">
        <v>290</v>
      </c>
      <c r="E647" s="61">
        <v>0.99930555555555556</v>
      </c>
      <c r="F647" s="60" t="s">
        <v>13</v>
      </c>
      <c r="G647" s="71" t="s">
        <v>15</v>
      </c>
      <c r="H647" s="62">
        <v>1.9444444444444445E-2</v>
      </c>
      <c r="I647" s="113" t="str">
        <f t="shared" si="160"/>
        <v>14-08-2026T00:28:00</v>
      </c>
      <c r="J647" s="62">
        <v>0.26944444444444443</v>
      </c>
      <c r="K647" s="113" t="str">
        <f t="shared" si="161"/>
        <v>14-08-2026T06:28:00</v>
      </c>
      <c r="L647" s="63">
        <f t="shared" si="153"/>
        <v>0.25</v>
      </c>
      <c r="M647" s="64">
        <v>0.27083333333333331</v>
      </c>
      <c r="N647" s="65" t="str">
        <f t="shared" si="154"/>
        <v>00:30:00</v>
      </c>
      <c r="O647" s="66"/>
      <c r="P647" s="124"/>
      <c r="Q647" s="67" t="s">
        <v>13</v>
      </c>
      <c r="R647" s="68">
        <v>4.4444444444444446E-2</v>
      </c>
      <c r="S647" s="68">
        <v>7.4999999999999997E-2</v>
      </c>
      <c r="T647" s="69">
        <f>S647-R647</f>
        <v>3.0555555555555551E-2</v>
      </c>
      <c r="U647" s="61"/>
      <c r="V647" s="83">
        <v>8.3333333333333329E-2</v>
      </c>
      <c r="W647" s="61">
        <f t="shared" ref="W647:W672" si="162">T647-V647</f>
        <v>-5.2777777777777778E-2</v>
      </c>
      <c r="X647" s="171">
        <v>46248.019444444442</v>
      </c>
      <c r="Y647" s="171">
        <v>46248.269444444442</v>
      </c>
      <c r="Z647" s="168">
        <f t="shared" si="156"/>
        <v>0.25</v>
      </c>
      <c r="AA647" s="169">
        <f t="shared" si="157"/>
        <v>0.27083333333333331</v>
      </c>
      <c r="AB647" s="170" t="str">
        <f t="shared" si="158"/>
        <v>00:30:00</v>
      </c>
      <c r="AC647" s="170" t="b">
        <f t="shared" si="159"/>
        <v>1</v>
      </c>
    </row>
    <row r="648" spans="1:29" s="127" customFormat="1" ht="9.75" hidden="1" customHeight="1" x14ac:dyDescent="0.3">
      <c r="A648" s="98">
        <v>46248</v>
      </c>
      <c r="B648" s="48">
        <v>8171231</v>
      </c>
      <c r="C648" s="49" t="s">
        <v>90</v>
      </c>
      <c r="D648" s="49" t="s">
        <v>290</v>
      </c>
      <c r="E648" s="50">
        <v>0.4375</v>
      </c>
      <c r="F648" s="49" t="s">
        <v>15</v>
      </c>
      <c r="G648" s="70" t="s">
        <v>13</v>
      </c>
      <c r="H648" s="51">
        <v>0.4375</v>
      </c>
      <c r="I648" s="113" t="str">
        <f t="shared" si="160"/>
        <v>14-08-2026T10:30:00</v>
      </c>
      <c r="J648" s="51">
        <v>0.65</v>
      </c>
      <c r="K648" s="113" t="str">
        <f t="shared" si="161"/>
        <v>14-08-2026T15:36:00</v>
      </c>
      <c r="L648" s="52">
        <f t="shared" si="153"/>
        <v>0.21250000000000002</v>
      </c>
      <c r="M648" s="53">
        <v>0.20833333333333334</v>
      </c>
      <c r="N648" s="54" t="str">
        <f t="shared" si="154"/>
        <v>-00:06:00</v>
      </c>
      <c r="O648" s="55">
        <v>200</v>
      </c>
      <c r="P648" s="147" t="s">
        <v>593</v>
      </c>
      <c r="Q648" s="56"/>
      <c r="R648" s="57"/>
      <c r="S648" s="57"/>
      <c r="T648" s="58">
        <v>0</v>
      </c>
      <c r="U648" s="50"/>
      <c r="V648" s="74">
        <v>0</v>
      </c>
      <c r="W648" s="50">
        <f t="shared" si="162"/>
        <v>0</v>
      </c>
      <c r="X648" s="171">
        <v>46248.4375</v>
      </c>
      <c r="Y648" s="171">
        <v>46248.65</v>
      </c>
      <c r="Z648" s="168">
        <f t="shared" si="156"/>
        <v>0.21250000000145519</v>
      </c>
      <c r="AA648" s="169">
        <f t="shared" si="157"/>
        <v>0.20833333333333334</v>
      </c>
      <c r="AB648" s="170" t="str">
        <f t="shared" si="158"/>
        <v>-00:06:00</v>
      </c>
      <c r="AC648" s="170" t="b">
        <f t="shared" si="159"/>
        <v>1</v>
      </c>
    </row>
    <row r="649" spans="1:29" s="128" customFormat="1" ht="9.75" hidden="1" customHeight="1" x14ac:dyDescent="0.3">
      <c r="A649" s="99">
        <v>46248</v>
      </c>
      <c r="B649" s="59">
        <v>8171338</v>
      </c>
      <c r="C649" s="60" t="s">
        <v>57</v>
      </c>
      <c r="D649" s="60" t="s">
        <v>370</v>
      </c>
      <c r="E649" s="61">
        <v>0.45833333333333331</v>
      </c>
      <c r="F649" s="60" t="s">
        <v>13</v>
      </c>
      <c r="G649" s="71" t="s">
        <v>24</v>
      </c>
      <c r="H649" s="62">
        <v>0.46944444444444444</v>
      </c>
      <c r="I649" s="113" t="str">
        <f t="shared" si="160"/>
        <v>14-08-2026T11:16:00</v>
      </c>
      <c r="J649" s="62">
        <v>0.54861111111111116</v>
      </c>
      <c r="K649" s="62"/>
      <c r="L649" s="63">
        <f t="shared" si="153"/>
        <v>7.9166666666666718E-2</v>
      </c>
      <c r="M649" s="64">
        <v>8.3333333333333329E-2</v>
      </c>
      <c r="N649" s="65" t="str">
        <f t="shared" si="154"/>
        <v>00:06:00</v>
      </c>
      <c r="O649" s="66"/>
      <c r="P649" s="124"/>
      <c r="Q649" s="67"/>
      <c r="R649" s="68"/>
      <c r="S649" s="68"/>
      <c r="T649" s="69">
        <v>0</v>
      </c>
      <c r="U649" s="61"/>
      <c r="V649" s="83">
        <v>0</v>
      </c>
      <c r="W649" s="61">
        <f t="shared" si="162"/>
        <v>0</v>
      </c>
      <c r="X649" s="171">
        <v>46248.469444444447</v>
      </c>
      <c r="Y649" s="171">
        <v>46248.548611111109</v>
      </c>
      <c r="Z649" s="168">
        <f t="shared" si="156"/>
        <v>7.9166666662786156E-2</v>
      </c>
      <c r="AA649" s="169">
        <f t="shared" si="157"/>
        <v>8.3333333333333329E-2</v>
      </c>
      <c r="AB649" s="170" t="str">
        <f t="shared" si="158"/>
        <v>00:06:00</v>
      </c>
      <c r="AC649" s="170" t="b">
        <f t="shared" si="159"/>
        <v>1</v>
      </c>
    </row>
    <row r="650" spans="1:29" s="128" customFormat="1" ht="9.75" hidden="1" customHeight="1" x14ac:dyDescent="0.3">
      <c r="A650" s="99">
        <v>46248</v>
      </c>
      <c r="B650" s="59">
        <v>8170969</v>
      </c>
      <c r="C650" s="60" t="s">
        <v>39</v>
      </c>
      <c r="D650" s="60" t="s">
        <v>392</v>
      </c>
      <c r="E650" s="61">
        <v>0.5</v>
      </c>
      <c r="F650" s="60" t="s">
        <v>13</v>
      </c>
      <c r="G650" s="71" t="s">
        <v>103</v>
      </c>
      <c r="H650" s="62">
        <v>0.29930555555555555</v>
      </c>
      <c r="I650" s="113" t="str">
        <f t="shared" si="160"/>
        <v>14-08-2026T07:11:00</v>
      </c>
      <c r="J650" s="62">
        <v>0.89861111111111114</v>
      </c>
      <c r="K650" s="62"/>
      <c r="L650" s="63">
        <f t="shared" si="153"/>
        <v>0.59930555555555554</v>
      </c>
      <c r="M650" s="64">
        <v>0.625</v>
      </c>
      <c r="N650" s="65" t="str">
        <f t="shared" si="154"/>
        <v>00:37:00</v>
      </c>
      <c r="O650" s="66"/>
      <c r="P650" s="124"/>
      <c r="Q650" s="67"/>
      <c r="R650" s="68"/>
      <c r="S650" s="68"/>
      <c r="T650" s="69">
        <v>0</v>
      </c>
      <c r="U650" s="61" t="s">
        <v>234</v>
      </c>
      <c r="V650" s="83">
        <v>0</v>
      </c>
      <c r="W650" s="61">
        <f t="shared" si="162"/>
        <v>0</v>
      </c>
      <c r="X650" s="171">
        <v>46248.299305555556</v>
      </c>
      <c r="Y650" s="171">
        <v>46248.898611111108</v>
      </c>
      <c r="Z650" s="168">
        <f t="shared" si="156"/>
        <v>0.59930555555183673</v>
      </c>
      <c r="AA650" s="169">
        <f t="shared" si="157"/>
        <v>0.625</v>
      </c>
      <c r="AB650" s="170" t="str">
        <f t="shared" si="158"/>
        <v>00:37:00</v>
      </c>
      <c r="AC650" s="170" t="b">
        <f t="shared" si="159"/>
        <v>1</v>
      </c>
    </row>
    <row r="651" spans="1:29" s="128" customFormat="1" ht="9.75" hidden="1" customHeight="1" x14ac:dyDescent="0.3">
      <c r="A651" s="99">
        <v>46248</v>
      </c>
      <c r="B651" s="59">
        <v>8170115</v>
      </c>
      <c r="C651" s="60" t="s">
        <v>20</v>
      </c>
      <c r="D651" s="60" t="s">
        <v>232</v>
      </c>
      <c r="E651" s="61">
        <v>0.95833333333333337</v>
      </c>
      <c r="F651" s="60" t="s">
        <v>21</v>
      </c>
      <c r="G651" s="71" t="s">
        <v>13</v>
      </c>
      <c r="H651" s="62">
        <v>6.9444444444444447E-4</v>
      </c>
      <c r="I651" s="113" t="str">
        <f t="shared" si="160"/>
        <v>14-08-2026T00:01:00</v>
      </c>
      <c r="J651" s="62">
        <v>0.24722222222222223</v>
      </c>
      <c r="K651" s="62"/>
      <c r="L651" s="63">
        <f t="shared" si="153"/>
        <v>0.24652777777777779</v>
      </c>
      <c r="M651" s="64">
        <v>0.25</v>
      </c>
      <c r="N651" s="65" t="str">
        <f t="shared" si="154"/>
        <v>00:05:00</v>
      </c>
      <c r="O651" s="66"/>
      <c r="P651" s="124"/>
      <c r="Q651" s="67"/>
      <c r="R651" s="68"/>
      <c r="S651" s="68"/>
      <c r="T651" s="69">
        <v>0</v>
      </c>
      <c r="U651" s="61" t="s">
        <v>234</v>
      </c>
      <c r="V651" s="83">
        <v>0</v>
      </c>
      <c r="W651" s="61">
        <f t="shared" si="162"/>
        <v>0</v>
      </c>
      <c r="X651" s="171">
        <v>46248.000694444447</v>
      </c>
      <c r="Y651" s="171">
        <v>46248.24722222222</v>
      </c>
      <c r="Z651" s="168">
        <f t="shared" si="156"/>
        <v>0.24652777777373558</v>
      </c>
      <c r="AA651" s="169">
        <f t="shared" si="157"/>
        <v>0.25</v>
      </c>
      <c r="AB651" s="170" t="str">
        <f t="shared" si="158"/>
        <v>00:05:00</v>
      </c>
      <c r="AC651" s="170" t="b">
        <f t="shared" si="159"/>
        <v>1</v>
      </c>
    </row>
    <row r="652" spans="1:29" s="128" customFormat="1" ht="9.75" hidden="1" customHeight="1" x14ac:dyDescent="0.3">
      <c r="A652" s="99">
        <v>46248</v>
      </c>
      <c r="B652" s="59">
        <v>8171456</v>
      </c>
      <c r="C652" s="60" t="s">
        <v>20</v>
      </c>
      <c r="D652" s="60" t="s">
        <v>232</v>
      </c>
      <c r="E652" s="61">
        <v>0.5</v>
      </c>
      <c r="F652" s="60" t="s">
        <v>13</v>
      </c>
      <c r="G652" s="71" t="s">
        <v>21</v>
      </c>
      <c r="H652" s="62">
        <v>0.50624999999999998</v>
      </c>
      <c r="I652" s="113" t="str">
        <f t="shared" si="160"/>
        <v>14-08-2026T12:09:00</v>
      </c>
      <c r="J652" s="62">
        <v>0.75</v>
      </c>
      <c r="K652" s="62"/>
      <c r="L652" s="63">
        <f t="shared" si="153"/>
        <v>0.24375000000000002</v>
      </c>
      <c r="M652" s="64">
        <v>0.25</v>
      </c>
      <c r="N652" s="65" t="str">
        <f t="shared" si="154"/>
        <v>00:09:00</v>
      </c>
      <c r="O652" s="66"/>
      <c r="P652" s="124"/>
      <c r="Q652" s="67"/>
      <c r="R652" s="68"/>
      <c r="S652" s="68"/>
      <c r="T652" s="69">
        <v>0</v>
      </c>
      <c r="U652" s="61" t="s">
        <v>234</v>
      </c>
      <c r="V652" s="83">
        <v>0</v>
      </c>
      <c r="W652" s="61">
        <f t="shared" si="162"/>
        <v>0</v>
      </c>
      <c r="X652" s="171">
        <v>46248.506249999999</v>
      </c>
      <c r="Y652" s="171">
        <v>46248.75</v>
      </c>
      <c r="Z652" s="168">
        <f t="shared" si="156"/>
        <v>0.24375000000145519</v>
      </c>
      <c r="AA652" s="169">
        <f t="shared" si="157"/>
        <v>0.25</v>
      </c>
      <c r="AB652" s="170" t="str">
        <f t="shared" si="158"/>
        <v>00:09:00</v>
      </c>
      <c r="AC652" s="170" t="b">
        <f t="shared" si="159"/>
        <v>1</v>
      </c>
    </row>
    <row r="653" spans="1:29" s="128" customFormat="1" ht="9.75" hidden="1" customHeight="1" x14ac:dyDescent="0.3">
      <c r="A653" s="99">
        <v>46248</v>
      </c>
      <c r="B653" s="59">
        <v>8171572</v>
      </c>
      <c r="C653" s="60" t="s">
        <v>52</v>
      </c>
      <c r="D653" s="60" t="s">
        <v>616</v>
      </c>
      <c r="E653" s="61">
        <v>0.54166666666666663</v>
      </c>
      <c r="F653" s="60" t="s">
        <v>13</v>
      </c>
      <c r="G653" s="71" t="s">
        <v>15</v>
      </c>
      <c r="H653" s="62">
        <v>0.54583333333333328</v>
      </c>
      <c r="I653" s="113" t="str">
        <f t="shared" si="160"/>
        <v>14-08-2026T13:06:00</v>
      </c>
      <c r="J653" s="62">
        <v>0.75208333333333333</v>
      </c>
      <c r="K653" s="62"/>
      <c r="L653" s="63">
        <f t="shared" si="153"/>
        <v>0.20625000000000004</v>
      </c>
      <c r="M653" s="64">
        <v>0.20833333333333334</v>
      </c>
      <c r="N653" s="65" t="str">
        <f t="shared" si="154"/>
        <v>00:03:00</v>
      </c>
      <c r="O653" s="66"/>
      <c r="P653" s="124"/>
      <c r="Q653" s="67"/>
      <c r="R653" s="68"/>
      <c r="S653" s="68"/>
      <c r="T653" s="69">
        <v>0</v>
      </c>
      <c r="U653" s="61"/>
      <c r="V653" s="83">
        <v>0</v>
      </c>
      <c r="W653" s="61">
        <f t="shared" si="162"/>
        <v>0</v>
      </c>
      <c r="X653" s="171">
        <v>46248.54583333333</v>
      </c>
      <c r="Y653" s="171">
        <v>46248.752083333333</v>
      </c>
      <c r="Z653" s="168">
        <f t="shared" si="156"/>
        <v>0.20625000000291038</v>
      </c>
      <c r="AA653" s="169">
        <f t="shared" si="157"/>
        <v>0.20833333333333334</v>
      </c>
      <c r="AB653" s="170" t="str">
        <f t="shared" si="158"/>
        <v>00:03:00</v>
      </c>
      <c r="AC653" s="170" t="b">
        <f t="shared" si="159"/>
        <v>1</v>
      </c>
    </row>
    <row r="654" spans="1:29" s="128" customFormat="1" ht="9.75" hidden="1" customHeight="1" x14ac:dyDescent="0.3">
      <c r="A654" s="99">
        <v>46248</v>
      </c>
      <c r="B654" s="59">
        <v>8170902</v>
      </c>
      <c r="C654" s="60" t="s">
        <v>18</v>
      </c>
      <c r="D654" s="60" t="s">
        <v>389</v>
      </c>
      <c r="E654" s="61">
        <v>0.64583333333333337</v>
      </c>
      <c r="F654" s="60" t="s">
        <v>19</v>
      </c>
      <c r="G654" s="71" t="s">
        <v>13</v>
      </c>
      <c r="H654" s="62">
        <v>0.28194444444444444</v>
      </c>
      <c r="I654" s="113" t="str">
        <f t="shared" si="160"/>
        <v>14-08-2026T06:46:00</v>
      </c>
      <c r="J654" s="62">
        <v>0.69027777777777777</v>
      </c>
      <c r="K654" s="62"/>
      <c r="L654" s="63">
        <f t="shared" si="153"/>
        <v>0.40833333333333333</v>
      </c>
      <c r="M654" s="64">
        <v>0.4375</v>
      </c>
      <c r="N654" s="65" t="str">
        <f t="shared" si="154"/>
        <v>00:42:00</v>
      </c>
      <c r="O654" s="66"/>
      <c r="P654" s="124"/>
      <c r="Q654" s="67" t="s">
        <v>229</v>
      </c>
      <c r="R654" s="68">
        <v>46248.375</v>
      </c>
      <c r="S654" s="68">
        <v>46248.416666666664</v>
      </c>
      <c r="T654" s="69">
        <f>S654-R654</f>
        <v>4.1666666664241347E-2</v>
      </c>
      <c r="U654" s="61"/>
      <c r="V654" s="83">
        <v>8.3333333333333329E-2</v>
      </c>
      <c r="W654" s="61">
        <f t="shared" si="162"/>
        <v>-4.1666666669091981E-2</v>
      </c>
      <c r="X654" s="171">
        <v>46248.281944444447</v>
      </c>
      <c r="Y654" s="171">
        <v>46248.69027777778</v>
      </c>
      <c r="Z654" s="168">
        <f t="shared" si="156"/>
        <v>0.40833333333284827</v>
      </c>
      <c r="AA654" s="169">
        <f t="shared" si="157"/>
        <v>0.4375</v>
      </c>
      <c r="AB654" s="170" t="str">
        <f t="shared" si="158"/>
        <v>00:42:00</v>
      </c>
      <c r="AC654" s="170" t="b">
        <f t="shared" si="159"/>
        <v>1</v>
      </c>
    </row>
    <row r="655" spans="1:29" s="127" customFormat="1" ht="9.75" hidden="1" customHeight="1" x14ac:dyDescent="0.3">
      <c r="A655" s="98">
        <v>46248</v>
      </c>
      <c r="B655" s="48">
        <v>8171936</v>
      </c>
      <c r="C655" s="49" t="s">
        <v>104</v>
      </c>
      <c r="D655" s="49" t="s">
        <v>382</v>
      </c>
      <c r="E655" s="50">
        <v>0.64583333333333337</v>
      </c>
      <c r="F655" s="49" t="s">
        <v>19</v>
      </c>
      <c r="G655" s="70" t="s">
        <v>13</v>
      </c>
      <c r="H655" s="51">
        <v>0.67361111111111116</v>
      </c>
      <c r="I655" s="113" t="str">
        <f t="shared" si="160"/>
        <v>14-08-2026T16:10:00</v>
      </c>
      <c r="J655" s="51">
        <v>46249.112500000003</v>
      </c>
      <c r="K655" s="51"/>
      <c r="L655" s="52">
        <f t="shared" ref="L655:L672" si="163">J655-H655</f>
        <v>46248.438888888893</v>
      </c>
      <c r="M655" s="53">
        <v>0.4375</v>
      </c>
      <c r="N655" s="54" t="str">
        <f t="shared" ref="N655:N672" si="164">IF(M655-L655&gt;0,TEXT(M655-L655,"HH:MM:SS"),TEXT(ABS(M655-L655),"-HH:MM:SS"))</f>
        <v>-00:02:00</v>
      </c>
      <c r="O655" s="55">
        <v>200</v>
      </c>
      <c r="P655" s="147" t="s">
        <v>455</v>
      </c>
      <c r="Q655" s="56" t="s">
        <v>229</v>
      </c>
      <c r="R655" s="57">
        <v>46248.791666666664</v>
      </c>
      <c r="S655" s="57">
        <v>46248.833333333336</v>
      </c>
      <c r="T655" s="58">
        <f>S655-R655</f>
        <v>4.1666666671517305E-2</v>
      </c>
      <c r="U655" s="50"/>
      <c r="V655" s="74">
        <v>8.3333333333333329E-2</v>
      </c>
      <c r="W655" s="50">
        <f t="shared" si="162"/>
        <v>-4.1666666661816024E-2</v>
      </c>
      <c r="X655" s="177">
        <v>46248.673611111109</v>
      </c>
      <c r="Y655" s="177">
        <v>46249.112500000003</v>
      </c>
      <c r="Z655" s="178">
        <f t="shared" si="156"/>
        <v>0.43888888889341615</v>
      </c>
      <c r="AA655" s="179">
        <f t="shared" si="157"/>
        <v>0.4375</v>
      </c>
      <c r="AB655" s="180" t="str">
        <f t="shared" si="158"/>
        <v>-00:02:00</v>
      </c>
      <c r="AC655" s="180" t="b">
        <f t="shared" si="159"/>
        <v>1</v>
      </c>
    </row>
    <row r="656" spans="1:29" s="128" customFormat="1" ht="9.75" hidden="1" customHeight="1" x14ac:dyDescent="0.3">
      <c r="A656" s="99">
        <v>46248</v>
      </c>
      <c r="B656" s="59">
        <v>8172014</v>
      </c>
      <c r="C656" s="60" t="s">
        <v>41</v>
      </c>
      <c r="D656" s="60" t="s">
        <v>299</v>
      </c>
      <c r="E656" s="61">
        <v>0.70833333333333337</v>
      </c>
      <c r="F656" s="60" t="s">
        <v>13</v>
      </c>
      <c r="G656" s="71" t="s">
        <v>24</v>
      </c>
      <c r="H656" s="62">
        <v>0.70625000000000004</v>
      </c>
      <c r="I656" s="113" t="str">
        <f t="shared" si="160"/>
        <v>14-08-2026T16:57:00</v>
      </c>
      <c r="J656" s="62">
        <v>0.78125</v>
      </c>
      <c r="K656" s="62"/>
      <c r="L656" s="63">
        <f t="shared" si="163"/>
        <v>7.4999999999999956E-2</v>
      </c>
      <c r="M656" s="64">
        <v>8.3333333333333329E-2</v>
      </c>
      <c r="N656" s="65" t="str">
        <f t="shared" si="164"/>
        <v>00:12:00</v>
      </c>
      <c r="O656" s="66"/>
      <c r="P656" s="124"/>
      <c r="Q656" s="67"/>
      <c r="R656" s="68"/>
      <c r="S656" s="68"/>
      <c r="T656" s="69">
        <v>0</v>
      </c>
      <c r="U656" s="61" t="s">
        <v>234</v>
      </c>
      <c r="V656" s="83">
        <v>0</v>
      </c>
      <c r="W656" s="61">
        <f t="shared" si="162"/>
        <v>0</v>
      </c>
      <c r="X656" s="171">
        <v>46248.706250000003</v>
      </c>
      <c r="Y656" s="171">
        <v>46248.78125</v>
      </c>
      <c r="Z656" s="168">
        <f t="shared" si="156"/>
        <v>7.4999999997089617E-2</v>
      </c>
      <c r="AA656" s="169">
        <f t="shared" si="157"/>
        <v>8.3333333333333329E-2</v>
      </c>
      <c r="AB656" s="170" t="str">
        <f t="shared" si="158"/>
        <v>00:12:00</v>
      </c>
      <c r="AC656" s="170" t="b">
        <f t="shared" si="159"/>
        <v>1</v>
      </c>
    </row>
    <row r="657" spans="1:29" s="128" customFormat="1" ht="9.75" hidden="1" customHeight="1" x14ac:dyDescent="0.3">
      <c r="A657" s="99">
        <v>46248</v>
      </c>
      <c r="B657" s="59">
        <v>8172032</v>
      </c>
      <c r="C657" s="60" t="s">
        <v>84</v>
      </c>
      <c r="D657" s="60" t="s">
        <v>301</v>
      </c>
      <c r="E657" s="61">
        <v>0.70833333333333337</v>
      </c>
      <c r="F657" s="60" t="s">
        <v>85</v>
      </c>
      <c r="G657" s="71" t="s">
        <v>13</v>
      </c>
      <c r="H657" s="62">
        <v>46248.710416666669</v>
      </c>
      <c r="I657" s="113" t="str">
        <f t="shared" si="160"/>
        <v>14-08-2026T17:03:00</v>
      </c>
      <c r="J657" s="62">
        <v>46249.032638888886</v>
      </c>
      <c r="K657" s="62"/>
      <c r="L657" s="63">
        <f t="shared" si="163"/>
        <v>0.32222222221753327</v>
      </c>
      <c r="M657" s="64">
        <v>0.33333333333333331</v>
      </c>
      <c r="N657" s="65" t="str">
        <f t="shared" si="164"/>
        <v>00:16:00</v>
      </c>
      <c r="O657" s="66"/>
      <c r="P657" s="124"/>
      <c r="Q657" s="67" t="s">
        <v>174</v>
      </c>
      <c r="R657" s="68">
        <v>0.77777777777777779</v>
      </c>
      <c r="S657" s="68">
        <v>0.79166666666666663</v>
      </c>
      <c r="T657" s="69">
        <f>S657-R657</f>
        <v>1.388888888888884E-2</v>
      </c>
      <c r="U657" s="61"/>
      <c r="V657" s="83">
        <v>6.25E-2</v>
      </c>
      <c r="W657" s="61">
        <f t="shared" si="162"/>
        <v>-4.861111111111116E-2</v>
      </c>
      <c r="X657" s="171">
        <v>46248.710416666669</v>
      </c>
      <c r="Y657" s="171">
        <v>46249.032638888886</v>
      </c>
      <c r="Z657" s="168">
        <f t="shared" si="156"/>
        <v>0.32222222221753327</v>
      </c>
      <c r="AA657" s="169">
        <f t="shared" si="157"/>
        <v>0.33333333333333331</v>
      </c>
      <c r="AB657" s="170" t="str">
        <f t="shared" si="158"/>
        <v>00:16:00</v>
      </c>
      <c r="AC657" s="170" t="b">
        <f t="shared" si="159"/>
        <v>1</v>
      </c>
    </row>
    <row r="658" spans="1:29" s="127" customFormat="1" ht="9.75" hidden="1" customHeight="1" x14ac:dyDescent="0.3">
      <c r="A658" s="98">
        <v>46248</v>
      </c>
      <c r="B658" s="48">
        <v>8171972</v>
      </c>
      <c r="C658" s="49" t="s">
        <v>102</v>
      </c>
      <c r="D658" s="49" t="s">
        <v>384</v>
      </c>
      <c r="E658" s="50">
        <v>0.70833333333333337</v>
      </c>
      <c r="F658" s="49" t="s">
        <v>13</v>
      </c>
      <c r="G658" s="70" t="s">
        <v>23</v>
      </c>
      <c r="H658" s="51">
        <v>46248.689583333333</v>
      </c>
      <c r="I658" s="113" t="str">
        <f t="shared" si="160"/>
        <v>14-08-2026T16:33:00</v>
      </c>
      <c r="J658" s="51">
        <v>46250.223611111112</v>
      </c>
      <c r="K658" s="51"/>
      <c r="L658" s="52">
        <f t="shared" si="163"/>
        <v>1.5340277777795563</v>
      </c>
      <c r="M658" s="53">
        <v>1</v>
      </c>
      <c r="N658" s="54" t="str">
        <f t="shared" si="164"/>
        <v>-12:49:00</v>
      </c>
      <c r="O658" s="55">
        <f>200*13</f>
        <v>2600</v>
      </c>
      <c r="P658" s="147" t="s">
        <v>594</v>
      </c>
      <c r="Q658" s="56"/>
      <c r="R658" s="57"/>
      <c r="S658" s="57"/>
      <c r="T658" s="58">
        <v>0</v>
      </c>
      <c r="U658" s="50" t="s">
        <v>234</v>
      </c>
      <c r="V658" s="74">
        <v>0</v>
      </c>
      <c r="W658" s="50">
        <f t="shared" si="162"/>
        <v>0</v>
      </c>
      <c r="X658" s="171">
        <v>46248.689583333333</v>
      </c>
      <c r="Y658" s="171">
        <v>46250.223611111112</v>
      </c>
      <c r="Z658" s="168">
        <f t="shared" si="156"/>
        <v>1.5340277777795563</v>
      </c>
      <c r="AA658" s="169">
        <f t="shared" si="157"/>
        <v>1</v>
      </c>
      <c r="AB658" s="170" t="str">
        <f t="shared" si="158"/>
        <v>-12:49:00</v>
      </c>
      <c r="AC658" s="170" t="b">
        <f t="shared" si="159"/>
        <v>1</v>
      </c>
    </row>
    <row r="659" spans="1:29" s="128" customFormat="1" ht="9.75" hidden="1" customHeight="1" x14ac:dyDescent="0.3">
      <c r="A659" s="99">
        <v>46248</v>
      </c>
      <c r="B659" s="59">
        <v>8172047</v>
      </c>
      <c r="C659" s="60" t="s">
        <v>27</v>
      </c>
      <c r="D659" s="60" t="s">
        <v>378</v>
      </c>
      <c r="E659" s="61">
        <v>0.70833333333333337</v>
      </c>
      <c r="F659" s="60" t="s">
        <v>28</v>
      </c>
      <c r="G659" s="71" t="s">
        <v>13</v>
      </c>
      <c r="H659" s="62">
        <v>0.71458333333333335</v>
      </c>
      <c r="I659" s="113" t="str">
        <f t="shared" si="160"/>
        <v>14-08-2026T17:09:00</v>
      </c>
      <c r="J659" s="62">
        <v>0.88124999999999998</v>
      </c>
      <c r="K659" s="62"/>
      <c r="L659" s="63">
        <f t="shared" si="163"/>
        <v>0.16666666666666663</v>
      </c>
      <c r="M659" s="64">
        <v>0.16666666666666666</v>
      </c>
      <c r="N659" s="65" t="str">
        <f t="shared" si="164"/>
        <v>00:00:00</v>
      </c>
      <c r="O659" s="66"/>
      <c r="P659" s="124"/>
      <c r="Q659" s="67"/>
      <c r="R659" s="68"/>
      <c r="S659" s="68"/>
      <c r="T659" s="69">
        <v>0</v>
      </c>
      <c r="U659" s="61"/>
      <c r="V659" s="83">
        <v>0</v>
      </c>
      <c r="W659" s="61">
        <f t="shared" si="162"/>
        <v>0</v>
      </c>
      <c r="X659" s="171">
        <v>46248.714583333334</v>
      </c>
      <c r="Y659" s="171">
        <v>46248.881249999999</v>
      </c>
      <c r="Z659" s="168">
        <f t="shared" si="156"/>
        <v>0.16666666666424135</v>
      </c>
      <c r="AA659" s="169">
        <f t="shared" si="157"/>
        <v>0.16666666666666666</v>
      </c>
      <c r="AB659" s="170" t="str">
        <f t="shared" si="158"/>
        <v>00:00:00</v>
      </c>
      <c r="AC659" s="170" t="b">
        <f t="shared" si="159"/>
        <v>1</v>
      </c>
    </row>
    <row r="660" spans="1:29" s="128" customFormat="1" ht="9.75" hidden="1" customHeight="1" x14ac:dyDescent="0.3">
      <c r="A660" s="99">
        <v>46248</v>
      </c>
      <c r="B660" s="59">
        <v>8172087</v>
      </c>
      <c r="C660" s="60" t="s">
        <v>89</v>
      </c>
      <c r="D660" s="60" t="s">
        <v>294</v>
      </c>
      <c r="E660" s="61">
        <v>0.75</v>
      </c>
      <c r="F660" s="60" t="s">
        <v>35</v>
      </c>
      <c r="G660" s="71" t="s">
        <v>13</v>
      </c>
      <c r="H660" s="62">
        <v>0.73124999999999996</v>
      </c>
      <c r="I660" s="113" t="str">
        <f t="shared" si="160"/>
        <v>14-08-2026T17:33:00</v>
      </c>
      <c r="J660" s="62">
        <v>0.7631944444444444</v>
      </c>
      <c r="K660" s="62"/>
      <c r="L660" s="63">
        <f t="shared" si="163"/>
        <v>3.1944444444444442E-2</v>
      </c>
      <c r="M660" s="64">
        <v>4.1666666666666664E-2</v>
      </c>
      <c r="N660" s="65" t="str">
        <f t="shared" si="164"/>
        <v>00:14:00</v>
      </c>
      <c r="O660" s="66"/>
      <c r="P660" s="124"/>
      <c r="Q660" s="67"/>
      <c r="R660" s="68"/>
      <c r="S660" s="68"/>
      <c r="T660" s="69">
        <v>0</v>
      </c>
      <c r="U660" s="61"/>
      <c r="V660" s="83">
        <v>0</v>
      </c>
      <c r="W660" s="61">
        <f t="shared" si="162"/>
        <v>0</v>
      </c>
      <c r="X660" s="171">
        <v>46248.731249999997</v>
      </c>
      <c r="Y660" s="171">
        <v>46248.763194444444</v>
      </c>
      <c r="Z660" s="168">
        <f t="shared" si="156"/>
        <v>3.1944444446708076E-2</v>
      </c>
      <c r="AA660" s="169">
        <f t="shared" si="157"/>
        <v>4.1666666666666664E-2</v>
      </c>
      <c r="AB660" s="170" t="str">
        <f t="shared" si="158"/>
        <v>00:14:00</v>
      </c>
      <c r="AC660" s="170" t="b">
        <f t="shared" si="159"/>
        <v>1</v>
      </c>
    </row>
    <row r="661" spans="1:29" s="128" customFormat="1" ht="9.75" hidden="1" customHeight="1" x14ac:dyDescent="0.3">
      <c r="A661" s="99">
        <v>46248</v>
      </c>
      <c r="B661" s="59">
        <v>8172514</v>
      </c>
      <c r="C661" s="60" t="s">
        <v>32</v>
      </c>
      <c r="D661" s="60" t="s">
        <v>476</v>
      </c>
      <c r="E661" s="61">
        <v>0.83333333333333337</v>
      </c>
      <c r="F661" s="60" t="s">
        <v>287</v>
      </c>
      <c r="G661" s="71" t="s">
        <v>13</v>
      </c>
      <c r="H661" s="62">
        <v>46248.865277777775</v>
      </c>
      <c r="I661" s="113" t="str">
        <f t="shared" si="160"/>
        <v>14-08-2026T20:46:00</v>
      </c>
      <c r="J661" s="62">
        <v>46249.000694444447</v>
      </c>
      <c r="K661" s="62"/>
      <c r="L661" s="63">
        <f t="shared" si="163"/>
        <v>0.13541666667151731</v>
      </c>
      <c r="M661" s="64">
        <v>0.14583333333333334</v>
      </c>
      <c r="N661" s="65" t="str">
        <f t="shared" si="164"/>
        <v>00:15:00</v>
      </c>
      <c r="O661" s="66"/>
      <c r="P661" s="124"/>
      <c r="Q661" s="67"/>
      <c r="R661" s="68"/>
      <c r="S661" s="68"/>
      <c r="T661" s="69">
        <v>0</v>
      </c>
      <c r="U661" s="61"/>
      <c r="V661" s="83">
        <v>0</v>
      </c>
      <c r="W661" s="61">
        <f t="shared" si="162"/>
        <v>0</v>
      </c>
      <c r="X661" s="171">
        <v>46248.865277777775</v>
      </c>
      <c r="Y661" s="171">
        <v>46249.000694444447</v>
      </c>
      <c r="Z661" s="168">
        <f t="shared" si="156"/>
        <v>0.13541666667151731</v>
      </c>
      <c r="AA661" s="169">
        <f t="shared" si="157"/>
        <v>0.14583333333333334</v>
      </c>
      <c r="AB661" s="170" t="str">
        <f t="shared" si="158"/>
        <v>00:15:00</v>
      </c>
      <c r="AC661" s="170" t="b">
        <f t="shared" si="159"/>
        <v>1</v>
      </c>
    </row>
    <row r="662" spans="1:29" s="128" customFormat="1" ht="9.75" hidden="1" customHeight="1" x14ac:dyDescent="0.3">
      <c r="A662" s="99">
        <v>46248</v>
      </c>
      <c r="B662" s="59">
        <v>8172569</v>
      </c>
      <c r="C662" s="60" t="s">
        <v>56</v>
      </c>
      <c r="D662" s="60" t="s">
        <v>472</v>
      </c>
      <c r="E662" s="61">
        <v>0.875</v>
      </c>
      <c r="F662" s="60" t="s">
        <v>13</v>
      </c>
      <c r="G662" s="71" t="s">
        <v>15</v>
      </c>
      <c r="H662" s="62">
        <v>46248.878472222219</v>
      </c>
      <c r="I662" s="113" t="str">
        <f t="shared" si="160"/>
        <v>14-08-2026T21:05:00</v>
      </c>
      <c r="J662" s="62">
        <v>46249.076388888891</v>
      </c>
      <c r="K662" s="62"/>
      <c r="L662" s="63">
        <f t="shared" si="163"/>
        <v>0.19791666667151731</v>
      </c>
      <c r="M662" s="64">
        <v>0.20833333333333334</v>
      </c>
      <c r="N662" s="65" t="str">
        <f t="shared" si="164"/>
        <v>00:15:00</v>
      </c>
      <c r="O662" s="66"/>
      <c r="P662" s="124"/>
      <c r="Q662" s="67"/>
      <c r="R662" s="68"/>
      <c r="S662" s="68"/>
      <c r="T662" s="69">
        <v>0</v>
      </c>
      <c r="U662" s="61"/>
      <c r="V662" s="83">
        <v>0</v>
      </c>
      <c r="W662" s="61">
        <f t="shared" si="162"/>
        <v>0</v>
      </c>
      <c r="X662" s="171">
        <v>46248.878472222219</v>
      </c>
      <c r="Y662" s="171">
        <v>46249.076388888891</v>
      </c>
      <c r="Z662" s="168">
        <f t="shared" si="156"/>
        <v>0.19791666667151731</v>
      </c>
      <c r="AA662" s="169">
        <f t="shared" si="157"/>
        <v>0.20833333333333334</v>
      </c>
      <c r="AB662" s="170" t="str">
        <f t="shared" si="158"/>
        <v>00:15:00</v>
      </c>
      <c r="AC662" s="170" t="b">
        <f t="shared" si="159"/>
        <v>1</v>
      </c>
    </row>
    <row r="663" spans="1:29" s="128" customFormat="1" ht="9.75" hidden="1" customHeight="1" x14ac:dyDescent="0.3">
      <c r="A663" s="99">
        <v>46248</v>
      </c>
      <c r="B663" s="59">
        <v>8172561</v>
      </c>
      <c r="C663" s="60" t="s">
        <v>42</v>
      </c>
      <c r="D663" s="60" t="s">
        <v>181</v>
      </c>
      <c r="E663" s="61">
        <v>0.875</v>
      </c>
      <c r="F663" s="60" t="s">
        <v>55</v>
      </c>
      <c r="G663" s="71" t="s">
        <v>13</v>
      </c>
      <c r="H663" s="62">
        <v>0.87638888888888888</v>
      </c>
      <c r="I663" s="113" t="str">
        <f t="shared" si="160"/>
        <v>14-08-2026T21:02:00</v>
      </c>
      <c r="J663" s="62">
        <v>0.93125000000000002</v>
      </c>
      <c r="K663" s="62"/>
      <c r="L663" s="63">
        <f t="shared" si="163"/>
        <v>5.4861111111111138E-2</v>
      </c>
      <c r="M663" s="64">
        <v>6.25E-2</v>
      </c>
      <c r="N663" s="65" t="str">
        <f t="shared" si="164"/>
        <v>00:11:00</v>
      </c>
      <c r="O663" s="66"/>
      <c r="P663" s="124"/>
      <c r="Q663" s="67"/>
      <c r="R663" s="68"/>
      <c r="S663" s="68"/>
      <c r="T663" s="69">
        <v>0</v>
      </c>
      <c r="U663" s="61"/>
      <c r="V663" s="83">
        <v>0</v>
      </c>
      <c r="W663" s="61">
        <f t="shared" si="162"/>
        <v>0</v>
      </c>
      <c r="X663" s="171">
        <v>46248.876388888886</v>
      </c>
      <c r="Y663" s="171">
        <v>46248.931250000001</v>
      </c>
      <c r="Z663" s="168">
        <f t="shared" si="156"/>
        <v>5.4861111115314998E-2</v>
      </c>
      <c r="AA663" s="169">
        <f t="shared" si="157"/>
        <v>6.25E-2</v>
      </c>
      <c r="AB663" s="170" t="str">
        <f t="shared" si="158"/>
        <v>00:11:00</v>
      </c>
      <c r="AC663" s="170" t="b">
        <f t="shared" si="159"/>
        <v>1</v>
      </c>
    </row>
    <row r="664" spans="1:29" s="128" customFormat="1" ht="9.75" hidden="1" customHeight="1" x14ac:dyDescent="0.3">
      <c r="A664" s="99">
        <v>46248</v>
      </c>
      <c r="B664" s="59">
        <v>8172144</v>
      </c>
      <c r="C664" s="60" t="s">
        <v>54</v>
      </c>
      <c r="D664" s="60" t="s">
        <v>288</v>
      </c>
      <c r="E664" s="61">
        <v>0.875</v>
      </c>
      <c r="F664" s="60" t="s">
        <v>24</v>
      </c>
      <c r="G664" s="71" t="s">
        <v>13</v>
      </c>
      <c r="H664" s="62">
        <v>0.74583333333333335</v>
      </c>
      <c r="I664" s="113" t="str">
        <f t="shared" si="160"/>
        <v>14-08-2026T17:54:00</v>
      </c>
      <c r="J664" s="62">
        <v>0.82152777777777775</v>
      </c>
      <c r="K664" s="62"/>
      <c r="L664" s="63">
        <f t="shared" si="163"/>
        <v>7.5694444444444398E-2</v>
      </c>
      <c r="M664" s="64">
        <v>8.3333333333333329E-2</v>
      </c>
      <c r="N664" s="65" t="str">
        <f t="shared" si="164"/>
        <v>00:11:00</v>
      </c>
      <c r="O664" s="66"/>
      <c r="P664" s="124"/>
      <c r="Q664" s="67"/>
      <c r="R664" s="68"/>
      <c r="S664" s="68"/>
      <c r="T664" s="69">
        <v>0</v>
      </c>
      <c r="U664" s="61"/>
      <c r="V664" s="83">
        <v>0</v>
      </c>
      <c r="W664" s="61">
        <f t="shared" si="162"/>
        <v>0</v>
      </c>
      <c r="X664" s="171">
        <v>46248.745833333334</v>
      </c>
      <c r="Y664" s="171">
        <v>46248.821527777778</v>
      </c>
      <c r="Z664" s="168">
        <f t="shared" si="156"/>
        <v>7.5694444443797693E-2</v>
      </c>
      <c r="AA664" s="169">
        <f t="shared" si="157"/>
        <v>8.3333333333333329E-2</v>
      </c>
      <c r="AB664" s="170" t="str">
        <f t="shared" si="158"/>
        <v>00:11:00</v>
      </c>
      <c r="AC664" s="170" t="b">
        <f t="shared" si="159"/>
        <v>1</v>
      </c>
    </row>
    <row r="665" spans="1:29" s="128" customFormat="1" ht="9.75" hidden="1" customHeight="1" x14ac:dyDescent="0.3">
      <c r="A665" s="99">
        <v>46248</v>
      </c>
      <c r="B665" s="59">
        <v>8172827</v>
      </c>
      <c r="C665" s="60" t="s">
        <v>20</v>
      </c>
      <c r="D665" s="60" t="s">
        <v>232</v>
      </c>
      <c r="E665" s="61">
        <v>0.95833333333333337</v>
      </c>
      <c r="F665" s="60" t="s">
        <v>21</v>
      </c>
      <c r="G665" s="71" t="s">
        <v>13</v>
      </c>
      <c r="H665" s="62">
        <v>46248.984027777777</v>
      </c>
      <c r="I665" s="113" t="str">
        <f t="shared" si="160"/>
        <v>14-08-2026T23:37:00</v>
      </c>
      <c r="J665" s="62">
        <v>46249.222916666666</v>
      </c>
      <c r="K665" s="62"/>
      <c r="L665" s="63">
        <f t="shared" si="163"/>
        <v>0.23888888888905058</v>
      </c>
      <c r="M665" s="64">
        <v>0.25</v>
      </c>
      <c r="N665" s="65" t="str">
        <f t="shared" si="164"/>
        <v>00:16:00</v>
      </c>
      <c r="O665" s="66"/>
      <c r="P665" s="124"/>
      <c r="Q665" s="67"/>
      <c r="R665" s="68"/>
      <c r="S665" s="68"/>
      <c r="T665" s="69">
        <v>0</v>
      </c>
      <c r="U665" s="61"/>
      <c r="V665" s="83">
        <v>0</v>
      </c>
      <c r="W665" s="61">
        <f t="shared" si="162"/>
        <v>0</v>
      </c>
      <c r="X665" s="171">
        <v>46248.984027777777</v>
      </c>
      <c r="Y665" s="171">
        <v>46249.222916666666</v>
      </c>
      <c r="Z665" s="168">
        <f t="shared" si="156"/>
        <v>0.23888888888905058</v>
      </c>
      <c r="AA665" s="169">
        <f t="shared" si="157"/>
        <v>0.25</v>
      </c>
      <c r="AB665" s="170" t="str">
        <f t="shared" si="158"/>
        <v>00:16:00</v>
      </c>
      <c r="AC665" s="170" t="b">
        <f t="shared" si="159"/>
        <v>1</v>
      </c>
    </row>
    <row r="666" spans="1:29" s="128" customFormat="1" ht="9.75" hidden="1" customHeight="1" x14ac:dyDescent="0.3">
      <c r="A666" s="99">
        <v>46248</v>
      </c>
      <c r="B666" s="59">
        <v>8172754</v>
      </c>
      <c r="C666" s="60" t="s">
        <v>171</v>
      </c>
      <c r="D666" s="60" t="s">
        <v>296</v>
      </c>
      <c r="E666" s="61">
        <v>0.95833333333333337</v>
      </c>
      <c r="F666" s="60" t="s">
        <v>173</v>
      </c>
      <c r="G666" s="71" t="s">
        <v>13</v>
      </c>
      <c r="H666" s="62">
        <v>46248.95208333333</v>
      </c>
      <c r="I666" s="113" t="str">
        <f t="shared" si="160"/>
        <v>14-08-2026T22:51:00</v>
      </c>
      <c r="J666" s="62">
        <v>46250.807638888888</v>
      </c>
      <c r="K666" s="62"/>
      <c r="L666" s="63">
        <f t="shared" si="163"/>
        <v>1.8555555555576575</v>
      </c>
      <c r="M666" s="64">
        <v>1.9166666666666667</v>
      </c>
      <c r="N666" s="65" t="str">
        <f t="shared" si="164"/>
        <v>01:28:00</v>
      </c>
      <c r="O666" s="66"/>
      <c r="P666" s="124"/>
      <c r="Q666" s="67" t="s">
        <v>96</v>
      </c>
      <c r="R666" s="68">
        <v>46249.111805555556</v>
      </c>
      <c r="S666" s="68">
        <v>46249.168055555558</v>
      </c>
      <c r="T666" s="69">
        <f>S666-R666</f>
        <v>5.6250000001455192E-2</v>
      </c>
      <c r="U666" s="61"/>
      <c r="V666" s="83">
        <v>8.3333333333333329E-2</v>
      </c>
      <c r="W666" s="61">
        <f t="shared" si="162"/>
        <v>-2.7083333331878137E-2</v>
      </c>
      <c r="X666" s="171">
        <v>46248.95208333333</v>
      </c>
      <c r="Y666" s="171">
        <v>46250.807638888888</v>
      </c>
      <c r="Z666" s="168">
        <f t="shared" si="156"/>
        <v>1.8555555555576575</v>
      </c>
      <c r="AA666" s="169">
        <f t="shared" si="157"/>
        <v>1.9166666666666667</v>
      </c>
      <c r="AB666" s="170" t="str">
        <f t="shared" si="158"/>
        <v>01:28:00</v>
      </c>
      <c r="AC666" s="170" t="b">
        <f t="shared" si="159"/>
        <v>1</v>
      </c>
    </row>
    <row r="667" spans="1:29" s="127" customFormat="1" ht="9.75" hidden="1" customHeight="1" x14ac:dyDescent="0.3">
      <c r="A667" s="98">
        <v>46248</v>
      </c>
      <c r="B667" s="48">
        <v>8172861</v>
      </c>
      <c r="C667" s="49" t="s">
        <v>52</v>
      </c>
      <c r="D667" s="49" t="s">
        <v>616</v>
      </c>
      <c r="E667" s="50">
        <v>0.99930555555555556</v>
      </c>
      <c r="F667" s="49" t="s">
        <v>15</v>
      </c>
      <c r="G667" s="70" t="s">
        <v>13</v>
      </c>
      <c r="H667" s="51">
        <v>46248.998611111114</v>
      </c>
      <c r="I667" s="113" t="str">
        <f t="shared" si="160"/>
        <v>14-08-2026T23:58:00</v>
      </c>
      <c r="J667" s="51">
        <v>46249.209027777775</v>
      </c>
      <c r="K667" s="51"/>
      <c r="L667" s="52">
        <f t="shared" si="163"/>
        <v>0.21041666666133096</v>
      </c>
      <c r="M667" s="53">
        <v>0.20833333333333334</v>
      </c>
      <c r="N667" s="54" t="str">
        <f t="shared" si="164"/>
        <v>-00:03:00</v>
      </c>
      <c r="O667" s="55">
        <v>250</v>
      </c>
      <c r="P667" s="147" t="s">
        <v>455</v>
      </c>
      <c r="Q667" s="56"/>
      <c r="R667" s="57"/>
      <c r="S667" s="57"/>
      <c r="T667" s="58">
        <v>0</v>
      </c>
      <c r="U667" s="50"/>
      <c r="V667" s="74">
        <v>0</v>
      </c>
      <c r="W667" s="50">
        <f t="shared" si="162"/>
        <v>0</v>
      </c>
      <c r="X667" s="171">
        <v>46248.998611111114</v>
      </c>
      <c r="Y667" s="171">
        <v>46249.209027777775</v>
      </c>
      <c r="Z667" s="168">
        <f t="shared" si="156"/>
        <v>0.21041666666133096</v>
      </c>
      <c r="AA667" s="169">
        <f t="shared" si="157"/>
        <v>0.20833333333333334</v>
      </c>
      <c r="AB667" s="170" t="str">
        <f t="shared" si="158"/>
        <v>-00:03:00</v>
      </c>
      <c r="AC667" s="170" t="b">
        <f t="shared" si="159"/>
        <v>1</v>
      </c>
    </row>
    <row r="668" spans="1:29" s="128" customFormat="1" ht="9.75" hidden="1" customHeight="1" x14ac:dyDescent="0.3">
      <c r="A668" s="99">
        <v>46248</v>
      </c>
      <c r="B668" s="59">
        <v>8172842</v>
      </c>
      <c r="C668" s="60" t="s">
        <v>57</v>
      </c>
      <c r="D668" s="60" t="s">
        <v>370</v>
      </c>
      <c r="E668" s="61">
        <v>0.99930555555555556</v>
      </c>
      <c r="F668" s="60" t="s">
        <v>24</v>
      </c>
      <c r="G668" s="71" t="s">
        <v>13</v>
      </c>
      <c r="H668" s="62">
        <v>46248.990972222222</v>
      </c>
      <c r="I668" s="113" t="str">
        <f t="shared" si="160"/>
        <v>14-08-2026T23:47:00</v>
      </c>
      <c r="J668" s="62">
        <v>46249.063194444447</v>
      </c>
      <c r="K668" s="62"/>
      <c r="L668" s="63">
        <f t="shared" si="163"/>
        <v>7.2222222224809229E-2</v>
      </c>
      <c r="M668" s="64">
        <v>8.3333333333333329E-2</v>
      </c>
      <c r="N668" s="65" t="str">
        <f t="shared" si="164"/>
        <v>00:16:00</v>
      </c>
      <c r="O668" s="66"/>
      <c r="P668" s="124"/>
      <c r="Q668" s="67"/>
      <c r="R668" s="68"/>
      <c r="S668" s="68"/>
      <c r="T668" s="69">
        <v>0</v>
      </c>
      <c r="U668" s="61" t="s">
        <v>234</v>
      </c>
      <c r="V668" s="83">
        <v>0</v>
      </c>
      <c r="W668" s="61">
        <f t="shared" si="162"/>
        <v>0</v>
      </c>
      <c r="X668" s="171">
        <v>46248.990972222222</v>
      </c>
      <c r="Y668" s="171">
        <v>46249.063194444447</v>
      </c>
      <c r="Z668" s="168">
        <f t="shared" si="156"/>
        <v>7.2222222224809229E-2</v>
      </c>
      <c r="AA668" s="169">
        <f t="shared" si="157"/>
        <v>8.3333333333333329E-2</v>
      </c>
      <c r="AB668" s="170" t="str">
        <f t="shared" si="158"/>
        <v>00:16:00</v>
      </c>
      <c r="AC668" s="170" t="b">
        <f t="shared" si="159"/>
        <v>1</v>
      </c>
    </row>
    <row r="669" spans="1:29" s="127" customFormat="1" ht="9.75" hidden="1" customHeight="1" x14ac:dyDescent="0.3">
      <c r="A669" s="98">
        <v>46248</v>
      </c>
      <c r="B669" s="48">
        <v>8172052</v>
      </c>
      <c r="C669" s="49" t="s">
        <v>203</v>
      </c>
      <c r="D669" s="49" t="s">
        <v>297</v>
      </c>
      <c r="E669" s="50" t="s">
        <v>184</v>
      </c>
      <c r="F669" s="49" t="s">
        <v>13</v>
      </c>
      <c r="G669" s="70" t="s">
        <v>376</v>
      </c>
      <c r="H669" s="51">
        <v>46248.716666666667</v>
      </c>
      <c r="I669" s="113" t="str">
        <f t="shared" si="160"/>
        <v>14-08-2026T17:12:00</v>
      </c>
      <c r="J669" s="51">
        <v>46250.743055555555</v>
      </c>
      <c r="K669" s="51"/>
      <c r="L669" s="52">
        <f t="shared" si="163"/>
        <v>2.0263888888875954</v>
      </c>
      <c r="M669" s="53">
        <v>1.6666666666666667</v>
      </c>
      <c r="N669" s="54" t="str">
        <f t="shared" si="164"/>
        <v>-08:38:00</v>
      </c>
      <c r="O669" s="55"/>
      <c r="P669" s="125" t="s">
        <v>184</v>
      </c>
      <c r="Q669" s="56"/>
      <c r="R669" s="57"/>
      <c r="S669" s="57"/>
      <c r="T669" s="58">
        <v>0</v>
      </c>
      <c r="U669" s="50"/>
      <c r="V669" s="74" t="s">
        <v>393</v>
      </c>
      <c r="W669" s="50" t="e">
        <f t="shared" si="162"/>
        <v>#VALUE!</v>
      </c>
      <c r="X669" s="171">
        <v>46248.716666666667</v>
      </c>
      <c r="Y669" s="171">
        <v>46250.743055555555</v>
      </c>
      <c r="Z669" s="168">
        <f t="shared" si="156"/>
        <v>2.0263888888875954</v>
      </c>
      <c r="AA669" s="169">
        <f t="shared" si="157"/>
        <v>1.6666666666666667</v>
      </c>
      <c r="AB669" s="170" t="str">
        <f t="shared" si="158"/>
        <v>-08:38:00</v>
      </c>
      <c r="AC669" s="170" t="b">
        <f t="shared" si="159"/>
        <v>1</v>
      </c>
    </row>
    <row r="670" spans="1:29" s="144" customFormat="1" ht="9.75" hidden="1" customHeight="1" x14ac:dyDescent="0.3">
      <c r="A670" s="129">
        <v>46249</v>
      </c>
      <c r="B670" s="130">
        <v>8172960</v>
      </c>
      <c r="C670" s="131" t="s">
        <v>82</v>
      </c>
      <c r="D670" s="131" t="s">
        <v>333</v>
      </c>
      <c r="E670" s="132">
        <v>6.25E-2</v>
      </c>
      <c r="F670" s="131" t="s">
        <v>13</v>
      </c>
      <c r="G670" s="133" t="s">
        <v>26</v>
      </c>
      <c r="H670" s="134">
        <v>6.458333333333334E-2</v>
      </c>
      <c r="I670" s="113" t="str">
        <f t="shared" si="160"/>
        <v>15-08-2026T01:33:00</v>
      </c>
      <c r="J670" s="134">
        <v>0.55347222222222225</v>
      </c>
      <c r="K670" s="134"/>
      <c r="L670" s="135">
        <f t="shared" si="163"/>
        <v>0.48888888888888893</v>
      </c>
      <c r="M670" s="136">
        <v>0.41666666666666669</v>
      </c>
      <c r="N670" s="137" t="str">
        <f t="shared" si="164"/>
        <v>-01:44:00</v>
      </c>
      <c r="O670" s="138"/>
      <c r="P670" s="145" t="s">
        <v>125</v>
      </c>
      <c r="Q670" s="140" t="s">
        <v>312</v>
      </c>
      <c r="R670" s="141">
        <v>0.25</v>
      </c>
      <c r="S670" s="141">
        <v>0.3888888888888889</v>
      </c>
      <c r="T670" s="142">
        <f>S670-R670</f>
        <v>0.1388888888888889</v>
      </c>
      <c r="U670" s="132"/>
      <c r="V670" s="143">
        <v>4.1666666666666664E-2</v>
      </c>
      <c r="W670" s="132">
        <f t="shared" si="162"/>
        <v>9.7222222222222238E-2</v>
      </c>
      <c r="X670" s="171">
        <v>46249.064583333333</v>
      </c>
      <c r="Y670" s="171">
        <v>46249.553472222222</v>
      </c>
      <c r="Z670" s="168">
        <f t="shared" si="156"/>
        <v>0.48888888888905058</v>
      </c>
      <c r="AA670" s="169">
        <f t="shared" si="157"/>
        <v>0.41666666666666669</v>
      </c>
      <c r="AB670" s="170" t="str">
        <f t="shared" si="158"/>
        <v>-01:44:00</v>
      </c>
      <c r="AC670" s="170" t="b">
        <f t="shared" si="159"/>
        <v>1</v>
      </c>
    </row>
    <row r="671" spans="1:29" s="128" customFormat="1" ht="9.75" hidden="1" customHeight="1" x14ac:dyDescent="0.3">
      <c r="A671" s="99">
        <v>46249</v>
      </c>
      <c r="B671" s="59">
        <v>8173002</v>
      </c>
      <c r="C671" s="60" t="s">
        <v>53</v>
      </c>
      <c r="D671" s="60" t="s">
        <v>298</v>
      </c>
      <c r="E671" s="61">
        <v>8.3333333333333329E-2</v>
      </c>
      <c r="F671" s="60" t="s">
        <v>13</v>
      </c>
      <c r="G671" s="71" t="s">
        <v>19</v>
      </c>
      <c r="H671" s="62">
        <v>8.4027777777777785E-2</v>
      </c>
      <c r="I671" s="113" t="str">
        <f t="shared" si="160"/>
        <v>15-08-2026T02:01:00</v>
      </c>
      <c r="J671" s="62">
        <v>0.4777777777777778</v>
      </c>
      <c r="K671" s="62"/>
      <c r="L671" s="63">
        <f t="shared" si="163"/>
        <v>0.39375000000000004</v>
      </c>
      <c r="M671" s="64">
        <v>0.41666666666666669</v>
      </c>
      <c r="N671" s="65" t="str">
        <f t="shared" si="164"/>
        <v>00:33:00</v>
      </c>
      <c r="O671" s="66"/>
      <c r="P671" s="124"/>
      <c r="Q671" s="67" t="s">
        <v>229</v>
      </c>
      <c r="R671" s="68">
        <v>0.35416666666666669</v>
      </c>
      <c r="S671" s="68">
        <v>0.375</v>
      </c>
      <c r="T671" s="69">
        <f>S671-R671</f>
        <v>2.0833333333333315E-2</v>
      </c>
      <c r="U671" s="61" t="s">
        <v>234</v>
      </c>
      <c r="V671" s="83">
        <v>6.25E-2</v>
      </c>
      <c r="W671" s="61">
        <f t="shared" si="162"/>
        <v>-4.1666666666666685E-2</v>
      </c>
      <c r="X671" s="171">
        <v>46249.084027777775</v>
      </c>
      <c r="Y671" s="171">
        <v>46249.477777777778</v>
      </c>
      <c r="Z671" s="168">
        <f t="shared" si="156"/>
        <v>0.39375000000291038</v>
      </c>
      <c r="AA671" s="169">
        <f t="shared" si="157"/>
        <v>0.41666666666666669</v>
      </c>
      <c r="AB671" s="170" t="str">
        <f t="shared" si="158"/>
        <v>00:33:00</v>
      </c>
      <c r="AC671" s="170" t="b">
        <f t="shared" si="159"/>
        <v>1</v>
      </c>
    </row>
    <row r="672" spans="1:29" s="128" customFormat="1" ht="9.75" hidden="1" customHeight="1" x14ac:dyDescent="0.3">
      <c r="A672" s="99">
        <v>46249</v>
      </c>
      <c r="B672" s="59">
        <v>8172986</v>
      </c>
      <c r="C672" s="60" t="s">
        <v>16</v>
      </c>
      <c r="D672" s="60" t="s">
        <v>285</v>
      </c>
      <c r="E672" s="61">
        <v>8.3333333333333329E-2</v>
      </c>
      <c r="F672" s="60" t="s">
        <v>15</v>
      </c>
      <c r="G672" s="71" t="s">
        <v>17</v>
      </c>
      <c r="H672" s="62">
        <v>8.0555555555555561E-2</v>
      </c>
      <c r="I672" s="113" t="str">
        <f t="shared" si="160"/>
        <v>15-08-2026T01:56:00</v>
      </c>
      <c r="J672" s="62">
        <v>0.49027777777777776</v>
      </c>
      <c r="K672" s="62"/>
      <c r="L672" s="63">
        <f t="shared" si="163"/>
        <v>0.40972222222222221</v>
      </c>
      <c r="M672" s="64">
        <v>0.41666666666666669</v>
      </c>
      <c r="N672" s="65" t="str">
        <f t="shared" si="164"/>
        <v>00:10:00</v>
      </c>
      <c r="O672" s="66"/>
      <c r="P672" s="124"/>
      <c r="Q672" s="67"/>
      <c r="R672" s="68"/>
      <c r="S672" s="68"/>
      <c r="T672" s="69">
        <v>0</v>
      </c>
      <c r="U672" s="61" t="s">
        <v>234</v>
      </c>
      <c r="V672" s="83">
        <v>0</v>
      </c>
      <c r="W672" s="61">
        <f t="shared" si="162"/>
        <v>0</v>
      </c>
      <c r="X672" s="171">
        <v>8.0555555555555561E-2</v>
      </c>
      <c r="Y672" s="171">
        <v>0.49027777777777776</v>
      </c>
      <c r="Z672" s="168">
        <f t="shared" si="156"/>
        <v>0.40972222222222221</v>
      </c>
      <c r="AA672" s="169">
        <f t="shared" si="157"/>
        <v>0.41666666666666669</v>
      </c>
      <c r="AB672" s="170" t="str">
        <f t="shared" si="158"/>
        <v>00:10:00</v>
      </c>
      <c r="AC672" s="170" t="b">
        <f t="shared" si="159"/>
        <v>1</v>
      </c>
    </row>
    <row r="673" spans="1:29" ht="9.75" hidden="1" customHeight="1" x14ac:dyDescent="0.3">
      <c r="A673" s="149">
        <v>46248</v>
      </c>
      <c r="B673" s="150" t="s">
        <v>667</v>
      </c>
      <c r="C673" s="151" t="s">
        <v>97</v>
      </c>
      <c r="D673" s="151" t="s">
        <v>468</v>
      </c>
      <c r="E673" s="152">
        <v>0</v>
      </c>
      <c r="F673" s="151"/>
      <c r="G673" s="153"/>
      <c r="H673" s="154">
        <v>0</v>
      </c>
      <c r="I673" s="113" t="str">
        <f t="shared" si="160"/>
        <v>14-08-2026T00:00:00</v>
      </c>
      <c r="J673" s="154">
        <v>0</v>
      </c>
      <c r="K673" s="154"/>
      <c r="L673" s="155">
        <v>0</v>
      </c>
      <c r="M673" s="160">
        <v>0</v>
      </c>
      <c r="N673" s="156">
        <v>0</v>
      </c>
      <c r="O673" s="157"/>
      <c r="P673" s="158" t="s">
        <v>480</v>
      </c>
      <c r="Q673" s="159" t="s">
        <v>480</v>
      </c>
      <c r="R673" s="148" t="s">
        <v>480</v>
      </c>
      <c r="S673" s="148" t="s">
        <v>480</v>
      </c>
      <c r="T673" s="161" t="s">
        <v>480</v>
      </c>
      <c r="U673" s="152" t="s">
        <v>480</v>
      </c>
      <c r="V673" s="146" t="s">
        <v>480</v>
      </c>
      <c r="W673" s="152" t="s">
        <v>480</v>
      </c>
      <c r="X673" s="171" t="s">
        <v>668</v>
      </c>
      <c r="Y673" s="171" t="s">
        <v>668</v>
      </c>
      <c r="Z673" s="168" t="e">
        <f t="shared" si="156"/>
        <v>#VALUE!</v>
      </c>
      <c r="AA673" s="169">
        <f t="shared" si="157"/>
        <v>0</v>
      </c>
      <c r="AB673" s="170" t="e">
        <f t="shared" si="158"/>
        <v>#VALUE!</v>
      </c>
      <c r="AC673" s="170" t="e">
        <f t="shared" si="159"/>
        <v>#VALUE!</v>
      </c>
    </row>
    <row r="674" spans="1:29" s="128" customFormat="1" ht="9.75" hidden="1" customHeight="1" x14ac:dyDescent="0.3">
      <c r="A674" s="99">
        <v>46249</v>
      </c>
      <c r="B674" s="59">
        <v>8173100</v>
      </c>
      <c r="C674" s="60" t="s">
        <v>97</v>
      </c>
      <c r="D674" s="60" t="s">
        <v>468</v>
      </c>
      <c r="E674" s="61">
        <v>0.125</v>
      </c>
      <c r="F674" s="60" t="s">
        <v>23</v>
      </c>
      <c r="G674" s="71" t="s">
        <v>13</v>
      </c>
      <c r="H674" s="62">
        <v>0.12986111111111112</v>
      </c>
      <c r="I674" s="113" t="str">
        <f t="shared" si="160"/>
        <v>15-08-2026T03:07:00</v>
      </c>
      <c r="J674" s="62">
        <v>46250.347222222219</v>
      </c>
      <c r="K674" s="62"/>
      <c r="L674" s="63">
        <f t="shared" ref="L674:L688" si="165">J674-H674</f>
        <v>46250.217361111107</v>
      </c>
      <c r="M674" s="64">
        <v>1.0833333333333333</v>
      </c>
      <c r="N674" s="65" t="str">
        <f t="shared" ref="N674:N688" si="166">IF(M674-L674&gt;0,TEXT(M674-L674,"HH:MM:SS"),TEXT(ABS(M674-L674),"-HH:MM:SS"))</f>
        <v>-03:13:00</v>
      </c>
      <c r="O674" s="66"/>
      <c r="P674" s="124" t="s">
        <v>569</v>
      </c>
      <c r="Q674" s="67" t="s">
        <v>13</v>
      </c>
      <c r="R674" s="68">
        <v>46250.272222222222</v>
      </c>
      <c r="S674" s="68">
        <v>46250.330555555556</v>
      </c>
      <c r="T674" s="69">
        <f>S674-R674</f>
        <v>5.8333333334303461E-2</v>
      </c>
      <c r="U674" s="61" t="s">
        <v>234</v>
      </c>
      <c r="V674" s="83">
        <v>8.3333333333333329E-2</v>
      </c>
      <c r="W674" s="61">
        <f t="shared" ref="W674:W688" si="167">T674-V674</f>
        <v>-2.4999999999029868E-2</v>
      </c>
      <c r="X674" s="172">
        <v>46249.129861111112</v>
      </c>
      <c r="Y674" s="172">
        <v>46250.347222222219</v>
      </c>
      <c r="Z674" s="173">
        <f t="shared" si="156"/>
        <v>1.2173611111065838</v>
      </c>
      <c r="AA674" s="174">
        <f t="shared" si="157"/>
        <v>1.0833333333333333</v>
      </c>
      <c r="AB674" s="175" t="str">
        <f t="shared" si="158"/>
        <v>-03:13:00</v>
      </c>
      <c r="AC674" s="175" t="b">
        <f t="shared" si="159"/>
        <v>1</v>
      </c>
    </row>
    <row r="675" spans="1:29" s="128" customFormat="1" ht="9.75" hidden="1" customHeight="1" x14ac:dyDescent="0.3">
      <c r="A675" s="99">
        <v>46249</v>
      </c>
      <c r="B675" s="59">
        <v>8173091</v>
      </c>
      <c r="C675" s="60" t="s">
        <v>87</v>
      </c>
      <c r="D675" s="60" t="s">
        <v>367</v>
      </c>
      <c r="E675" s="61">
        <v>0.125</v>
      </c>
      <c r="F675" s="60" t="s">
        <v>13</v>
      </c>
      <c r="G675" s="71" t="s">
        <v>284</v>
      </c>
      <c r="H675" s="62">
        <v>0.12569444444444444</v>
      </c>
      <c r="I675" s="113" t="str">
        <f t="shared" si="160"/>
        <v>15-08-2026T03:01:00</v>
      </c>
      <c r="J675" s="62">
        <v>0.47847222222222224</v>
      </c>
      <c r="K675" s="62"/>
      <c r="L675" s="63">
        <f t="shared" si="165"/>
        <v>0.3527777777777778</v>
      </c>
      <c r="M675" s="64">
        <v>0.35416666666666669</v>
      </c>
      <c r="N675" s="65" t="str">
        <f t="shared" si="166"/>
        <v>00:02:00</v>
      </c>
      <c r="O675" s="66"/>
      <c r="P675" s="124"/>
      <c r="Q675" s="67" t="s">
        <v>174</v>
      </c>
      <c r="R675" s="68">
        <v>0.375</v>
      </c>
      <c r="S675" s="68">
        <v>0.42291666666666666</v>
      </c>
      <c r="T675" s="61">
        <f>S675-R675</f>
        <v>4.7916666666666663E-2</v>
      </c>
      <c r="U675" s="61" t="s">
        <v>234</v>
      </c>
      <c r="V675" s="83">
        <v>6.25E-2</v>
      </c>
      <c r="W675" s="61">
        <f t="shared" si="167"/>
        <v>-1.4583333333333337E-2</v>
      </c>
      <c r="X675" s="171">
        <v>46249.125694444447</v>
      </c>
      <c r="Y675" s="171">
        <v>46249.478472222225</v>
      </c>
      <c r="Z675" s="168">
        <f t="shared" si="156"/>
        <v>0.35277777777810115</v>
      </c>
      <c r="AA675" s="169">
        <f t="shared" si="157"/>
        <v>0.35416666666666669</v>
      </c>
      <c r="AB675" s="170" t="str">
        <f t="shared" si="158"/>
        <v>00:02:00</v>
      </c>
      <c r="AC675" s="170" t="b">
        <f t="shared" si="159"/>
        <v>1</v>
      </c>
    </row>
    <row r="676" spans="1:29" s="128" customFormat="1" ht="9.75" hidden="1" customHeight="1" x14ac:dyDescent="0.3">
      <c r="A676" s="99">
        <v>46249</v>
      </c>
      <c r="B676" s="59">
        <v>8173080</v>
      </c>
      <c r="C676" s="60" t="s">
        <v>41</v>
      </c>
      <c r="D676" s="60" t="s">
        <v>299</v>
      </c>
      <c r="E676" s="61">
        <v>0.125</v>
      </c>
      <c r="F676" s="60" t="s">
        <v>24</v>
      </c>
      <c r="G676" s="71" t="s">
        <v>13</v>
      </c>
      <c r="H676" s="62">
        <v>0.12430555555555556</v>
      </c>
      <c r="I676" s="113" t="str">
        <f t="shared" si="160"/>
        <v>15-08-2026T02:59:00</v>
      </c>
      <c r="J676" s="62">
        <v>0.20069444444444445</v>
      </c>
      <c r="K676" s="62"/>
      <c r="L676" s="63">
        <f t="shared" si="165"/>
        <v>7.6388888888888895E-2</v>
      </c>
      <c r="M676" s="64">
        <v>8.3333333333333329E-2</v>
      </c>
      <c r="N676" s="65" t="str">
        <f t="shared" si="166"/>
        <v>00:10:00</v>
      </c>
      <c r="O676" s="66"/>
      <c r="P676" s="124"/>
      <c r="Q676" s="67"/>
      <c r="R676" s="68"/>
      <c r="S676" s="68"/>
      <c r="T676" s="69">
        <v>0</v>
      </c>
      <c r="U676" s="61"/>
      <c r="V676" s="83">
        <v>0</v>
      </c>
      <c r="W676" s="61">
        <f t="shared" si="167"/>
        <v>0</v>
      </c>
      <c r="X676" s="171">
        <v>46249.124305555553</v>
      </c>
      <c r="Y676" s="171">
        <v>46249.200694444444</v>
      </c>
      <c r="Z676" s="168">
        <f t="shared" si="156"/>
        <v>7.6388888890505768E-2</v>
      </c>
      <c r="AA676" s="169">
        <f t="shared" si="157"/>
        <v>8.3333333333333329E-2</v>
      </c>
      <c r="AB676" s="170" t="str">
        <f t="shared" si="158"/>
        <v>00:10:00</v>
      </c>
      <c r="AC676" s="170" t="b">
        <f t="shared" si="159"/>
        <v>1</v>
      </c>
    </row>
    <row r="677" spans="1:29" s="128" customFormat="1" ht="9.75" hidden="1" customHeight="1" x14ac:dyDescent="0.3">
      <c r="A677" s="99">
        <v>46249</v>
      </c>
      <c r="B677" s="59">
        <v>8173183</v>
      </c>
      <c r="C677" s="60" t="s">
        <v>54</v>
      </c>
      <c r="D677" s="60" t="s">
        <v>288</v>
      </c>
      <c r="E677" s="61">
        <v>0.16666666666666666</v>
      </c>
      <c r="F677" s="60" t="s">
        <v>13</v>
      </c>
      <c r="G677" s="71" t="s">
        <v>24</v>
      </c>
      <c r="H677" s="62">
        <v>0.16319444444444445</v>
      </c>
      <c r="I677" s="113" t="str">
        <f t="shared" si="160"/>
        <v>15-08-2026T03:55:00</v>
      </c>
      <c r="J677" s="62">
        <v>0.23958333333333334</v>
      </c>
      <c r="K677" s="62"/>
      <c r="L677" s="63">
        <f t="shared" si="165"/>
        <v>7.6388888888888895E-2</v>
      </c>
      <c r="M677" s="64">
        <v>8.3333333333333329E-2</v>
      </c>
      <c r="N677" s="65" t="str">
        <f t="shared" si="166"/>
        <v>00:10:00</v>
      </c>
      <c r="O677" s="66"/>
      <c r="P677" s="124"/>
      <c r="Q677" s="67"/>
      <c r="R677" s="68"/>
      <c r="S677" s="68"/>
      <c r="T677" s="69">
        <v>0</v>
      </c>
      <c r="U677" s="61" t="s">
        <v>234</v>
      </c>
      <c r="V677" s="83">
        <v>0</v>
      </c>
      <c r="W677" s="61">
        <f t="shared" si="167"/>
        <v>0</v>
      </c>
      <c r="X677" s="171">
        <v>46249.163194444445</v>
      </c>
      <c r="Y677" s="171">
        <v>46249.239583333336</v>
      </c>
      <c r="Z677" s="168">
        <f t="shared" si="156"/>
        <v>7.6388888890505768E-2</v>
      </c>
      <c r="AA677" s="169">
        <f t="shared" si="157"/>
        <v>8.3333333333333329E-2</v>
      </c>
      <c r="AB677" s="170" t="str">
        <f t="shared" si="158"/>
        <v>00:10:00</v>
      </c>
      <c r="AC677" s="170" t="b">
        <f t="shared" si="159"/>
        <v>1</v>
      </c>
    </row>
    <row r="678" spans="1:29" s="128" customFormat="1" ht="9.75" hidden="1" customHeight="1" x14ac:dyDescent="0.3">
      <c r="A678" s="99">
        <v>46249</v>
      </c>
      <c r="B678" s="59">
        <v>8173222</v>
      </c>
      <c r="C678" s="60" t="s">
        <v>27</v>
      </c>
      <c r="D678" s="60" t="s">
        <v>378</v>
      </c>
      <c r="E678" s="61">
        <v>0.16666666666666666</v>
      </c>
      <c r="F678" s="60" t="s">
        <v>13</v>
      </c>
      <c r="G678" s="71" t="s">
        <v>28</v>
      </c>
      <c r="H678" s="62">
        <v>0.1701388888888889</v>
      </c>
      <c r="I678" s="113" t="str">
        <f t="shared" si="160"/>
        <v>15-08-2026T04:05:00</v>
      </c>
      <c r="J678" s="62">
        <v>0.33333333333333331</v>
      </c>
      <c r="K678" s="62"/>
      <c r="L678" s="63">
        <f t="shared" si="165"/>
        <v>0.16319444444444442</v>
      </c>
      <c r="M678" s="64">
        <v>0.16666666666666666</v>
      </c>
      <c r="N678" s="65" t="str">
        <f t="shared" si="166"/>
        <v>00:05:00</v>
      </c>
      <c r="O678" s="66"/>
      <c r="P678" s="124"/>
      <c r="Q678" s="67"/>
      <c r="R678" s="68"/>
      <c r="S678" s="68"/>
      <c r="T678" s="69">
        <v>0</v>
      </c>
      <c r="U678" s="61" t="s">
        <v>234</v>
      </c>
      <c r="V678" s="83">
        <v>0</v>
      </c>
      <c r="W678" s="61">
        <f t="shared" si="167"/>
        <v>0</v>
      </c>
      <c r="X678" s="171">
        <v>46249.170138888891</v>
      </c>
      <c r="Y678" s="171">
        <v>46249.333333333336</v>
      </c>
      <c r="Z678" s="168">
        <f t="shared" si="156"/>
        <v>0.16319444444525288</v>
      </c>
      <c r="AA678" s="169">
        <f t="shared" si="157"/>
        <v>0.16666666666666666</v>
      </c>
      <c r="AB678" s="170" t="str">
        <f t="shared" si="158"/>
        <v>00:05:00</v>
      </c>
      <c r="AC678" s="170" t="b">
        <f t="shared" si="159"/>
        <v>1</v>
      </c>
    </row>
    <row r="679" spans="1:29" s="128" customFormat="1" ht="9.75" hidden="1" customHeight="1" x14ac:dyDescent="0.3">
      <c r="A679" s="99">
        <v>46249</v>
      </c>
      <c r="B679" s="59">
        <v>8173277</v>
      </c>
      <c r="C679" s="60" t="s">
        <v>29</v>
      </c>
      <c r="D679" s="60" t="s">
        <v>373</v>
      </c>
      <c r="E679" s="61">
        <v>0.16666666666666666</v>
      </c>
      <c r="F679" s="60" t="s">
        <v>17</v>
      </c>
      <c r="G679" s="71" t="s">
        <v>15</v>
      </c>
      <c r="H679" s="62">
        <v>0.1875</v>
      </c>
      <c r="I679" s="113" t="str">
        <f t="shared" si="160"/>
        <v>15-08-2026T04:30:00</v>
      </c>
      <c r="J679" s="62">
        <v>0.68680555555555556</v>
      </c>
      <c r="K679" s="62"/>
      <c r="L679" s="63">
        <f t="shared" si="165"/>
        <v>0.49930555555555556</v>
      </c>
      <c r="M679" s="64">
        <v>0.5</v>
      </c>
      <c r="N679" s="65" t="str">
        <f t="shared" si="166"/>
        <v>00:01:00</v>
      </c>
      <c r="O679" s="66"/>
      <c r="P679" s="124"/>
      <c r="Q679" s="67" t="s">
        <v>98</v>
      </c>
      <c r="R679" s="68">
        <v>0.38541666666666669</v>
      </c>
      <c r="S679" s="68">
        <v>0.49791666666666667</v>
      </c>
      <c r="T679" s="47">
        <f>S679-R679</f>
        <v>0.11249999999999999</v>
      </c>
      <c r="U679" s="61" t="s">
        <v>234</v>
      </c>
      <c r="V679" s="83">
        <v>8.3333333333333329E-2</v>
      </c>
      <c r="W679" s="61">
        <f t="shared" si="167"/>
        <v>2.916666666666666E-2</v>
      </c>
      <c r="X679" s="171">
        <v>0.1875</v>
      </c>
      <c r="Y679" s="171">
        <v>0.68680555555555556</v>
      </c>
      <c r="Z679" s="168">
        <f t="shared" si="156"/>
        <v>0.49930555555555556</v>
      </c>
      <c r="AA679" s="169">
        <f t="shared" si="157"/>
        <v>0.5</v>
      </c>
      <c r="AB679" s="170" t="str">
        <f t="shared" si="158"/>
        <v>00:01:00</v>
      </c>
      <c r="AC679" s="170" t="b">
        <f t="shared" si="159"/>
        <v>1</v>
      </c>
    </row>
    <row r="680" spans="1:29" s="128" customFormat="1" ht="9.75" hidden="1" customHeight="1" x14ac:dyDescent="0.3">
      <c r="A680" s="99">
        <v>46249</v>
      </c>
      <c r="B680" s="59">
        <v>8173210</v>
      </c>
      <c r="C680" s="60" t="s">
        <v>30</v>
      </c>
      <c r="D680" s="60" t="s">
        <v>286</v>
      </c>
      <c r="E680" s="61">
        <v>0.16666666666666666</v>
      </c>
      <c r="F680" s="60" t="s">
        <v>31</v>
      </c>
      <c r="G680" s="71" t="s">
        <v>13</v>
      </c>
      <c r="H680" s="62">
        <v>0.1673611111111111</v>
      </c>
      <c r="I680" s="113" t="str">
        <f t="shared" si="160"/>
        <v>15-08-2026T04:01:00</v>
      </c>
      <c r="J680" s="62">
        <v>0.81805555555555554</v>
      </c>
      <c r="K680" s="62"/>
      <c r="L680" s="63">
        <f t="shared" si="165"/>
        <v>0.65069444444444446</v>
      </c>
      <c r="M680" s="64">
        <v>0.70833333333333337</v>
      </c>
      <c r="N680" s="65" t="str">
        <f t="shared" si="166"/>
        <v>01:23:00</v>
      </c>
      <c r="O680" s="66"/>
      <c r="P680" s="124"/>
      <c r="Q680" s="67" t="s">
        <v>13</v>
      </c>
      <c r="R680" s="68">
        <v>0.78819444444444442</v>
      </c>
      <c r="S680" s="68">
        <v>0.81597222222222221</v>
      </c>
      <c r="T680" s="69">
        <f>S680-R680</f>
        <v>2.777777777777779E-2</v>
      </c>
      <c r="U680" s="61"/>
      <c r="V680" s="83">
        <v>8.3333333333333329E-2</v>
      </c>
      <c r="W680" s="61">
        <f t="shared" si="167"/>
        <v>-5.5555555555555539E-2</v>
      </c>
      <c r="X680" s="172">
        <v>46249.167361111111</v>
      </c>
      <c r="Y680" s="172">
        <v>46249.818055555559</v>
      </c>
      <c r="Z680" s="173">
        <f t="shared" si="156"/>
        <v>0.65069444444816327</v>
      </c>
      <c r="AA680" s="174">
        <f t="shared" si="157"/>
        <v>0.70833333333333337</v>
      </c>
      <c r="AB680" s="175" t="str">
        <f t="shared" si="158"/>
        <v>01:23:00</v>
      </c>
      <c r="AC680" s="175" t="b">
        <f t="shared" si="159"/>
        <v>1</v>
      </c>
    </row>
    <row r="681" spans="1:29" s="128" customFormat="1" ht="9.75" hidden="1" customHeight="1" x14ac:dyDescent="0.3">
      <c r="A681" s="99">
        <v>46249</v>
      </c>
      <c r="B681" s="59">
        <v>8173369</v>
      </c>
      <c r="C681" s="60" t="s">
        <v>32</v>
      </c>
      <c r="D681" s="60" t="s">
        <v>476</v>
      </c>
      <c r="E681" s="61">
        <v>0.20833333333333334</v>
      </c>
      <c r="F681" s="60" t="s">
        <v>13</v>
      </c>
      <c r="G681" s="71" t="s">
        <v>287</v>
      </c>
      <c r="H681" s="62">
        <v>0.20833333333333334</v>
      </c>
      <c r="I681" s="113" t="str">
        <f t="shared" si="160"/>
        <v>15-08-2026T05:00:00</v>
      </c>
      <c r="J681" s="62">
        <v>0.34722222222222221</v>
      </c>
      <c r="K681" s="62"/>
      <c r="L681" s="63">
        <f t="shared" si="165"/>
        <v>0.13888888888888887</v>
      </c>
      <c r="M681" s="64">
        <v>0.14583333333333334</v>
      </c>
      <c r="N681" s="65" t="str">
        <f t="shared" si="166"/>
        <v>00:10:00</v>
      </c>
      <c r="O681" s="66"/>
      <c r="P681" s="124"/>
      <c r="Q681" s="67"/>
      <c r="R681" s="68"/>
      <c r="S681" s="68"/>
      <c r="T681" s="69">
        <v>0</v>
      </c>
      <c r="U681" s="61"/>
      <c r="V681" s="83">
        <v>0</v>
      </c>
      <c r="W681" s="61">
        <f t="shared" si="167"/>
        <v>0</v>
      </c>
      <c r="X681" s="171">
        <v>46249.208333333336</v>
      </c>
      <c r="Y681" s="171">
        <v>46249.347222222219</v>
      </c>
      <c r="Z681" s="168">
        <f t="shared" si="156"/>
        <v>0.13888888888322981</v>
      </c>
      <c r="AA681" s="169">
        <f t="shared" si="157"/>
        <v>0.14583333333333334</v>
      </c>
      <c r="AB681" s="170" t="str">
        <f t="shared" si="158"/>
        <v>00:10:00</v>
      </c>
      <c r="AC681" s="170" t="b">
        <f t="shared" si="159"/>
        <v>1</v>
      </c>
    </row>
    <row r="682" spans="1:29" s="127" customFormat="1" ht="9.75" hidden="1" customHeight="1" x14ac:dyDescent="0.3">
      <c r="A682" s="98">
        <v>46249</v>
      </c>
      <c r="B682" s="48">
        <v>8173500</v>
      </c>
      <c r="C682" s="49" t="s">
        <v>25</v>
      </c>
      <c r="D682" s="49" t="s">
        <v>477</v>
      </c>
      <c r="E682" s="50">
        <v>0.20833333333333334</v>
      </c>
      <c r="F682" s="49" t="s">
        <v>26</v>
      </c>
      <c r="G682" s="70" t="s">
        <v>13</v>
      </c>
      <c r="H682" s="51">
        <v>0.24305555555555555</v>
      </c>
      <c r="I682" s="113" t="str">
        <f t="shared" si="160"/>
        <v>15-08-2026T05:50:00</v>
      </c>
      <c r="J682" s="51">
        <v>0.78541666666666665</v>
      </c>
      <c r="K682" s="51"/>
      <c r="L682" s="52">
        <f t="shared" si="165"/>
        <v>0.54236111111111107</v>
      </c>
      <c r="M682" s="53">
        <v>0.45833333333333331</v>
      </c>
      <c r="N682" s="54" t="str">
        <f t="shared" si="166"/>
        <v>-02:01:00</v>
      </c>
      <c r="O682" s="55">
        <v>500</v>
      </c>
      <c r="P682" s="147" t="s">
        <v>637</v>
      </c>
      <c r="Q682" s="56" t="s">
        <v>13</v>
      </c>
      <c r="R682" s="57">
        <v>0.67847222222222225</v>
      </c>
      <c r="S682" s="57">
        <v>0.77847222222222223</v>
      </c>
      <c r="T682" s="47">
        <f>S682-R682</f>
        <v>9.9999999999999978E-2</v>
      </c>
      <c r="U682" s="50"/>
      <c r="V682" s="74">
        <v>8.3333333333333329E-2</v>
      </c>
      <c r="W682" s="50">
        <f t="shared" si="167"/>
        <v>1.6666666666666649E-2</v>
      </c>
      <c r="X682" s="171">
        <v>46249.243055555555</v>
      </c>
      <c r="Y682" s="171">
        <v>46249.785416666666</v>
      </c>
      <c r="Z682" s="168">
        <f t="shared" si="156"/>
        <v>0.54236111111094942</v>
      </c>
      <c r="AA682" s="169">
        <f t="shared" si="157"/>
        <v>0.45833333333333331</v>
      </c>
      <c r="AB682" s="170" t="str">
        <f t="shared" si="158"/>
        <v>-02:01:00</v>
      </c>
      <c r="AC682" s="170" t="b">
        <f t="shared" si="159"/>
        <v>1</v>
      </c>
    </row>
    <row r="683" spans="1:29" s="128" customFormat="1" ht="9.75" hidden="1" customHeight="1" x14ac:dyDescent="0.3">
      <c r="A683" s="99">
        <v>46249</v>
      </c>
      <c r="B683" s="59">
        <v>8173538</v>
      </c>
      <c r="C683" s="60" t="s">
        <v>38</v>
      </c>
      <c r="D683" s="60" t="s">
        <v>289</v>
      </c>
      <c r="E683" s="61">
        <v>0.25</v>
      </c>
      <c r="F683" s="60" t="s">
        <v>14</v>
      </c>
      <c r="G683" s="71" t="s">
        <v>13</v>
      </c>
      <c r="H683" s="62">
        <v>0.24861111111111112</v>
      </c>
      <c r="I683" s="113" t="str">
        <f t="shared" si="160"/>
        <v>15-08-2026T05:58:00</v>
      </c>
      <c r="J683" s="62">
        <v>0.78819444444444442</v>
      </c>
      <c r="K683" s="62"/>
      <c r="L683" s="63">
        <f t="shared" si="165"/>
        <v>0.5395833333333333</v>
      </c>
      <c r="M683" s="64">
        <v>0.54166666666666663</v>
      </c>
      <c r="N683" s="65" t="str">
        <f t="shared" si="166"/>
        <v>00:03:00</v>
      </c>
      <c r="O683" s="66"/>
      <c r="P683" s="124"/>
      <c r="Q683" s="67"/>
      <c r="R683" s="68"/>
      <c r="S683" s="68"/>
      <c r="T683" s="69">
        <v>0</v>
      </c>
      <c r="U683" s="61"/>
      <c r="V683" s="83">
        <v>0</v>
      </c>
      <c r="W683" s="61">
        <f t="shared" si="167"/>
        <v>0</v>
      </c>
      <c r="X683" s="171">
        <v>46249.248611111114</v>
      </c>
      <c r="Y683" s="171">
        <v>46249.788194444445</v>
      </c>
      <c r="Z683" s="168">
        <f t="shared" si="156"/>
        <v>0.53958333333139308</v>
      </c>
      <c r="AA683" s="169">
        <f t="shared" si="157"/>
        <v>0.54166666666666663</v>
      </c>
      <c r="AB683" s="170" t="str">
        <f t="shared" si="158"/>
        <v>00:03:00</v>
      </c>
      <c r="AC683" s="170" t="b">
        <f t="shared" si="159"/>
        <v>1</v>
      </c>
    </row>
    <row r="684" spans="1:29" s="128" customFormat="1" ht="9.75" hidden="1" customHeight="1" x14ac:dyDescent="0.3">
      <c r="A684" s="99">
        <v>46249</v>
      </c>
      <c r="B684" s="59">
        <v>8173576</v>
      </c>
      <c r="C684" s="60" t="s">
        <v>89</v>
      </c>
      <c r="D684" s="60" t="s">
        <v>294</v>
      </c>
      <c r="E684" s="61">
        <v>0.25</v>
      </c>
      <c r="F684" s="60" t="s">
        <v>13</v>
      </c>
      <c r="G684" s="71" t="s">
        <v>35</v>
      </c>
      <c r="H684" s="62">
        <v>0.25694444444444442</v>
      </c>
      <c r="I684" s="113" t="str">
        <f t="shared" si="160"/>
        <v>15-08-2026T06:10:00</v>
      </c>
      <c r="J684" s="62">
        <v>0.29166666666666669</v>
      </c>
      <c r="K684" s="62"/>
      <c r="L684" s="63">
        <f t="shared" si="165"/>
        <v>3.4722222222222265E-2</v>
      </c>
      <c r="M684" s="64">
        <v>4.1666666666666664E-2</v>
      </c>
      <c r="N684" s="65" t="str">
        <f t="shared" si="166"/>
        <v>00:10:00</v>
      </c>
      <c r="O684" s="66"/>
      <c r="P684" s="124"/>
      <c r="Q684" s="67"/>
      <c r="R684" s="68"/>
      <c r="S684" s="68"/>
      <c r="T684" s="69">
        <v>0</v>
      </c>
      <c r="U684" s="61"/>
      <c r="V684" s="83">
        <v>0</v>
      </c>
      <c r="W684" s="61">
        <f t="shared" si="167"/>
        <v>0</v>
      </c>
      <c r="X684" s="171">
        <v>46249.256944444445</v>
      </c>
      <c r="Y684" s="171">
        <v>46249.291666666664</v>
      </c>
      <c r="Z684" s="168">
        <f t="shared" si="156"/>
        <v>3.4722222218988463E-2</v>
      </c>
      <c r="AA684" s="169">
        <f t="shared" si="157"/>
        <v>4.1666666666666664E-2</v>
      </c>
      <c r="AB684" s="170" t="str">
        <f t="shared" si="158"/>
        <v>00:10:00</v>
      </c>
      <c r="AC684" s="170" t="b">
        <f t="shared" si="159"/>
        <v>1</v>
      </c>
    </row>
    <row r="685" spans="1:29" s="127" customFormat="1" ht="9.75" hidden="1" customHeight="1" x14ac:dyDescent="0.3">
      <c r="A685" s="98">
        <v>46249</v>
      </c>
      <c r="B685" s="48">
        <v>8173757</v>
      </c>
      <c r="C685" s="49" t="s">
        <v>83</v>
      </c>
      <c r="D685" s="49" t="s">
        <v>454</v>
      </c>
      <c r="E685" s="50">
        <v>0.27083333333333331</v>
      </c>
      <c r="F685" s="49" t="s">
        <v>14</v>
      </c>
      <c r="G685" s="70" t="s">
        <v>13</v>
      </c>
      <c r="H685" s="51">
        <v>0.32500000000000001</v>
      </c>
      <c r="I685" s="113" t="str">
        <f t="shared" si="160"/>
        <v>15-08-2026T07:48:00</v>
      </c>
      <c r="J685" s="51">
        <v>46250.115972222222</v>
      </c>
      <c r="K685" s="51"/>
      <c r="L685" s="52">
        <f t="shared" si="165"/>
        <v>46249.790972222225</v>
      </c>
      <c r="M685" s="53">
        <v>0.625</v>
      </c>
      <c r="N685" s="54" t="str">
        <f t="shared" si="166"/>
        <v>-03:59:00</v>
      </c>
      <c r="O685" s="55">
        <v>600</v>
      </c>
      <c r="P685" s="147" t="s">
        <v>125</v>
      </c>
      <c r="Q685" s="56" t="s">
        <v>126</v>
      </c>
      <c r="R685" s="57">
        <v>0.4826388888888889</v>
      </c>
      <c r="S685" s="57">
        <v>0.61041666666666672</v>
      </c>
      <c r="T685" s="47">
        <f>S685-R685</f>
        <v>0.12777777777777782</v>
      </c>
      <c r="U685" s="50"/>
      <c r="V685" s="74">
        <v>6.25E-2</v>
      </c>
      <c r="W685" s="50">
        <f t="shared" si="167"/>
        <v>6.5277777777777823E-2</v>
      </c>
      <c r="X685" s="171">
        <v>46249.324999999997</v>
      </c>
      <c r="Y685" s="171">
        <v>46250.115972222222</v>
      </c>
      <c r="Z685" s="168">
        <f t="shared" si="156"/>
        <v>0.79097222222480923</v>
      </c>
      <c r="AA685" s="169">
        <f t="shared" si="157"/>
        <v>0.625</v>
      </c>
      <c r="AB685" s="170" t="str">
        <f t="shared" si="158"/>
        <v>-03:59:00</v>
      </c>
      <c r="AC685" s="170" t="b">
        <f t="shared" si="159"/>
        <v>1</v>
      </c>
    </row>
    <row r="686" spans="1:29" s="128" customFormat="1" ht="9.75" hidden="1" customHeight="1" x14ac:dyDescent="0.3">
      <c r="A686" s="99">
        <v>46249</v>
      </c>
      <c r="B686" s="59">
        <v>8173636</v>
      </c>
      <c r="C686" s="60" t="s">
        <v>36</v>
      </c>
      <c r="D686" s="60" t="s">
        <v>300</v>
      </c>
      <c r="E686" s="61">
        <v>0.27083333333333331</v>
      </c>
      <c r="F686" s="60" t="s">
        <v>13</v>
      </c>
      <c r="G686" s="71" t="s">
        <v>14</v>
      </c>
      <c r="H686" s="62">
        <v>0.27847222222222223</v>
      </c>
      <c r="I686" s="113" t="str">
        <f t="shared" si="160"/>
        <v>15-08-2026T06:41:00</v>
      </c>
      <c r="J686" s="62">
        <v>0.87569444444444444</v>
      </c>
      <c r="K686" s="62"/>
      <c r="L686" s="63">
        <f t="shared" si="165"/>
        <v>0.59722222222222221</v>
      </c>
      <c r="M686" s="64">
        <v>0.625</v>
      </c>
      <c r="N686" s="65" t="str">
        <f t="shared" si="166"/>
        <v>00:40:00</v>
      </c>
      <c r="O686" s="66"/>
      <c r="P686" s="124"/>
      <c r="Q686" s="67" t="s">
        <v>15</v>
      </c>
      <c r="R686" s="68">
        <v>0.5</v>
      </c>
      <c r="S686" s="68">
        <v>0.52986111111111112</v>
      </c>
      <c r="T686" s="69">
        <f>S686-R686</f>
        <v>2.9861111111111116E-2</v>
      </c>
      <c r="U686" s="61" t="s">
        <v>234</v>
      </c>
      <c r="V686" s="83">
        <v>6.25E-2</v>
      </c>
      <c r="W686" s="61">
        <f t="shared" si="167"/>
        <v>-3.2638888888888884E-2</v>
      </c>
      <c r="X686" s="171">
        <v>46249.27847222222</v>
      </c>
      <c r="Y686" s="171">
        <v>46249.875694444447</v>
      </c>
      <c r="Z686" s="168">
        <f t="shared" si="156"/>
        <v>0.59722222222626442</v>
      </c>
      <c r="AA686" s="169">
        <f t="shared" si="157"/>
        <v>0.625</v>
      </c>
      <c r="AB686" s="170" t="str">
        <f t="shared" si="158"/>
        <v>00:40:00</v>
      </c>
      <c r="AC686" s="170" t="b">
        <f t="shared" si="159"/>
        <v>1</v>
      </c>
    </row>
    <row r="687" spans="1:29" s="127" customFormat="1" ht="9.75" hidden="1" customHeight="1" x14ac:dyDescent="0.3">
      <c r="A687" s="98">
        <v>46249</v>
      </c>
      <c r="B687" s="48">
        <v>8173702</v>
      </c>
      <c r="C687" s="49" t="s">
        <v>34</v>
      </c>
      <c r="D687" s="49" t="s">
        <v>390</v>
      </c>
      <c r="E687" s="50">
        <v>0.29166666666666669</v>
      </c>
      <c r="F687" s="49" t="s">
        <v>13</v>
      </c>
      <c r="G687" s="70" t="s">
        <v>103</v>
      </c>
      <c r="H687" s="51">
        <v>46249.294444444444</v>
      </c>
      <c r="I687" s="113" t="str">
        <f t="shared" si="160"/>
        <v>15-08-2026T07:04:00</v>
      </c>
      <c r="J687" s="51">
        <v>46250.143055555556</v>
      </c>
      <c r="K687" s="51"/>
      <c r="L687" s="52">
        <f t="shared" si="165"/>
        <v>0.84861111111240461</v>
      </c>
      <c r="M687" s="53">
        <v>0.625</v>
      </c>
      <c r="N687" s="54" t="str">
        <f t="shared" si="166"/>
        <v>-05:22:00</v>
      </c>
      <c r="O687" s="55">
        <f>250*6</f>
        <v>1500</v>
      </c>
      <c r="P687" s="147" t="s">
        <v>596</v>
      </c>
      <c r="Q687" s="56"/>
      <c r="R687" s="57"/>
      <c r="S687" s="57"/>
      <c r="T687" s="58">
        <v>0</v>
      </c>
      <c r="U687" s="50" t="s">
        <v>234</v>
      </c>
      <c r="V687" s="74">
        <v>0</v>
      </c>
      <c r="W687" s="50">
        <f t="shared" si="167"/>
        <v>0</v>
      </c>
      <c r="X687" s="171">
        <v>46249.294444444444</v>
      </c>
      <c r="Y687" s="171">
        <v>46250.143055555556</v>
      </c>
      <c r="Z687" s="168">
        <f t="shared" si="156"/>
        <v>0.84861111111240461</v>
      </c>
      <c r="AA687" s="169">
        <f t="shared" si="157"/>
        <v>0.625</v>
      </c>
      <c r="AB687" s="170" t="str">
        <f t="shared" si="158"/>
        <v>-05:22:00</v>
      </c>
      <c r="AC687" s="170" t="b">
        <f t="shared" si="159"/>
        <v>1</v>
      </c>
    </row>
    <row r="688" spans="1:29" s="128" customFormat="1" ht="9.75" hidden="1" customHeight="1" x14ac:dyDescent="0.3">
      <c r="A688" s="99">
        <v>46249</v>
      </c>
      <c r="B688" s="59">
        <v>8173727</v>
      </c>
      <c r="C688" s="60" t="s">
        <v>56</v>
      </c>
      <c r="D688" s="60" t="s">
        <v>472</v>
      </c>
      <c r="E688" s="61">
        <v>0.3125</v>
      </c>
      <c r="F688" s="60" t="s">
        <v>15</v>
      </c>
      <c r="G688" s="71" t="s">
        <v>13</v>
      </c>
      <c r="H688" s="62">
        <v>0.30972222222222223</v>
      </c>
      <c r="I688" s="113" t="str">
        <f t="shared" si="160"/>
        <v>15-08-2026T07:26:00</v>
      </c>
      <c r="J688" s="62">
        <v>0.54722222222222228</v>
      </c>
      <c r="K688" s="62"/>
      <c r="L688" s="63">
        <f t="shared" si="165"/>
        <v>0.23750000000000004</v>
      </c>
      <c r="M688" s="64">
        <v>0.25</v>
      </c>
      <c r="N688" s="65" t="str">
        <f t="shared" si="166"/>
        <v>00:18:00</v>
      </c>
      <c r="O688" s="66"/>
      <c r="P688" s="124"/>
      <c r="Q688" s="67" t="s">
        <v>205</v>
      </c>
      <c r="R688" s="68">
        <v>0.38541666666666669</v>
      </c>
      <c r="S688" s="68">
        <v>0.4236111111111111</v>
      </c>
      <c r="T688" s="69">
        <f>S688-R688</f>
        <v>3.819444444444442E-2</v>
      </c>
      <c r="U688" s="61"/>
      <c r="V688" s="83">
        <v>4.1666666666666664E-2</v>
      </c>
      <c r="W688" s="61">
        <f t="shared" si="167"/>
        <v>-3.4722222222222446E-3</v>
      </c>
      <c r="X688" s="171">
        <v>46249.30972222222</v>
      </c>
      <c r="Y688" s="171">
        <v>46249.547222222223</v>
      </c>
      <c r="Z688" s="168">
        <f t="shared" si="156"/>
        <v>0.23750000000291038</v>
      </c>
      <c r="AA688" s="169">
        <f t="shared" si="157"/>
        <v>0.25</v>
      </c>
      <c r="AB688" s="170" t="str">
        <f t="shared" si="158"/>
        <v>00:18:00</v>
      </c>
      <c r="AC688" s="170" t="b">
        <f t="shared" si="159"/>
        <v>1</v>
      </c>
    </row>
    <row r="689" spans="1:29" ht="9.75" hidden="1" customHeight="1" x14ac:dyDescent="0.3">
      <c r="A689" s="149">
        <v>46247</v>
      </c>
      <c r="B689" s="150" t="s">
        <v>687</v>
      </c>
      <c r="C689" s="151" t="s">
        <v>50</v>
      </c>
      <c r="D689" s="151" t="s">
        <v>329</v>
      </c>
      <c r="E689" s="152">
        <v>0</v>
      </c>
      <c r="F689" s="151"/>
      <c r="G689" s="153"/>
      <c r="H689" s="154">
        <v>0</v>
      </c>
      <c r="I689" s="113" t="str">
        <f t="shared" si="160"/>
        <v>13-08-2026T00:00:00</v>
      </c>
      <c r="J689" s="154">
        <v>0</v>
      </c>
      <c r="K689" s="154"/>
      <c r="L689" s="155">
        <v>0</v>
      </c>
      <c r="M689" s="160">
        <v>0</v>
      </c>
      <c r="N689" s="156">
        <v>0</v>
      </c>
      <c r="O689" s="157"/>
      <c r="P689" s="158" t="s">
        <v>480</v>
      </c>
      <c r="Q689" s="159" t="s">
        <v>480</v>
      </c>
      <c r="R689" s="148" t="s">
        <v>480</v>
      </c>
      <c r="S689" s="148" t="s">
        <v>480</v>
      </c>
      <c r="T689" s="161" t="s">
        <v>480</v>
      </c>
      <c r="U689" s="152" t="s">
        <v>480</v>
      </c>
      <c r="V689" s="146" t="s">
        <v>480</v>
      </c>
      <c r="W689" s="152" t="s">
        <v>480</v>
      </c>
      <c r="X689" s="171" t="s">
        <v>668</v>
      </c>
      <c r="Y689" s="171" t="s">
        <v>668</v>
      </c>
      <c r="Z689" s="168" t="e">
        <f t="shared" si="156"/>
        <v>#VALUE!</v>
      </c>
      <c r="AA689" s="169">
        <f t="shared" si="157"/>
        <v>0</v>
      </c>
      <c r="AB689" s="170" t="e">
        <f t="shared" si="158"/>
        <v>#VALUE!</v>
      </c>
      <c r="AC689" s="170" t="e">
        <f t="shared" si="159"/>
        <v>#VALUE!</v>
      </c>
    </row>
    <row r="690" spans="1:29" s="128" customFormat="1" ht="9.75" hidden="1" customHeight="1" x14ac:dyDescent="0.3">
      <c r="A690" s="99">
        <v>46249</v>
      </c>
      <c r="B690" s="59">
        <v>8173646</v>
      </c>
      <c r="C690" s="60" t="s">
        <v>50</v>
      </c>
      <c r="D690" s="60" t="s">
        <v>329</v>
      </c>
      <c r="E690" s="61">
        <v>0.29166666666666669</v>
      </c>
      <c r="F690" s="60" t="s">
        <v>13</v>
      </c>
      <c r="G690" s="71" t="s">
        <v>31</v>
      </c>
      <c r="H690" s="62">
        <v>0.28472222222222221</v>
      </c>
      <c r="I690" s="113" t="str">
        <f t="shared" si="160"/>
        <v>15-08-2026T06:50:00</v>
      </c>
      <c r="J690" s="62">
        <v>0.89097222222222228</v>
      </c>
      <c r="K690" s="62"/>
      <c r="L690" s="63">
        <f t="shared" ref="L690:L719" si="168">J690-H690</f>
        <v>0.60625000000000007</v>
      </c>
      <c r="M690" s="64">
        <v>0.625</v>
      </c>
      <c r="N690" s="65" t="str">
        <f t="shared" ref="N690:N719" si="169">IF(M690-L690&gt;0,TEXT(M690-L690,"HH:MM:SS"),TEXT(ABS(M690-L690),"-HH:MM:SS"))</f>
        <v>00:27:00</v>
      </c>
      <c r="O690" s="66"/>
      <c r="P690" s="124" t="s">
        <v>455</v>
      </c>
      <c r="Q690" s="67"/>
      <c r="R690" s="68"/>
      <c r="S690" s="68"/>
      <c r="T690" s="69">
        <v>0</v>
      </c>
      <c r="U690" s="61"/>
      <c r="V690" s="83">
        <v>0</v>
      </c>
      <c r="W690" s="61">
        <f t="shared" ref="W690:W719" si="170">T690-V690</f>
        <v>0</v>
      </c>
      <c r="X690" s="172">
        <v>46249.284722222219</v>
      </c>
      <c r="Y690" s="172">
        <v>46249.890972222223</v>
      </c>
      <c r="Z690" s="173">
        <f t="shared" si="156"/>
        <v>0.60625000000436557</v>
      </c>
      <c r="AA690" s="174">
        <f t="shared" si="157"/>
        <v>0.625</v>
      </c>
      <c r="AB690" s="175" t="str">
        <f t="shared" si="158"/>
        <v>00:27:00</v>
      </c>
      <c r="AC690" s="175" t="b">
        <f t="shared" si="159"/>
        <v>1</v>
      </c>
    </row>
    <row r="691" spans="1:29" s="128" customFormat="1" ht="9.75" hidden="1" customHeight="1" x14ac:dyDescent="0.3">
      <c r="A691" s="99">
        <v>46249</v>
      </c>
      <c r="B691" s="59">
        <v>8173739</v>
      </c>
      <c r="C691" s="60" t="s">
        <v>42</v>
      </c>
      <c r="D691" s="60" t="s">
        <v>181</v>
      </c>
      <c r="E691" s="61">
        <v>0.3125</v>
      </c>
      <c r="F691" s="60" t="s">
        <v>13</v>
      </c>
      <c r="G691" s="71" t="s">
        <v>55</v>
      </c>
      <c r="H691" s="62">
        <v>0.31319444444444444</v>
      </c>
      <c r="I691" s="113" t="str">
        <f t="shared" si="160"/>
        <v>15-08-2026T07:31:00</v>
      </c>
      <c r="J691" s="62">
        <v>0.37361111111111112</v>
      </c>
      <c r="K691" s="62"/>
      <c r="L691" s="63">
        <f t="shared" si="168"/>
        <v>6.0416666666666674E-2</v>
      </c>
      <c r="M691" s="64">
        <v>6.25E-2</v>
      </c>
      <c r="N691" s="65" t="str">
        <f t="shared" si="169"/>
        <v>00:03:00</v>
      </c>
      <c r="O691" s="66"/>
      <c r="P691" s="124"/>
      <c r="Q691" s="67"/>
      <c r="R691" s="68"/>
      <c r="S691" s="68"/>
      <c r="T691" s="69">
        <v>0</v>
      </c>
      <c r="U691" s="61" t="s">
        <v>234</v>
      </c>
      <c r="V691" s="83">
        <v>0</v>
      </c>
      <c r="W691" s="61">
        <f t="shared" si="170"/>
        <v>0</v>
      </c>
      <c r="X691" s="171">
        <v>46249.313194444447</v>
      </c>
      <c r="Y691" s="171">
        <v>46249.373611111114</v>
      </c>
      <c r="Z691" s="168">
        <f t="shared" si="156"/>
        <v>6.0416666667151731E-2</v>
      </c>
      <c r="AA691" s="169">
        <f t="shared" si="157"/>
        <v>6.25E-2</v>
      </c>
      <c r="AB691" s="170" t="str">
        <f t="shared" si="158"/>
        <v>00:03:00</v>
      </c>
      <c r="AC691" s="170" t="b">
        <f t="shared" si="159"/>
        <v>1</v>
      </c>
    </row>
    <row r="692" spans="1:29" s="128" customFormat="1" ht="9.75" hidden="1" customHeight="1" x14ac:dyDescent="0.3">
      <c r="A692" s="99">
        <v>46249</v>
      </c>
      <c r="B692" s="59">
        <v>8173879</v>
      </c>
      <c r="C692" s="60" t="s">
        <v>40</v>
      </c>
      <c r="D692" s="60" t="s">
        <v>460</v>
      </c>
      <c r="E692" s="61">
        <v>0.375</v>
      </c>
      <c r="F692" s="60" t="s">
        <v>13</v>
      </c>
      <c r="G692" s="71" t="s">
        <v>31</v>
      </c>
      <c r="H692" s="62">
        <v>46249.375694444447</v>
      </c>
      <c r="I692" s="113" t="str">
        <f t="shared" si="160"/>
        <v>15-08-2026T09:01:00</v>
      </c>
      <c r="J692" s="62">
        <v>46250.094444444447</v>
      </c>
      <c r="K692" s="62"/>
      <c r="L692" s="63">
        <f t="shared" si="168"/>
        <v>0.71875</v>
      </c>
      <c r="M692" s="64">
        <v>0.75</v>
      </c>
      <c r="N692" s="65" t="str">
        <f t="shared" si="169"/>
        <v>00:45:00</v>
      </c>
      <c r="O692" s="66"/>
      <c r="P692" s="124" t="s">
        <v>455</v>
      </c>
      <c r="Q692" s="67" t="s">
        <v>45</v>
      </c>
      <c r="R692" s="68">
        <v>0.93819444444444444</v>
      </c>
      <c r="S692" s="68">
        <v>0.98055555555555551</v>
      </c>
      <c r="T692" s="69">
        <f>S692-R692</f>
        <v>4.2361111111111072E-2</v>
      </c>
      <c r="U692" s="61"/>
      <c r="V692" s="83">
        <v>8.3333333333333329E-2</v>
      </c>
      <c r="W692" s="61">
        <f t="shared" si="170"/>
        <v>-4.0972222222222257E-2</v>
      </c>
      <c r="X692" s="172">
        <v>46249.375694444447</v>
      </c>
      <c r="Y692" s="172">
        <v>46250.094444444447</v>
      </c>
      <c r="Z692" s="173">
        <f t="shared" si="156"/>
        <v>0.71875</v>
      </c>
      <c r="AA692" s="174">
        <f t="shared" si="157"/>
        <v>0.75</v>
      </c>
      <c r="AB692" s="175" t="str">
        <f t="shared" si="158"/>
        <v>00:45:00</v>
      </c>
      <c r="AC692" s="175" t="b">
        <f t="shared" si="159"/>
        <v>1</v>
      </c>
    </row>
    <row r="693" spans="1:29" s="127" customFormat="1" ht="9.75" hidden="1" customHeight="1" x14ac:dyDescent="0.3">
      <c r="A693" s="98">
        <v>46249</v>
      </c>
      <c r="B693" s="48">
        <v>8173884</v>
      </c>
      <c r="C693" s="49" t="s">
        <v>51</v>
      </c>
      <c r="D693" s="49" t="s">
        <v>295</v>
      </c>
      <c r="E693" s="50">
        <v>0.375</v>
      </c>
      <c r="F693" s="49" t="s">
        <v>49</v>
      </c>
      <c r="G693" s="70" t="s">
        <v>13</v>
      </c>
      <c r="H693" s="51">
        <v>0.37847222222222221</v>
      </c>
      <c r="I693" s="113" t="str">
        <f t="shared" si="160"/>
        <v>15-08-2026T09:05:00</v>
      </c>
      <c r="J693" s="51">
        <v>46250.058333333334</v>
      </c>
      <c r="K693" s="51"/>
      <c r="L693" s="52">
        <f t="shared" si="168"/>
        <v>46249.679861111115</v>
      </c>
      <c r="M693" s="53">
        <v>0.58333333333333337</v>
      </c>
      <c r="N693" s="54" t="str">
        <f t="shared" si="169"/>
        <v>-02:19:00</v>
      </c>
      <c r="O693" s="55">
        <v>750</v>
      </c>
      <c r="P693" s="147" t="s">
        <v>597</v>
      </c>
      <c r="Q693" s="56" t="s">
        <v>13</v>
      </c>
      <c r="R693" s="57">
        <v>46249.977777777778</v>
      </c>
      <c r="S693" s="57">
        <v>46250.054861111108</v>
      </c>
      <c r="T693" s="50">
        <f>S693-R693</f>
        <v>7.7083333329937886E-2</v>
      </c>
      <c r="U693" s="50"/>
      <c r="V693" s="74">
        <v>8.3333333333333329E-2</v>
      </c>
      <c r="W693" s="50">
        <f t="shared" si="170"/>
        <v>-6.2500000033954423E-3</v>
      </c>
      <c r="X693" s="171">
        <v>46249.378472222219</v>
      </c>
      <c r="Y693" s="171">
        <v>46250.058333333334</v>
      </c>
      <c r="Z693" s="168">
        <f t="shared" si="156"/>
        <v>0.679861111115315</v>
      </c>
      <c r="AA693" s="169">
        <f t="shared" si="157"/>
        <v>0.58333333333333337</v>
      </c>
      <c r="AB693" s="170" t="str">
        <f t="shared" si="158"/>
        <v>-02:19:00</v>
      </c>
      <c r="AC693" s="170" t="b">
        <f t="shared" si="159"/>
        <v>1</v>
      </c>
    </row>
    <row r="694" spans="1:29" s="127" customFormat="1" ht="9.75" hidden="1" customHeight="1" x14ac:dyDescent="0.3">
      <c r="A694" s="98">
        <v>46249</v>
      </c>
      <c r="B694" s="48">
        <v>8173912</v>
      </c>
      <c r="C694" s="49" t="s">
        <v>44</v>
      </c>
      <c r="D694" s="49" t="s">
        <v>582</v>
      </c>
      <c r="E694" s="50">
        <v>0.41666666666666669</v>
      </c>
      <c r="F694" s="49" t="s">
        <v>31</v>
      </c>
      <c r="G694" s="70" t="s">
        <v>13</v>
      </c>
      <c r="H694" s="51">
        <v>0.41319444444444442</v>
      </c>
      <c r="I694" s="113" t="str">
        <f t="shared" si="160"/>
        <v>15-08-2026T09:55:00</v>
      </c>
      <c r="J694" s="51">
        <v>46250.490277777775</v>
      </c>
      <c r="K694" s="51"/>
      <c r="L694" s="52">
        <f t="shared" si="168"/>
        <v>46250.07708333333</v>
      </c>
      <c r="M694" s="53">
        <v>0.75</v>
      </c>
      <c r="N694" s="54" t="str">
        <f t="shared" si="169"/>
        <v>-07:51:00</v>
      </c>
      <c r="O694" s="55">
        <v>1600</v>
      </c>
      <c r="P694" s="147" t="s">
        <v>601</v>
      </c>
      <c r="Q694" s="56" t="s">
        <v>45</v>
      </c>
      <c r="R694" s="57">
        <v>0.57847222222222228</v>
      </c>
      <c r="S694" s="57">
        <v>0.60416666666666663</v>
      </c>
      <c r="T694" s="58">
        <f>S694-R694</f>
        <v>2.5694444444444353E-2</v>
      </c>
      <c r="U694" s="50"/>
      <c r="V694" s="74">
        <v>8.3333333333333329E-2</v>
      </c>
      <c r="W694" s="50">
        <f t="shared" si="170"/>
        <v>-5.7638888888888976E-2</v>
      </c>
      <c r="X694" s="171">
        <v>46249.413194444445</v>
      </c>
      <c r="Y694" s="171">
        <v>46250.490277777775</v>
      </c>
      <c r="Z694" s="168">
        <f t="shared" si="156"/>
        <v>1.0770833333299379</v>
      </c>
      <c r="AA694" s="169">
        <f t="shared" si="157"/>
        <v>0.75</v>
      </c>
      <c r="AB694" s="170" t="str">
        <f t="shared" si="158"/>
        <v>-07:51:00</v>
      </c>
      <c r="AC694" s="170" t="b">
        <f t="shared" si="159"/>
        <v>1</v>
      </c>
    </row>
    <row r="695" spans="1:29" s="128" customFormat="1" ht="9.75" hidden="1" customHeight="1" x14ac:dyDescent="0.3">
      <c r="A695" s="99">
        <v>46249</v>
      </c>
      <c r="B695" s="59">
        <v>8173923</v>
      </c>
      <c r="C695" s="60" t="s">
        <v>48</v>
      </c>
      <c r="D695" s="60" t="s">
        <v>183</v>
      </c>
      <c r="E695" s="61">
        <v>0.41666666666666669</v>
      </c>
      <c r="F695" s="60" t="s">
        <v>13</v>
      </c>
      <c r="G695" s="71" t="s">
        <v>49</v>
      </c>
      <c r="H695" s="62">
        <v>0.4201388888888889</v>
      </c>
      <c r="I695" s="113" t="str">
        <f t="shared" si="160"/>
        <v>15-08-2026T10:05:00</v>
      </c>
      <c r="J695" s="62">
        <v>0.91527777777777775</v>
      </c>
      <c r="K695" s="62"/>
      <c r="L695" s="63">
        <f t="shared" si="168"/>
        <v>0.49513888888888885</v>
      </c>
      <c r="M695" s="64">
        <v>0.5</v>
      </c>
      <c r="N695" s="65" t="str">
        <f t="shared" si="169"/>
        <v>00:07:00</v>
      </c>
      <c r="O695" s="66"/>
      <c r="P695" s="124"/>
      <c r="Q695" s="67"/>
      <c r="R695" s="68"/>
      <c r="S695" s="68"/>
      <c r="T695" s="69">
        <v>0</v>
      </c>
      <c r="U695" s="61" t="s">
        <v>234</v>
      </c>
      <c r="V695" s="83">
        <v>0</v>
      </c>
      <c r="W695" s="61">
        <f t="shared" si="170"/>
        <v>0</v>
      </c>
      <c r="X695" s="171">
        <v>46249.420138888891</v>
      </c>
      <c r="Y695" s="171">
        <v>46249.915277777778</v>
      </c>
      <c r="Z695" s="168">
        <f t="shared" si="156"/>
        <v>0.49513888888759539</v>
      </c>
      <c r="AA695" s="169">
        <f t="shared" si="157"/>
        <v>0.5</v>
      </c>
      <c r="AB695" s="170" t="str">
        <f t="shared" si="158"/>
        <v>00:07:00</v>
      </c>
      <c r="AC695" s="170" t="b">
        <f t="shared" si="159"/>
        <v>1</v>
      </c>
    </row>
    <row r="696" spans="1:29" s="128" customFormat="1" ht="9.75" hidden="1" customHeight="1" x14ac:dyDescent="0.3">
      <c r="A696" s="99">
        <v>46249</v>
      </c>
      <c r="B696" s="59">
        <v>8174062</v>
      </c>
      <c r="C696" s="60" t="s">
        <v>57</v>
      </c>
      <c r="D696" s="60" t="s">
        <v>370</v>
      </c>
      <c r="E696" s="61">
        <v>0.45833333333333331</v>
      </c>
      <c r="F696" s="60" t="s">
        <v>13</v>
      </c>
      <c r="G696" s="71" t="s">
        <v>24</v>
      </c>
      <c r="H696" s="62">
        <v>0.47638888888888886</v>
      </c>
      <c r="I696" s="113" t="str">
        <f t="shared" si="160"/>
        <v>15-08-2026T11:26:00</v>
      </c>
      <c r="J696" s="62">
        <v>0.55555555555555558</v>
      </c>
      <c r="K696" s="62"/>
      <c r="L696" s="63">
        <f t="shared" si="168"/>
        <v>7.9166666666666718E-2</v>
      </c>
      <c r="M696" s="64">
        <v>8.3333333333333329E-2</v>
      </c>
      <c r="N696" s="65" t="str">
        <f t="shared" si="169"/>
        <v>00:06:00</v>
      </c>
      <c r="O696" s="66"/>
      <c r="P696" s="124"/>
      <c r="Q696" s="67"/>
      <c r="R696" s="68"/>
      <c r="S696" s="68"/>
      <c r="T696" s="69">
        <v>0</v>
      </c>
      <c r="U696" s="61" t="s">
        <v>234</v>
      </c>
      <c r="V696" s="83">
        <v>0</v>
      </c>
      <c r="W696" s="61">
        <f t="shared" si="170"/>
        <v>0</v>
      </c>
      <c r="X696" s="171">
        <v>46249.476388888892</v>
      </c>
      <c r="Y696" s="171">
        <v>46249.555555555555</v>
      </c>
      <c r="Z696" s="168">
        <f t="shared" si="156"/>
        <v>7.9166666662786156E-2</v>
      </c>
      <c r="AA696" s="169">
        <f t="shared" si="157"/>
        <v>8.3333333333333329E-2</v>
      </c>
      <c r="AB696" s="170" t="str">
        <f t="shared" si="158"/>
        <v>00:06:00</v>
      </c>
      <c r="AC696" s="170" t="b">
        <f t="shared" si="159"/>
        <v>1</v>
      </c>
    </row>
    <row r="697" spans="1:29" s="127" customFormat="1" ht="9.75" hidden="1" customHeight="1" x14ac:dyDescent="0.3">
      <c r="A697" s="98">
        <v>46249</v>
      </c>
      <c r="B697" s="48">
        <v>8174137</v>
      </c>
      <c r="C697" s="49" t="s">
        <v>20</v>
      </c>
      <c r="D697" s="49" t="s">
        <v>232</v>
      </c>
      <c r="E697" s="50">
        <v>0.5</v>
      </c>
      <c r="F697" s="49" t="s">
        <v>13</v>
      </c>
      <c r="G697" s="70" t="s">
        <v>21</v>
      </c>
      <c r="H697" s="51">
        <v>0.50208333333333333</v>
      </c>
      <c r="I697" s="113" t="str">
        <f t="shared" si="160"/>
        <v>15-08-2026T12:03:00</v>
      </c>
      <c r="J697" s="51">
        <v>0.99652777777777779</v>
      </c>
      <c r="K697" s="51"/>
      <c r="L697" s="52">
        <f t="shared" si="168"/>
        <v>0.49444444444444446</v>
      </c>
      <c r="M697" s="53">
        <v>0.25</v>
      </c>
      <c r="N697" s="54" t="str">
        <f t="shared" si="169"/>
        <v>-05:52:00</v>
      </c>
      <c r="O697" s="55">
        <f>250*6</f>
        <v>1500</v>
      </c>
      <c r="P697" s="147" t="s">
        <v>606</v>
      </c>
      <c r="Q697" s="56"/>
      <c r="R697" s="57"/>
      <c r="S697" s="57"/>
      <c r="T697" s="58">
        <v>0</v>
      </c>
      <c r="U697" s="50"/>
      <c r="V697" s="74">
        <v>0</v>
      </c>
      <c r="W697" s="50">
        <f t="shared" si="170"/>
        <v>0</v>
      </c>
      <c r="X697" s="171">
        <v>46249.502083333333</v>
      </c>
      <c r="Y697" s="171">
        <v>46249.996527777781</v>
      </c>
      <c r="Z697" s="168">
        <f t="shared" si="156"/>
        <v>0.49444444444816327</v>
      </c>
      <c r="AA697" s="169">
        <f t="shared" si="157"/>
        <v>0.25</v>
      </c>
      <c r="AB697" s="170" t="str">
        <f t="shared" si="158"/>
        <v>-05:52:00</v>
      </c>
      <c r="AC697" s="170" t="b">
        <f t="shared" si="159"/>
        <v>1</v>
      </c>
    </row>
    <row r="698" spans="1:29" s="128" customFormat="1" ht="9.75" hidden="1" customHeight="1" x14ac:dyDescent="0.3">
      <c r="A698" s="99">
        <v>46249</v>
      </c>
      <c r="B698" s="59">
        <v>8174258</v>
      </c>
      <c r="C698" s="60" t="s">
        <v>39</v>
      </c>
      <c r="D698" s="60" t="s">
        <v>392</v>
      </c>
      <c r="E698" s="61">
        <v>0.54166666666666663</v>
      </c>
      <c r="F698" s="60" t="s">
        <v>103</v>
      </c>
      <c r="G698" s="71" t="s">
        <v>13</v>
      </c>
      <c r="H698" s="62">
        <v>46249.544444444444</v>
      </c>
      <c r="I698" s="113" t="str">
        <f t="shared" si="160"/>
        <v>15-08-2026T13:04:00</v>
      </c>
      <c r="J698" s="62">
        <v>46250.205555555556</v>
      </c>
      <c r="K698" s="62"/>
      <c r="L698" s="63">
        <f t="shared" si="168"/>
        <v>0.66111111111240461</v>
      </c>
      <c r="M698" s="64">
        <v>0.70833333333333337</v>
      </c>
      <c r="N698" s="65" t="str">
        <f t="shared" si="169"/>
        <v>01:08:00</v>
      </c>
      <c r="O698" s="66"/>
      <c r="P698" s="124"/>
      <c r="Q698" s="67" t="s">
        <v>13</v>
      </c>
      <c r="R698" s="68">
        <v>46250.130555555559</v>
      </c>
      <c r="S698" s="68">
        <v>46250.2</v>
      </c>
      <c r="T698" s="69">
        <f>S698-R698</f>
        <v>6.9444444437976927E-2</v>
      </c>
      <c r="U698" s="61"/>
      <c r="V698" s="83">
        <v>8.3333333333333329E-2</v>
      </c>
      <c r="W698" s="61">
        <f t="shared" si="170"/>
        <v>-1.3888888895356402E-2</v>
      </c>
      <c r="X698" s="171">
        <v>46249.544444444444</v>
      </c>
      <c r="Y698" s="171">
        <v>46250.205555555556</v>
      </c>
      <c r="Z698" s="168">
        <f t="shared" si="156"/>
        <v>0.66111111111240461</v>
      </c>
      <c r="AA698" s="169">
        <f t="shared" si="157"/>
        <v>0.70833333333333337</v>
      </c>
      <c r="AB698" s="170" t="str">
        <f t="shared" si="158"/>
        <v>01:08:00</v>
      </c>
      <c r="AC698" s="170" t="b">
        <f t="shared" si="159"/>
        <v>1</v>
      </c>
    </row>
    <row r="699" spans="1:29" s="128" customFormat="1" ht="9.75" hidden="1" customHeight="1" x14ac:dyDescent="0.3">
      <c r="A699" s="99">
        <v>46249</v>
      </c>
      <c r="B699" s="59">
        <v>8174274</v>
      </c>
      <c r="C699" s="60" t="s">
        <v>52</v>
      </c>
      <c r="D699" s="60" t="s">
        <v>616</v>
      </c>
      <c r="E699" s="61">
        <v>0.54166666666666663</v>
      </c>
      <c r="F699" s="60" t="s">
        <v>13</v>
      </c>
      <c r="G699" s="71" t="s">
        <v>15</v>
      </c>
      <c r="H699" s="62">
        <v>0.5493055555555556</v>
      </c>
      <c r="I699" s="113" t="str">
        <f t="shared" si="160"/>
        <v>15-08-2026T13:11:00</v>
      </c>
      <c r="J699" s="62">
        <v>0.75347222222222221</v>
      </c>
      <c r="K699" s="62"/>
      <c r="L699" s="63">
        <f t="shared" si="168"/>
        <v>0.20416666666666661</v>
      </c>
      <c r="M699" s="64">
        <v>0.20833333333333334</v>
      </c>
      <c r="N699" s="65" t="str">
        <f t="shared" si="169"/>
        <v>00:06:00</v>
      </c>
      <c r="O699" s="66"/>
      <c r="P699" s="124"/>
      <c r="Q699" s="67"/>
      <c r="R699" s="68"/>
      <c r="S699" s="68"/>
      <c r="T699" s="69">
        <v>0</v>
      </c>
      <c r="U699" s="61" t="s">
        <v>234</v>
      </c>
      <c r="V699" s="83">
        <v>0</v>
      </c>
      <c r="W699" s="61">
        <f t="shared" si="170"/>
        <v>0</v>
      </c>
      <c r="X699" s="171">
        <v>46249.549305555556</v>
      </c>
      <c r="Y699" s="171">
        <v>46249.753472222219</v>
      </c>
      <c r="Z699" s="168">
        <f t="shared" si="156"/>
        <v>0.20416666666278616</v>
      </c>
      <c r="AA699" s="169">
        <f t="shared" si="157"/>
        <v>0.20833333333333334</v>
      </c>
      <c r="AB699" s="170" t="str">
        <f t="shared" si="158"/>
        <v>00:06:00</v>
      </c>
      <c r="AC699" s="170" t="b">
        <f t="shared" si="159"/>
        <v>1</v>
      </c>
    </row>
    <row r="700" spans="1:29" s="127" customFormat="1" ht="9.75" hidden="1" customHeight="1" x14ac:dyDescent="0.3">
      <c r="A700" s="98">
        <v>46249</v>
      </c>
      <c r="B700" s="48">
        <v>8174551</v>
      </c>
      <c r="C700" s="49" t="s">
        <v>53</v>
      </c>
      <c r="D700" s="49" t="s">
        <v>298</v>
      </c>
      <c r="E700" s="50">
        <v>0.64583333333333337</v>
      </c>
      <c r="F700" s="49" t="s">
        <v>19</v>
      </c>
      <c r="G700" s="70" t="s">
        <v>13</v>
      </c>
      <c r="H700" s="51">
        <v>0.64375000000000004</v>
      </c>
      <c r="I700" s="113" t="str">
        <f t="shared" si="160"/>
        <v>15-08-2026T15:27:00</v>
      </c>
      <c r="J700" s="51">
        <v>46250.086805555555</v>
      </c>
      <c r="K700" s="51"/>
      <c r="L700" s="52">
        <f t="shared" si="168"/>
        <v>46249.443055555552</v>
      </c>
      <c r="M700" s="53">
        <v>0.4375</v>
      </c>
      <c r="N700" s="54" t="str">
        <f t="shared" si="169"/>
        <v>-00:08:00</v>
      </c>
      <c r="O700" s="55">
        <v>200</v>
      </c>
      <c r="P700" s="147" t="s">
        <v>455</v>
      </c>
      <c r="Q700" s="56" t="s">
        <v>229</v>
      </c>
      <c r="R700" s="57">
        <v>0.76736111111111116</v>
      </c>
      <c r="S700" s="57">
        <v>0.82430555555555551</v>
      </c>
      <c r="T700" s="58">
        <f>S700-R700</f>
        <v>5.6944444444444353E-2</v>
      </c>
      <c r="U700" s="50"/>
      <c r="V700" s="74">
        <v>8.3333333333333329E-2</v>
      </c>
      <c r="W700" s="50">
        <f t="shared" si="170"/>
        <v>-2.6388888888888976E-2</v>
      </c>
      <c r="X700" s="171">
        <v>46249.643750000003</v>
      </c>
      <c r="Y700" s="171">
        <v>46250.086805555555</v>
      </c>
      <c r="Z700" s="168">
        <f t="shared" ref="Z700:Z763" si="171">Y700-X700</f>
        <v>0.44305555555183673</v>
      </c>
      <c r="AA700" s="169">
        <f t="shared" ref="AA700:AA763" si="172">M700</f>
        <v>0.4375</v>
      </c>
      <c r="AB700" s="170" t="str">
        <f t="shared" ref="AB700:AB763" si="173">IF(AA700-Z700&gt;0,TEXT(AA700-Z700,"HH:MM:SS"),TEXT(ABS(AA700-Z700),"-HH:MM:SS"))</f>
        <v>-00:08:00</v>
      </c>
      <c r="AC700" s="170" t="b">
        <f t="shared" ref="AC700:AC763" si="174">AB700=N700</f>
        <v>1</v>
      </c>
    </row>
    <row r="701" spans="1:29" s="128" customFormat="1" ht="9.75" hidden="1" customHeight="1" x14ac:dyDescent="0.3">
      <c r="A701" s="99">
        <v>46249</v>
      </c>
      <c r="B701" s="59">
        <v>8174770</v>
      </c>
      <c r="C701" s="60" t="s">
        <v>41</v>
      </c>
      <c r="D701" s="60" t="s">
        <v>299</v>
      </c>
      <c r="E701" s="61">
        <v>0.70833333333333337</v>
      </c>
      <c r="F701" s="60" t="s">
        <v>13</v>
      </c>
      <c r="G701" s="71" t="s">
        <v>24</v>
      </c>
      <c r="H701" s="62">
        <v>0.71319444444444446</v>
      </c>
      <c r="I701" s="113" t="str">
        <f t="shared" si="160"/>
        <v>15-08-2026T17:07:00</v>
      </c>
      <c r="J701" s="62">
        <v>0.78125</v>
      </c>
      <c r="K701" s="62"/>
      <c r="L701" s="63">
        <f t="shared" si="168"/>
        <v>6.8055555555555536E-2</v>
      </c>
      <c r="M701" s="64">
        <v>8.3333333333333329E-2</v>
      </c>
      <c r="N701" s="65" t="str">
        <f t="shared" si="169"/>
        <v>00:22:00</v>
      </c>
      <c r="O701" s="66"/>
      <c r="P701" s="124"/>
      <c r="Q701" s="67"/>
      <c r="R701" s="68"/>
      <c r="S701" s="68"/>
      <c r="T701" s="69">
        <v>0</v>
      </c>
      <c r="U701" s="61"/>
      <c r="V701" s="83">
        <v>0</v>
      </c>
      <c r="W701" s="61">
        <f t="shared" si="170"/>
        <v>0</v>
      </c>
      <c r="X701" s="171">
        <v>46249.713194444441</v>
      </c>
      <c r="Y701" s="171">
        <v>46249.78125</v>
      </c>
      <c r="Z701" s="168">
        <f t="shared" si="171"/>
        <v>6.805555555911269E-2</v>
      </c>
      <c r="AA701" s="169">
        <f t="shared" si="172"/>
        <v>8.3333333333333329E-2</v>
      </c>
      <c r="AB701" s="170" t="str">
        <f t="shared" si="173"/>
        <v>00:22:00</v>
      </c>
      <c r="AC701" s="170" t="b">
        <f t="shared" si="174"/>
        <v>1</v>
      </c>
    </row>
    <row r="702" spans="1:29" s="128" customFormat="1" ht="9.75" hidden="1" customHeight="1" x14ac:dyDescent="0.3">
      <c r="A702" s="99">
        <v>46249</v>
      </c>
      <c r="B702" s="59">
        <v>8174497</v>
      </c>
      <c r="C702" s="60" t="s">
        <v>87</v>
      </c>
      <c r="D702" s="60" t="s">
        <v>367</v>
      </c>
      <c r="E702" s="61">
        <v>0.70833333333333337</v>
      </c>
      <c r="F702" s="60" t="s">
        <v>85</v>
      </c>
      <c r="G702" s="71" t="s">
        <v>13</v>
      </c>
      <c r="H702" s="62">
        <v>0.62569444444444444</v>
      </c>
      <c r="I702" s="113" t="str">
        <f t="shared" si="160"/>
        <v>15-08-2026T15:01:00</v>
      </c>
      <c r="J702" s="62">
        <v>0.95208333333333328</v>
      </c>
      <c r="K702" s="62"/>
      <c r="L702" s="63">
        <f t="shared" si="168"/>
        <v>0.32638888888888884</v>
      </c>
      <c r="M702" s="64">
        <v>0.33333333333333331</v>
      </c>
      <c r="N702" s="65" t="str">
        <f t="shared" si="169"/>
        <v>00:10:00</v>
      </c>
      <c r="O702" s="66"/>
      <c r="P702" s="124"/>
      <c r="Q702" s="67" t="s">
        <v>174</v>
      </c>
      <c r="R702" s="68">
        <v>0.68402777777777779</v>
      </c>
      <c r="S702" s="68">
        <v>0.72499999999999998</v>
      </c>
      <c r="T702" s="69">
        <f>S702-R702</f>
        <v>4.0972222222222188E-2</v>
      </c>
      <c r="U702" s="61"/>
      <c r="V702" s="83">
        <v>4.1666666666666664E-2</v>
      </c>
      <c r="W702" s="61">
        <f t="shared" si="170"/>
        <v>-6.9444444444447667E-4</v>
      </c>
      <c r="X702" s="171">
        <v>46249.625694444447</v>
      </c>
      <c r="Y702" s="171">
        <v>46249.95208333333</v>
      </c>
      <c r="Z702" s="168">
        <f t="shared" si="171"/>
        <v>0.32638888888322981</v>
      </c>
      <c r="AA702" s="169">
        <f t="shared" si="172"/>
        <v>0.33333333333333331</v>
      </c>
      <c r="AB702" s="170" t="str">
        <f t="shared" si="173"/>
        <v>00:10:00</v>
      </c>
      <c r="AC702" s="170" t="b">
        <f t="shared" si="174"/>
        <v>1</v>
      </c>
    </row>
    <row r="703" spans="1:29" s="128" customFormat="1" ht="9.75" hidden="1" customHeight="1" x14ac:dyDescent="0.3">
      <c r="A703" s="99">
        <v>46249</v>
      </c>
      <c r="B703" s="59">
        <v>8174760</v>
      </c>
      <c r="C703" s="60" t="s">
        <v>27</v>
      </c>
      <c r="D703" s="60" t="s">
        <v>378</v>
      </c>
      <c r="E703" s="61">
        <v>0.70833333333333337</v>
      </c>
      <c r="F703" s="60" t="s">
        <v>28</v>
      </c>
      <c r="G703" s="71" t="s">
        <v>13</v>
      </c>
      <c r="H703" s="62">
        <v>0.70902777777777781</v>
      </c>
      <c r="I703" s="113" t="str">
        <f t="shared" si="160"/>
        <v>15-08-2026T17:01:00</v>
      </c>
      <c r="J703" s="62">
        <v>0.87430555555555556</v>
      </c>
      <c r="K703" s="62"/>
      <c r="L703" s="63">
        <f t="shared" si="168"/>
        <v>0.16527777777777775</v>
      </c>
      <c r="M703" s="64">
        <v>0.16666666666666666</v>
      </c>
      <c r="N703" s="65" t="str">
        <f t="shared" si="169"/>
        <v>00:02:00</v>
      </c>
      <c r="O703" s="66"/>
      <c r="P703" s="124"/>
      <c r="Q703" s="67"/>
      <c r="R703" s="68"/>
      <c r="S703" s="68"/>
      <c r="T703" s="69">
        <v>0</v>
      </c>
      <c r="U703" s="61"/>
      <c r="V703" s="83">
        <v>0</v>
      </c>
      <c r="W703" s="61">
        <f t="shared" si="170"/>
        <v>0</v>
      </c>
      <c r="X703" s="171">
        <v>46249.709027777775</v>
      </c>
      <c r="Y703" s="171">
        <v>46249.874305555553</v>
      </c>
      <c r="Z703" s="168">
        <f t="shared" si="171"/>
        <v>0.16527777777810115</v>
      </c>
      <c r="AA703" s="169">
        <f t="shared" si="172"/>
        <v>0.16666666666666666</v>
      </c>
      <c r="AB703" s="170" t="str">
        <f t="shared" si="173"/>
        <v>00:02:00</v>
      </c>
      <c r="AC703" s="170" t="b">
        <f t="shared" si="174"/>
        <v>1</v>
      </c>
    </row>
    <row r="704" spans="1:29" s="128" customFormat="1" ht="9.75" hidden="1" customHeight="1" x14ac:dyDescent="0.3">
      <c r="A704" s="99">
        <v>46249</v>
      </c>
      <c r="B704" s="59">
        <v>8174827</v>
      </c>
      <c r="C704" s="60" t="s">
        <v>89</v>
      </c>
      <c r="D704" s="60" t="s">
        <v>294</v>
      </c>
      <c r="E704" s="61">
        <v>0.75</v>
      </c>
      <c r="F704" s="60" t="s">
        <v>35</v>
      </c>
      <c r="G704" s="71" t="s">
        <v>13</v>
      </c>
      <c r="H704" s="62">
        <v>0.73611111111111116</v>
      </c>
      <c r="I704" s="113" t="str">
        <f t="shared" si="160"/>
        <v>15-08-2026T17:40:00</v>
      </c>
      <c r="J704" s="62">
        <v>0.7680555555555556</v>
      </c>
      <c r="K704" s="62"/>
      <c r="L704" s="63">
        <f t="shared" si="168"/>
        <v>3.1944444444444442E-2</v>
      </c>
      <c r="M704" s="64">
        <v>4.1666666666666664E-2</v>
      </c>
      <c r="N704" s="65" t="str">
        <f t="shared" si="169"/>
        <v>00:14:00</v>
      </c>
      <c r="O704" s="66"/>
      <c r="P704" s="124"/>
      <c r="Q704" s="67"/>
      <c r="R704" s="68"/>
      <c r="S704" s="68"/>
      <c r="T704" s="69">
        <v>0</v>
      </c>
      <c r="U704" s="61" t="s">
        <v>234</v>
      </c>
      <c r="V704" s="83">
        <v>0</v>
      </c>
      <c r="W704" s="61">
        <f t="shared" si="170"/>
        <v>0</v>
      </c>
      <c r="X704" s="171">
        <v>46249.736111111109</v>
      </c>
      <c r="Y704" s="171">
        <v>46249.768055555556</v>
      </c>
      <c r="Z704" s="168">
        <f t="shared" si="171"/>
        <v>3.1944444446708076E-2</v>
      </c>
      <c r="AA704" s="169">
        <f t="shared" si="172"/>
        <v>4.1666666666666664E-2</v>
      </c>
      <c r="AB704" s="170" t="str">
        <f t="shared" si="173"/>
        <v>00:14:00</v>
      </c>
      <c r="AC704" s="170" t="b">
        <f t="shared" si="174"/>
        <v>1</v>
      </c>
    </row>
    <row r="705" spans="1:29" s="128" customFormat="1" ht="9.75" hidden="1" customHeight="1" x14ac:dyDescent="0.3">
      <c r="A705" s="99">
        <v>46249</v>
      </c>
      <c r="B705" s="59">
        <v>8175032</v>
      </c>
      <c r="C705" s="60" t="s">
        <v>32</v>
      </c>
      <c r="D705" s="60" t="s">
        <v>476</v>
      </c>
      <c r="E705" s="61">
        <v>0.83333333333333337</v>
      </c>
      <c r="F705" s="60" t="s">
        <v>287</v>
      </c>
      <c r="G705" s="71" t="s">
        <v>13</v>
      </c>
      <c r="H705" s="62">
        <v>0.81527777777777777</v>
      </c>
      <c r="I705" s="113" t="str">
        <f t="shared" si="160"/>
        <v>15-08-2026T19:34:00</v>
      </c>
      <c r="J705" s="62">
        <v>0.94513888888888886</v>
      </c>
      <c r="K705" s="62"/>
      <c r="L705" s="63">
        <f t="shared" si="168"/>
        <v>0.12986111111111109</v>
      </c>
      <c r="M705" s="64">
        <v>0.14583333333333334</v>
      </c>
      <c r="N705" s="65" t="str">
        <f t="shared" si="169"/>
        <v>00:23:00</v>
      </c>
      <c r="O705" s="66"/>
      <c r="P705" s="124"/>
      <c r="Q705" s="67"/>
      <c r="R705" s="68"/>
      <c r="S705" s="68"/>
      <c r="T705" s="69">
        <v>0</v>
      </c>
      <c r="U705" s="61"/>
      <c r="V705" s="83">
        <v>0</v>
      </c>
      <c r="W705" s="61">
        <f t="shared" si="170"/>
        <v>0</v>
      </c>
      <c r="X705" s="171">
        <v>46249.81527777778</v>
      </c>
      <c r="Y705" s="171">
        <v>46249.945138888892</v>
      </c>
      <c r="Z705" s="168">
        <f t="shared" si="171"/>
        <v>0.12986111111240461</v>
      </c>
      <c r="AA705" s="169">
        <f t="shared" si="172"/>
        <v>0.14583333333333334</v>
      </c>
      <c r="AB705" s="170" t="str">
        <f t="shared" si="173"/>
        <v>00:23:00</v>
      </c>
      <c r="AC705" s="170" t="b">
        <f t="shared" si="174"/>
        <v>1</v>
      </c>
    </row>
    <row r="706" spans="1:29" s="128" customFormat="1" ht="9.75" hidden="1" customHeight="1" x14ac:dyDescent="0.3">
      <c r="A706" s="99">
        <v>46249</v>
      </c>
      <c r="B706" s="59">
        <v>8175253</v>
      </c>
      <c r="C706" s="60" t="s">
        <v>56</v>
      </c>
      <c r="D706" s="60" t="s">
        <v>472</v>
      </c>
      <c r="E706" s="61">
        <v>0.875</v>
      </c>
      <c r="F706" s="60" t="s">
        <v>13</v>
      </c>
      <c r="G706" s="71" t="s">
        <v>15</v>
      </c>
      <c r="H706" s="62">
        <v>46249.882638888892</v>
      </c>
      <c r="I706" s="113" t="str">
        <f t="shared" si="160"/>
        <v>15-08-2026T21:11:00</v>
      </c>
      <c r="J706" s="62">
        <v>46250.086111111108</v>
      </c>
      <c r="K706" s="62"/>
      <c r="L706" s="63">
        <f t="shared" si="168"/>
        <v>0.20347222221607808</v>
      </c>
      <c r="M706" s="64">
        <v>0.20833333333333334</v>
      </c>
      <c r="N706" s="65" t="str">
        <f t="shared" si="169"/>
        <v>00:07:00</v>
      </c>
      <c r="O706" s="66"/>
      <c r="P706" s="124"/>
      <c r="Q706" s="67"/>
      <c r="R706" s="68"/>
      <c r="S706" s="68"/>
      <c r="T706" s="69">
        <v>0</v>
      </c>
      <c r="U706" s="61"/>
      <c r="V706" s="83">
        <v>0</v>
      </c>
      <c r="W706" s="61">
        <f t="shared" si="170"/>
        <v>0</v>
      </c>
      <c r="X706" s="171">
        <v>46249.882638888892</v>
      </c>
      <c r="Y706" s="171">
        <v>46250.086111111108</v>
      </c>
      <c r="Z706" s="168">
        <f t="shared" si="171"/>
        <v>0.20347222221607808</v>
      </c>
      <c r="AA706" s="169">
        <f t="shared" si="172"/>
        <v>0.20833333333333334</v>
      </c>
      <c r="AB706" s="170" t="str">
        <f t="shared" si="173"/>
        <v>00:07:00</v>
      </c>
      <c r="AC706" s="170" t="b">
        <f t="shared" si="174"/>
        <v>1</v>
      </c>
    </row>
    <row r="707" spans="1:29" s="128" customFormat="1" ht="9.75" hidden="1" customHeight="1" x14ac:dyDescent="0.3">
      <c r="A707" s="99">
        <v>46249</v>
      </c>
      <c r="B707" s="59">
        <v>8174663</v>
      </c>
      <c r="C707" s="60" t="s">
        <v>42</v>
      </c>
      <c r="D707" s="60" t="s">
        <v>181</v>
      </c>
      <c r="E707" s="61">
        <v>0.875</v>
      </c>
      <c r="F707" s="60" t="s">
        <v>55</v>
      </c>
      <c r="G707" s="71" t="s">
        <v>13</v>
      </c>
      <c r="H707" s="62">
        <v>0.67569444444444449</v>
      </c>
      <c r="I707" s="113" t="str">
        <f t="shared" si="160"/>
        <v>15-08-2026T16:13:00</v>
      </c>
      <c r="J707" s="62">
        <v>0.72777777777777775</v>
      </c>
      <c r="K707" s="62"/>
      <c r="L707" s="63">
        <f t="shared" si="168"/>
        <v>5.2083333333333259E-2</v>
      </c>
      <c r="M707" s="64">
        <v>6.25E-2</v>
      </c>
      <c r="N707" s="65" t="str">
        <f t="shared" si="169"/>
        <v>00:15:00</v>
      </c>
      <c r="O707" s="66"/>
      <c r="P707" s="124"/>
      <c r="Q707" s="67"/>
      <c r="R707" s="68"/>
      <c r="S707" s="68"/>
      <c r="T707" s="69">
        <v>0</v>
      </c>
      <c r="U707" s="61"/>
      <c r="V707" s="83">
        <v>0</v>
      </c>
      <c r="W707" s="61">
        <f t="shared" si="170"/>
        <v>0</v>
      </c>
      <c r="X707" s="171">
        <v>46249.675694444442</v>
      </c>
      <c r="Y707" s="171">
        <v>46249.727777777778</v>
      </c>
      <c r="Z707" s="168">
        <f t="shared" si="171"/>
        <v>5.2083333335758653E-2</v>
      </c>
      <c r="AA707" s="169">
        <f t="shared" si="172"/>
        <v>6.25E-2</v>
      </c>
      <c r="AB707" s="170" t="str">
        <f t="shared" si="173"/>
        <v>00:15:00</v>
      </c>
      <c r="AC707" s="170" t="b">
        <f t="shared" si="174"/>
        <v>1</v>
      </c>
    </row>
    <row r="708" spans="1:29" s="128" customFormat="1" ht="9.75" hidden="1" customHeight="1" x14ac:dyDescent="0.3">
      <c r="A708" s="99">
        <v>46249</v>
      </c>
      <c r="B708" s="59">
        <v>8175238</v>
      </c>
      <c r="C708" s="60" t="s">
        <v>57</v>
      </c>
      <c r="D708" s="60" t="s">
        <v>370</v>
      </c>
      <c r="E708" s="61">
        <v>0.875</v>
      </c>
      <c r="F708" s="60" t="s">
        <v>24</v>
      </c>
      <c r="G708" s="71" t="s">
        <v>13</v>
      </c>
      <c r="H708" s="62">
        <v>0.87708333333333333</v>
      </c>
      <c r="I708" s="113" t="str">
        <f t="shared" ref="I708:I771" si="175">TEXT(A708,"dd-mm-yyyy")&amp;"T"&amp;TEXT(H708,"hh:mm:ss")</f>
        <v>15-08-2026T21:03:00</v>
      </c>
      <c r="J708" s="62">
        <v>0.95625000000000004</v>
      </c>
      <c r="K708" s="62"/>
      <c r="L708" s="63">
        <f t="shared" si="168"/>
        <v>7.9166666666666718E-2</v>
      </c>
      <c r="M708" s="64">
        <v>8.3333333333333329E-2</v>
      </c>
      <c r="N708" s="65" t="str">
        <f t="shared" si="169"/>
        <v>00:06:00</v>
      </c>
      <c r="O708" s="66"/>
      <c r="P708" s="124"/>
      <c r="Q708" s="67"/>
      <c r="R708" s="68"/>
      <c r="S708" s="68"/>
      <c r="T708" s="69">
        <v>0</v>
      </c>
      <c r="U708" s="61" t="s">
        <v>234</v>
      </c>
      <c r="V708" s="83">
        <v>0</v>
      </c>
      <c r="W708" s="61">
        <f t="shared" si="170"/>
        <v>0</v>
      </c>
      <c r="X708" s="171">
        <v>46249.877083333333</v>
      </c>
      <c r="Y708" s="171">
        <v>46249.956250000003</v>
      </c>
      <c r="Z708" s="168">
        <f t="shared" si="171"/>
        <v>7.9166666670062114E-2</v>
      </c>
      <c r="AA708" s="169">
        <f t="shared" si="172"/>
        <v>8.3333333333333329E-2</v>
      </c>
      <c r="AB708" s="170" t="str">
        <f t="shared" si="173"/>
        <v>00:06:00</v>
      </c>
      <c r="AC708" s="170" t="b">
        <f t="shared" si="174"/>
        <v>1</v>
      </c>
    </row>
    <row r="709" spans="1:29" s="128" customFormat="1" ht="9.75" hidden="1" customHeight="1" x14ac:dyDescent="0.3">
      <c r="A709" s="99">
        <v>46249</v>
      </c>
      <c r="B709" s="59">
        <v>8174075</v>
      </c>
      <c r="C709" s="60" t="s">
        <v>54</v>
      </c>
      <c r="D709" s="60" t="s">
        <v>288</v>
      </c>
      <c r="E709" s="61">
        <v>0.875</v>
      </c>
      <c r="F709" s="60" t="s">
        <v>24</v>
      </c>
      <c r="G709" s="71" t="s">
        <v>13</v>
      </c>
      <c r="H709" s="62">
        <v>0.48194444444444445</v>
      </c>
      <c r="I709" s="113" t="str">
        <f t="shared" si="175"/>
        <v>15-08-2026T11:34:00</v>
      </c>
      <c r="J709" s="62">
        <v>0.55625000000000002</v>
      </c>
      <c r="K709" s="62"/>
      <c r="L709" s="63">
        <f t="shared" si="168"/>
        <v>7.4305555555555569E-2</v>
      </c>
      <c r="M709" s="64">
        <v>8.3333333333333329E-2</v>
      </c>
      <c r="N709" s="65" t="str">
        <f t="shared" si="169"/>
        <v>00:13:00</v>
      </c>
      <c r="O709" s="66"/>
      <c r="P709" s="124"/>
      <c r="Q709" s="67"/>
      <c r="R709" s="68"/>
      <c r="S709" s="68"/>
      <c r="T709" s="69">
        <v>0</v>
      </c>
      <c r="U709" s="61"/>
      <c r="V709" s="83">
        <v>0</v>
      </c>
      <c r="W709" s="61">
        <f t="shared" si="170"/>
        <v>0</v>
      </c>
      <c r="X709" s="171">
        <v>46249.481944444444</v>
      </c>
      <c r="Y709" s="171">
        <v>46249.556250000001</v>
      </c>
      <c r="Z709" s="168">
        <f t="shared" si="171"/>
        <v>7.4305555557657499E-2</v>
      </c>
      <c r="AA709" s="169">
        <f t="shared" si="172"/>
        <v>8.3333333333333329E-2</v>
      </c>
      <c r="AB709" s="170" t="str">
        <f t="shared" si="173"/>
        <v>00:13:00</v>
      </c>
      <c r="AC709" s="170" t="b">
        <f t="shared" si="174"/>
        <v>1</v>
      </c>
    </row>
    <row r="710" spans="1:29" s="128" customFormat="1" ht="9.75" hidden="1" customHeight="1" x14ac:dyDescent="0.3">
      <c r="A710" s="99">
        <v>46249</v>
      </c>
      <c r="B710" s="59">
        <v>8175449</v>
      </c>
      <c r="C710" s="60" t="s">
        <v>41</v>
      </c>
      <c r="D710" s="60" t="s">
        <v>299</v>
      </c>
      <c r="E710" s="61">
        <v>0.99930555555555556</v>
      </c>
      <c r="F710" s="60" t="s">
        <v>24</v>
      </c>
      <c r="G710" s="71" t="s">
        <v>13</v>
      </c>
      <c r="H710" s="62">
        <v>46249.98541666667</v>
      </c>
      <c r="I710" s="113" t="str">
        <f t="shared" si="175"/>
        <v>15-08-2026T23:39:00</v>
      </c>
      <c r="J710" s="62">
        <v>46250.058333333334</v>
      </c>
      <c r="K710" s="62"/>
      <c r="L710" s="63">
        <f t="shared" si="168"/>
        <v>7.2916666664241347E-2</v>
      </c>
      <c r="M710" s="64">
        <v>8.3333333333333329E-2</v>
      </c>
      <c r="N710" s="65" t="str">
        <f t="shared" si="169"/>
        <v>00:15:00</v>
      </c>
      <c r="O710" s="66"/>
      <c r="P710" s="124"/>
      <c r="Q710" s="67"/>
      <c r="R710" s="68"/>
      <c r="S710" s="68"/>
      <c r="T710" s="69">
        <v>0</v>
      </c>
      <c r="U710" s="61"/>
      <c r="V710" s="83">
        <v>0</v>
      </c>
      <c r="W710" s="61">
        <f t="shared" si="170"/>
        <v>0</v>
      </c>
      <c r="X710" s="171">
        <v>46249.98541666667</v>
      </c>
      <c r="Y710" s="171">
        <v>46250.058333333334</v>
      </c>
      <c r="Z710" s="168">
        <f t="shared" si="171"/>
        <v>7.2916666664241347E-2</v>
      </c>
      <c r="AA710" s="169">
        <f t="shared" si="172"/>
        <v>8.3333333333333329E-2</v>
      </c>
      <c r="AB710" s="170" t="str">
        <f t="shared" si="173"/>
        <v>00:15:00</v>
      </c>
      <c r="AC710" s="170" t="b">
        <f t="shared" si="174"/>
        <v>1</v>
      </c>
    </row>
    <row r="711" spans="1:29" s="128" customFormat="1" ht="9.75" hidden="1" customHeight="1" x14ac:dyDescent="0.3">
      <c r="A711" s="99">
        <v>46249</v>
      </c>
      <c r="B711" s="59">
        <v>8175394</v>
      </c>
      <c r="C711" s="60" t="s">
        <v>46</v>
      </c>
      <c r="D711" s="60" t="s">
        <v>374</v>
      </c>
      <c r="E711" s="61">
        <v>0.95833333333333337</v>
      </c>
      <c r="F711" s="60" t="s">
        <v>173</v>
      </c>
      <c r="G711" s="71" t="s">
        <v>13</v>
      </c>
      <c r="H711" s="62">
        <v>46249.95208333333</v>
      </c>
      <c r="I711" s="113" t="str">
        <f t="shared" si="175"/>
        <v>15-08-2026T22:51:00</v>
      </c>
      <c r="J711" s="62">
        <v>46251.822222222225</v>
      </c>
      <c r="K711" s="62"/>
      <c r="L711" s="63">
        <f t="shared" si="168"/>
        <v>1.8701388888948713</v>
      </c>
      <c r="M711" s="64">
        <v>1.9166666666666667</v>
      </c>
      <c r="N711" s="65" t="str">
        <f t="shared" si="169"/>
        <v>01:07:00</v>
      </c>
      <c r="O711" s="66"/>
      <c r="P711" s="124"/>
      <c r="Q711" s="67" t="s">
        <v>96</v>
      </c>
      <c r="R711" s="68">
        <v>46250.095138888886</v>
      </c>
      <c r="S711" s="68">
        <v>46250.107638888891</v>
      </c>
      <c r="T711" s="69">
        <f>S711-R711</f>
        <v>1.2500000004365575E-2</v>
      </c>
      <c r="U711" s="61"/>
      <c r="V711" s="83">
        <v>8.3333333333333329E-2</v>
      </c>
      <c r="W711" s="61">
        <f t="shared" si="170"/>
        <v>-7.0833333328967754E-2</v>
      </c>
      <c r="X711" s="171">
        <v>46249.95208333333</v>
      </c>
      <c r="Y711" s="171">
        <v>46251.822222222225</v>
      </c>
      <c r="Z711" s="168">
        <f t="shared" si="171"/>
        <v>1.8701388888948713</v>
      </c>
      <c r="AA711" s="169">
        <f t="shared" si="172"/>
        <v>1.9166666666666667</v>
      </c>
      <c r="AB711" s="170" t="str">
        <f t="shared" si="173"/>
        <v>01:07:00</v>
      </c>
      <c r="AC711" s="170" t="b">
        <f t="shared" si="174"/>
        <v>1</v>
      </c>
    </row>
    <row r="712" spans="1:29" s="128" customFormat="1" ht="9.75" customHeight="1" x14ac:dyDescent="0.3">
      <c r="A712" s="99">
        <v>46249</v>
      </c>
      <c r="B712" s="59">
        <v>8172877</v>
      </c>
      <c r="C712" s="60" t="s">
        <v>90</v>
      </c>
      <c r="D712" s="60" t="s">
        <v>290</v>
      </c>
      <c r="E712" s="61">
        <v>0.99930555555555556</v>
      </c>
      <c r="F712" s="60" t="s">
        <v>13</v>
      </c>
      <c r="G712" s="71" t="s">
        <v>15</v>
      </c>
      <c r="H712" s="62">
        <v>1.0416666666666666E-2</v>
      </c>
      <c r="I712" s="113" t="str">
        <f t="shared" si="175"/>
        <v>15-08-2026T00:15:00</v>
      </c>
      <c r="J712" s="62">
        <v>0.2673611111111111</v>
      </c>
      <c r="K712" s="113" t="str">
        <f t="shared" ref="K712:K714" si="176">TEXT(A712,"dd-mm-yyyy")&amp;"T"&amp;TEXT(J712,"hh:mm:ss")</f>
        <v>15-08-2026T06:25:00</v>
      </c>
      <c r="L712" s="63">
        <f t="shared" si="168"/>
        <v>0.25694444444444442</v>
      </c>
      <c r="M712" s="64">
        <v>0.27083333333333331</v>
      </c>
      <c r="N712" s="65" t="str">
        <f t="shared" si="169"/>
        <v>00:20:00</v>
      </c>
      <c r="O712" s="66"/>
      <c r="P712" s="124"/>
      <c r="Q712" s="67" t="s">
        <v>13</v>
      </c>
      <c r="R712" s="68">
        <v>2.2222222222222223E-2</v>
      </c>
      <c r="S712" s="68">
        <v>3.4722222222222224E-2</v>
      </c>
      <c r="T712" s="69">
        <f>S712-R712</f>
        <v>1.2500000000000001E-2</v>
      </c>
      <c r="U712" s="61"/>
      <c r="V712" s="83">
        <v>8.3333333333333329E-2</v>
      </c>
      <c r="W712" s="61">
        <f t="shared" si="170"/>
        <v>-7.0833333333333331E-2</v>
      </c>
      <c r="X712" s="171">
        <v>46249.010416666664</v>
      </c>
      <c r="Y712" s="171">
        <v>46249.267361111109</v>
      </c>
      <c r="Z712" s="168">
        <f t="shared" si="171"/>
        <v>0.25694444444525288</v>
      </c>
      <c r="AA712" s="169">
        <f t="shared" si="172"/>
        <v>0.27083333333333331</v>
      </c>
      <c r="AB712" s="170" t="str">
        <f t="shared" si="173"/>
        <v>00:20:00</v>
      </c>
      <c r="AC712" s="170" t="b">
        <f t="shared" si="174"/>
        <v>1</v>
      </c>
    </row>
    <row r="713" spans="1:29" s="128" customFormat="1" ht="9.75" hidden="1" customHeight="1" x14ac:dyDescent="0.3">
      <c r="A713" s="99">
        <v>46249</v>
      </c>
      <c r="B713" s="59">
        <v>8173957</v>
      </c>
      <c r="C713" s="60" t="s">
        <v>90</v>
      </c>
      <c r="D713" s="60" t="s">
        <v>290</v>
      </c>
      <c r="E713" s="61">
        <v>0.99930555555555556</v>
      </c>
      <c r="F713" s="60" t="s">
        <v>15</v>
      </c>
      <c r="G713" s="71" t="s">
        <v>13</v>
      </c>
      <c r="H713" s="62">
        <v>0.44097222222222221</v>
      </c>
      <c r="I713" s="113" t="str">
        <f t="shared" si="175"/>
        <v>15-08-2026T10:35:00</v>
      </c>
      <c r="J713" s="62">
        <v>0.64583333333333337</v>
      </c>
      <c r="K713" s="113" t="str">
        <f t="shared" si="176"/>
        <v>15-08-2026T15:30:00</v>
      </c>
      <c r="L713" s="63">
        <f t="shared" si="168"/>
        <v>0.20486111111111116</v>
      </c>
      <c r="M713" s="64">
        <v>0.20833333333333334</v>
      </c>
      <c r="N713" s="65" t="str">
        <f t="shared" si="169"/>
        <v>00:05:00</v>
      </c>
      <c r="O713" s="66"/>
      <c r="P713" s="124" t="s">
        <v>455</v>
      </c>
      <c r="Q713" s="67"/>
      <c r="R713" s="68"/>
      <c r="S713" s="68"/>
      <c r="T713" s="69">
        <v>0</v>
      </c>
      <c r="U713" s="61"/>
      <c r="V713" s="83">
        <v>0</v>
      </c>
      <c r="W713" s="61">
        <f t="shared" si="170"/>
        <v>0</v>
      </c>
      <c r="X713" s="171">
        <v>46249.440972222219</v>
      </c>
      <c r="Y713" s="171">
        <v>46249.645833333336</v>
      </c>
      <c r="Z713" s="168">
        <f t="shared" si="171"/>
        <v>0.20486111111677019</v>
      </c>
      <c r="AA713" s="169">
        <f t="shared" si="172"/>
        <v>0.20833333333333334</v>
      </c>
      <c r="AB713" s="170" t="str">
        <f t="shared" si="173"/>
        <v>00:05:00</v>
      </c>
      <c r="AC713" s="170" t="b">
        <f t="shared" si="174"/>
        <v>1</v>
      </c>
    </row>
    <row r="714" spans="1:29" s="128" customFormat="1" ht="9.75" customHeight="1" x14ac:dyDescent="0.3">
      <c r="A714" s="99">
        <v>46249</v>
      </c>
      <c r="B714" s="59">
        <v>8175481</v>
      </c>
      <c r="C714" s="60" t="s">
        <v>90</v>
      </c>
      <c r="D714" s="60" t="s">
        <v>290</v>
      </c>
      <c r="E714" s="61">
        <v>0.99930555555555556</v>
      </c>
      <c r="F714" s="60" t="s">
        <v>13</v>
      </c>
      <c r="G714" s="71" t="s">
        <v>15</v>
      </c>
      <c r="H714" s="62">
        <v>46249.998611111114</v>
      </c>
      <c r="I714" s="113" t="str">
        <f t="shared" si="175"/>
        <v>15-08-2026T23:58:00</v>
      </c>
      <c r="J714" s="62">
        <v>46250.248611111114</v>
      </c>
      <c r="K714" s="113" t="str">
        <f t="shared" si="176"/>
        <v>15-08-2026T05:58:00</v>
      </c>
      <c r="L714" s="63">
        <f t="shared" si="168"/>
        <v>0.25</v>
      </c>
      <c r="M714" s="64">
        <v>0.27083333333333331</v>
      </c>
      <c r="N714" s="65" t="str">
        <f t="shared" si="169"/>
        <v>00:30:00</v>
      </c>
      <c r="O714" s="66"/>
      <c r="P714" s="124"/>
      <c r="Q714" s="67" t="s">
        <v>13</v>
      </c>
      <c r="R714" s="68">
        <v>1.8749999999999999E-2</v>
      </c>
      <c r="S714" s="68">
        <v>4.1666666666666664E-2</v>
      </c>
      <c r="T714" s="69">
        <f>S714-R714</f>
        <v>2.2916666666666665E-2</v>
      </c>
      <c r="U714" s="61" t="s">
        <v>234</v>
      </c>
      <c r="V714" s="83">
        <v>8.3333333333333329E-2</v>
      </c>
      <c r="W714" s="61">
        <f t="shared" si="170"/>
        <v>-6.041666666666666E-2</v>
      </c>
      <c r="X714" s="171">
        <v>46249.998611111114</v>
      </c>
      <c r="Y714" s="171">
        <v>46250.248611111114</v>
      </c>
      <c r="Z714" s="168">
        <f t="shared" si="171"/>
        <v>0.25</v>
      </c>
      <c r="AA714" s="169">
        <f t="shared" si="172"/>
        <v>0.27083333333333331</v>
      </c>
      <c r="AB714" s="170" t="str">
        <f t="shared" si="173"/>
        <v>00:30:00</v>
      </c>
      <c r="AC714" s="170" t="b">
        <f t="shared" si="174"/>
        <v>1</v>
      </c>
    </row>
    <row r="715" spans="1:29" s="128" customFormat="1" ht="9.75" hidden="1" customHeight="1" x14ac:dyDescent="0.3">
      <c r="A715" s="99">
        <v>46249</v>
      </c>
      <c r="B715" s="59">
        <v>8175483</v>
      </c>
      <c r="C715" s="60" t="s">
        <v>52</v>
      </c>
      <c r="D715" s="60" t="s">
        <v>616</v>
      </c>
      <c r="E715" s="61">
        <v>0.99930555555555556</v>
      </c>
      <c r="F715" s="60" t="s">
        <v>15</v>
      </c>
      <c r="G715" s="71" t="s">
        <v>13</v>
      </c>
      <c r="H715" s="62">
        <v>46249.999305555553</v>
      </c>
      <c r="I715" s="113" t="str">
        <f t="shared" si="175"/>
        <v>15-08-2026T23:59:00</v>
      </c>
      <c r="J715" s="62">
        <v>46250.201388888891</v>
      </c>
      <c r="K715" s="62"/>
      <c r="L715" s="63">
        <f t="shared" si="168"/>
        <v>0.20208333333721384</v>
      </c>
      <c r="M715" s="64">
        <v>0.20833333333333334</v>
      </c>
      <c r="N715" s="65" t="str">
        <f t="shared" si="169"/>
        <v>00:09:00</v>
      </c>
      <c r="O715" s="66"/>
      <c r="P715" s="124"/>
      <c r="Q715" s="67"/>
      <c r="R715" s="68"/>
      <c r="S715" s="68"/>
      <c r="T715" s="69">
        <f>S715-R715</f>
        <v>0</v>
      </c>
      <c r="U715" s="61" t="s">
        <v>234</v>
      </c>
      <c r="V715" s="83">
        <v>0</v>
      </c>
      <c r="W715" s="61">
        <f t="shared" si="170"/>
        <v>0</v>
      </c>
      <c r="X715" s="171">
        <v>46249.999305555553</v>
      </c>
      <c r="Y715" s="171">
        <v>46250.201388888891</v>
      </c>
      <c r="Z715" s="168">
        <f t="shared" si="171"/>
        <v>0.20208333333721384</v>
      </c>
      <c r="AA715" s="169">
        <f t="shared" si="172"/>
        <v>0.20833333333333334</v>
      </c>
      <c r="AB715" s="170" t="str">
        <f t="shared" si="173"/>
        <v>00:09:00</v>
      </c>
      <c r="AC715" s="170" t="b">
        <f t="shared" si="174"/>
        <v>1</v>
      </c>
    </row>
    <row r="716" spans="1:29" s="127" customFormat="1" ht="9.75" hidden="1" customHeight="1" x14ac:dyDescent="0.3">
      <c r="A716" s="98">
        <v>46249</v>
      </c>
      <c r="B716" s="48">
        <v>8173747</v>
      </c>
      <c r="C716" s="49" t="s">
        <v>307</v>
      </c>
      <c r="D716" s="49" t="s">
        <v>464</v>
      </c>
      <c r="E716" s="50" t="s">
        <v>184</v>
      </c>
      <c r="F716" s="49" t="s">
        <v>13</v>
      </c>
      <c r="G716" s="70" t="s">
        <v>666</v>
      </c>
      <c r="H716" s="51">
        <v>0.31736111111111109</v>
      </c>
      <c r="I716" s="113" t="str">
        <f t="shared" si="175"/>
        <v>15-08-2026T07:37:00</v>
      </c>
      <c r="J716" s="51">
        <v>46250.104166666664</v>
      </c>
      <c r="K716" s="51"/>
      <c r="L716" s="52">
        <f t="shared" si="168"/>
        <v>46249.786805555552</v>
      </c>
      <c r="M716" s="53">
        <v>0.75</v>
      </c>
      <c r="N716" s="54" t="str">
        <f t="shared" si="169"/>
        <v>-00:53:00</v>
      </c>
      <c r="O716" s="55"/>
      <c r="P716" s="125" t="s">
        <v>184</v>
      </c>
      <c r="Q716" s="56" t="s">
        <v>587</v>
      </c>
      <c r="R716" s="57">
        <v>46250</v>
      </c>
      <c r="S716" s="57">
        <v>46250.0625</v>
      </c>
      <c r="T716" s="58">
        <f>S716-R716</f>
        <v>6.25E-2</v>
      </c>
      <c r="U716" s="50" t="s">
        <v>234</v>
      </c>
      <c r="V716" s="74" t="s">
        <v>393</v>
      </c>
      <c r="W716" s="50" t="e">
        <f t="shared" si="170"/>
        <v>#VALUE!</v>
      </c>
      <c r="X716" s="171">
        <v>46249.317361111112</v>
      </c>
      <c r="Y716" s="171">
        <v>46250.104166666664</v>
      </c>
      <c r="Z716" s="168">
        <f t="shared" si="171"/>
        <v>0.78680555555183673</v>
      </c>
      <c r="AA716" s="169">
        <f t="shared" si="172"/>
        <v>0.75</v>
      </c>
      <c r="AB716" s="170" t="str">
        <f t="shared" si="173"/>
        <v>-00:53:00</v>
      </c>
      <c r="AC716" s="170" t="b">
        <f t="shared" si="174"/>
        <v>1</v>
      </c>
    </row>
    <row r="717" spans="1:29" s="127" customFormat="1" ht="9.75" hidden="1" customHeight="1" x14ac:dyDescent="0.3">
      <c r="A717" s="98">
        <v>46250</v>
      </c>
      <c r="B717" s="48">
        <v>8175560</v>
      </c>
      <c r="C717" s="49" t="s">
        <v>25</v>
      </c>
      <c r="D717" s="49" t="s">
        <v>379</v>
      </c>
      <c r="E717" s="50">
        <v>6.25E-2</v>
      </c>
      <c r="F717" s="49" t="s">
        <v>13</v>
      </c>
      <c r="G717" s="70" t="s">
        <v>26</v>
      </c>
      <c r="H717" s="51">
        <v>7.0833333333333331E-2</v>
      </c>
      <c r="I717" s="113" t="str">
        <f t="shared" si="175"/>
        <v>16-08-2026T01:42:00</v>
      </c>
      <c r="J717" s="51">
        <v>0.5625</v>
      </c>
      <c r="K717" s="51"/>
      <c r="L717" s="52">
        <f t="shared" si="168"/>
        <v>0.4916666666666667</v>
      </c>
      <c r="M717" s="53">
        <v>0.41666666666666669</v>
      </c>
      <c r="N717" s="54" t="str">
        <f t="shared" si="169"/>
        <v>-01:48:00</v>
      </c>
      <c r="O717" s="55">
        <v>500</v>
      </c>
      <c r="P717" s="147" t="s">
        <v>125</v>
      </c>
      <c r="Q717" s="56" t="s">
        <v>312</v>
      </c>
      <c r="R717" s="57">
        <v>0.29166666666666669</v>
      </c>
      <c r="S717" s="57">
        <v>0.38055555555555554</v>
      </c>
      <c r="T717" s="47">
        <f>S717-R717</f>
        <v>8.8888888888888851E-2</v>
      </c>
      <c r="U717" s="50"/>
      <c r="V717" s="74">
        <v>4.1666666666666664E-2</v>
      </c>
      <c r="W717" s="50">
        <f t="shared" si="170"/>
        <v>4.7222222222222186E-2</v>
      </c>
      <c r="X717" s="171">
        <v>46250.070833333331</v>
      </c>
      <c r="Y717" s="171">
        <v>46250.5625</v>
      </c>
      <c r="Z717" s="168">
        <f t="shared" si="171"/>
        <v>0.49166666666860692</v>
      </c>
      <c r="AA717" s="169">
        <f t="shared" si="172"/>
        <v>0.41666666666666669</v>
      </c>
      <c r="AB717" s="170" t="str">
        <f t="shared" si="173"/>
        <v>-01:48:00</v>
      </c>
      <c r="AC717" s="170" t="b">
        <f t="shared" si="174"/>
        <v>1</v>
      </c>
    </row>
    <row r="718" spans="1:29" s="128" customFormat="1" ht="9.75" hidden="1" customHeight="1" x14ac:dyDescent="0.3">
      <c r="A718" s="99">
        <v>46250</v>
      </c>
      <c r="B718" s="59">
        <v>8175607</v>
      </c>
      <c r="C718" s="60" t="s">
        <v>18</v>
      </c>
      <c r="D718" s="60" t="s">
        <v>389</v>
      </c>
      <c r="E718" s="61">
        <v>8.3333333333333329E-2</v>
      </c>
      <c r="F718" s="60" t="s">
        <v>13</v>
      </c>
      <c r="G718" s="71" t="s">
        <v>19</v>
      </c>
      <c r="H718" s="62">
        <v>8.4722222222222227E-2</v>
      </c>
      <c r="I718" s="113" t="str">
        <f t="shared" si="175"/>
        <v>16-08-2026T02:02:00</v>
      </c>
      <c r="J718" s="62">
        <v>0.5</v>
      </c>
      <c r="K718" s="62"/>
      <c r="L718" s="63">
        <f t="shared" si="168"/>
        <v>0.41527777777777775</v>
      </c>
      <c r="M718" s="64">
        <v>0.41666666666666669</v>
      </c>
      <c r="N718" s="65" t="str">
        <f t="shared" si="169"/>
        <v>00:02:00</v>
      </c>
      <c r="O718" s="66"/>
      <c r="P718" s="124" t="s">
        <v>455</v>
      </c>
      <c r="Q718" s="67" t="s">
        <v>229</v>
      </c>
      <c r="R718" s="68">
        <v>0.35416666666666669</v>
      </c>
      <c r="S718" s="68">
        <v>0.40277777777777779</v>
      </c>
      <c r="T718" s="69">
        <f>S718-R718</f>
        <v>4.8611111111111105E-2</v>
      </c>
      <c r="U718" s="61"/>
      <c r="V718" s="83">
        <v>6.25E-2</v>
      </c>
      <c r="W718" s="61">
        <f t="shared" si="170"/>
        <v>-1.3888888888888895E-2</v>
      </c>
      <c r="X718" s="171">
        <v>46250.084722222222</v>
      </c>
      <c r="Y718" s="171">
        <v>46250.5</v>
      </c>
      <c r="Z718" s="168">
        <f t="shared" si="171"/>
        <v>0.41527777777810115</v>
      </c>
      <c r="AA718" s="169">
        <f t="shared" si="172"/>
        <v>0.41666666666666669</v>
      </c>
      <c r="AB718" s="170" t="str">
        <f t="shared" si="173"/>
        <v>00:02:00</v>
      </c>
      <c r="AC718" s="170" t="b">
        <f t="shared" si="174"/>
        <v>1</v>
      </c>
    </row>
    <row r="719" spans="1:29" s="128" customFormat="1" ht="9.75" hidden="1" customHeight="1" x14ac:dyDescent="0.3">
      <c r="A719" s="99">
        <v>46250</v>
      </c>
      <c r="B719" s="59">
        <v>8175601</v>
      </c>
      <c r="C719" s="60" t="s">
        <v>29</v>
      </c>
      <c r="D719" s="60" t="s">
        <v>373</v>
      </c>
      <c r="E719" s="61">
        <v>8.3333333333333329E-2</v>
      </c>
      <c r="F719" s="60" t="s">
        <v>15</v>
      </c>
      <c r="G719" s="71" t="s">
        <v>17</v>
      </c>
      <c r="H719" s="62">
        <v>8.3333333333333329E-2</v>
      </c>
      <c r="I719" s="113" t="str">
        <f t="shared" si="175"/>
        <v>16-08-2026T02:00:00</v>
      </c>
      <c r="J719" s="62">
        <v>0.48819444444444443</v>
      </c>
      <c r="K719" s="62"/>
      <c r="L719" s="63">
        <f t="shared" si="168"/>
        <v>0.40486111111111112</v>
      </c>
      <c r="M719" s="64">
        <v>0.41666666666666669</v>
      </c>
      <c r="N719" s="65" t="str">
        <f t="shared" si="169"/>
        <v>00:17:00</v>
      </c>
      <c r="O719" s="66"/>
      <c r="P719" s="124"/>
      <c r="Q719" s="67"/>
      <c r="R719" s="68"/>
      <c r="S719" s="68"/>
      <c r="T719" s="69">
        <v>0</v>
      </c>
      <c r="U719" s="61"/>
      <c r="V719" s="83">
        <v>0</v>
      </c>
      <c r="W719" s="61">
        <f t="shared" si="170"/>
        <v>0</v>
      </c>
      <c r="X719" s="171">
        <v>8.3333333333333329E-2</v>
      </c>
      <c r="Y719" s="171">
        <v>0.48819444444444443</v>
      </c>
      <c r="Z719" s="168">
        <f t="shared" si="171"/>
        <v>0.40486111111111112</v>
      </c>
      <c r="AA719" s="169">
        <f t="shared" si="172"/>
        <v>0.41666666666666669</v>
      </c>
      <c r="AB719" s="170" t="str">
        <f t="shared" si="173"/>
        <v>00:17:00</v>
      </c>
      <c r="AC719" s="170" t="b">
        <f t="shared" si="174"/>
        <v>1</v>
      </c>
    </row>
    <row r="720" spans="1:29" ht="9.75" hidden="1" customHeight="1" x14ac:dyDescent="0.3">
      <c r="A720" s="149">
        <v>46249</v>
      </c>
      <c r="B720" s="150" t="s">
        <v>667</v>
      </c>
      <c r="C720" s="151" t="s">
        <v>94</v>
      </c>
      <c r="D720" s="151" t="s">
        <v>293</v>
      </c>
      <c r="E720" s="152">
        <v>0</v>
      </c>
      <c r="F720" s="151"/>
      <c r="G720" s="153"/>
      <c r="H720" s="154">
        <v>0</v>
      </c>
      <c r="I720" s="113" t="str">
        <f t="shared" si="175"/>
        <v>15-08-2026T00:00:00</v>
      </c>
      <c r="J720" s="154">
        <v>0</v>
      </c>
      <c r="K720" s="154"/>
      <c r="L720" s="155">
        <v>0</v>
      </c>
      <c r="M720" s="160">
        <v>0</v>
      </c>
      <c r="N720" s="156">
        <v>0</v>
      </c>
      <c r="O720" s="157"/>
      <c r="P720" s="158" t="s">
        <v>480</v>
      </c>
      <c r="Q720" s="159" t="s">
        <v>480</v>
      </c>
      <c r="R720" s="148" t="s">
        <v>480</v>
      </c>
      <c r="S720" s="148" t="s">
        <v>480</v>
      </c>
      <c r="T720" s="161" t="s">
        <v>480</v>
      </c>
      <c r="U720" s="152" t="s">
        <v>480</v>
      </c>
      <c r="V720" s="146" t="s">
        <v>480</v>
      </c>
      <c r="W720" s="152" t="s">
        <v>480</v>
      </c>
      <c r="X720" s="171" t="s">
        <v>668</v>
      </c>
      <c r="Y720" s="171" t="s">
        <v>668</v>
      </c>
      <c r="Z720" s="168" t="e">
        <f t="shared" si="171"/>
        <v>#VALUE!</v>
      </c>
      <c r="AA720" s="169">
        <f t="shared" si="172"/>
        <v>0</v>
      </c>
      <c r="AB720" s="170" t="e">
        <f t="shared" si="173"/>
        <v>#VALUE!</v>
      </c>
      <c r="AC720" s="170" t="e">
        <f t="shared" si="174"/>
        <v>#VALUE!</v>
      </c>
    </row>
    <row r="721" spans="1:29" s="128" customFormat="1" ht="9.75" hidden="1" customHeight="1" x14ac:dyDescent="0.3">
      <c r="A721" s="99">
        <v>46250</v>
      </c>
      <c r="B721" s="59">
        <v>8175669</v>
      </c>
      <c r="C721" s="60" t="s">
        <v>94</v>
      </c>
      <c r="D721" s="60" t="s">
        <v>293</v>
      </c>
      <c r="E721" s="61">
        <v>0.125</v>
      </c>
      <c r="F721" s="60" t="s">
        <v>23</v>
      </c>
      <c r="G721" s="71" t="s">
        <v>13</v>
      </c>
      <c r="H721" s="62">
        <v>0.12152777777777778</v>
      </c>
      <c r="I721" s="113" t="str">
        <f t="shared" si="175"/>
        <v>16-08-2026T02:55:00</v>
      </c>
      <c r="J721" s="62">
        <v>46251.260416666664</v>
      </c>
      <c r="K721" s="62"/>
      <c r="L721" s="63">
        <f t="shared" ref="L721:L752" si="177">J721-H721</f>
        <v>46251.138888888883</v>
      </c>
      <c r="M721" s="64">
        <v>1.0833333333333333</v>
      </c>
      <c r="N721" s="65" t="str">
        <f t="shared" ref="N721:N752" si="178">IF(M721-L721&gt;0,TEXT(M721-L721,"HH:MM:SS"),TEXT(ABS(M721-L721),"-HH:MM:SS"))</f>
        <v>-01:20:00</v>
      </c>
      <c r="O721" s="66"/>
      <c r="P721" s="124" t="s">
        <v>569</v>
      </c>
      <c r="Q721" s="67" t="s">
        <v>13</v>
      </c>
      <c r="R721" s="68">
        <v>46251.232638888891</v>
      </c>
      <c r="S721" s="68">
        <v>46251.255555555559</v>
      </c>
      <c r="T721" s="69">
        <f>S721-R721</f>
        <v>2.2916666668606922E-2</v>
      </c>
      <c r="U721" s="61"/>
      <c r="V721" s="83">
        <v>8.3333333333333329E-2</v>
      </c>
      <c r="W721" s="61">
        <f t="shared" ref="W721:W752" si="179">T721-V721</f>
        <v>-6.0416666664726407E-2</v>
      </c>
      <c r="X721" s="172">
        <v>46250.121527777781</v>
      </c>
      <c r="Y721" s="172">
        <v>46251.260416666664</v>
      </c>
      <c r="Z721" s="173">
        <f t="shared" si="171"/>
        <v>1.1388888888832298</v>
      </c>
      <c r="AA721" s="174">
        <f t="shared" si="172"/>
        <v>1.0833333333333333</v>
      </c>
      <c r="AB721" s="175" t="str">
        <f t="shared" si="173"/>
        <v>-01:20:00</v>
      </c>
      <c r="AC721" s="175" t="b">
        <f t="shared" si="174"/>
        <v>1</v>
      </c>
    </row>
    <row r="722" spans="1:29" s="128" customFormat="1" ht="9.75" hidden="1" customHeight="1" x14ac:dyDescent="0.3">
      <c r="A722" s="99">
        <v>46250</v>
      </c>
      <c r="B722" s="59">
        <v>8175698</v>
      </c>
      <c r="C722" s="60" t="s">
        <v>84</v>
      </c>
      <c r="D722" s="60" t="s">
        <v>301</v>
      </c>
      <c r="E722" s="61">
        <v>0.125</v>
      </c>
      <c r="F722" s="60" t="s">
        <v>13</v>
      </c>
      <c r="G722" s="71" t="s">
        <v>284</v>
      </c>
      <c r="H722" s="62">
        <v>0.13125000000000001</v>
      </c>
      <c r="I722" s="113" t="str">
        <f t="shared" si="175"/>
        <v>16-08-2026T03:09:00</v>
      </c>
      <c r="J722" s="62">
        <v>0.47222222222222221</v>
      </c>
      <c r="K722" s="62"/>
      <c r="L722" s="63">
        <f t="shared" si="177"/>
        <v>0.34097222222222223</v>
      </c>
      <c r="M722" s="64">
        <v>0.35416666666666669</v>
      </c>
      <c r="N722" s="65" t="str">
        <f t="shared" si="178"/>
        <v>00:19:00</v>
      </c>
      <c r="O722" s="66"/>
      <c r="P722" s="124"/>
      <c r="Q722" s="67" t="s">
        <v>174</v>
      </c>
      <c r="R722" s="68">
        <v>0.3611111111111111</v>
      </c>
      <c r="S722" s="68">
        <v>0.40208333333333335</v>
      </c>
      <c r="T722" s="69">
        <f>S722-R722</f>
        <v>4.0972222222222243E-2</v>
      </c>
      <c r="U722" s="61" t="s">
        <v>234</v>
      </c>
      <c r="V722" s="83">
        <v>6.25E-2</v>
      </c>
      <c r="W722" s="61">
        <f t="shared" si="179"/>
        <v>-2.1527777777777757E-2</v>
      </c>
      <c r="X722" s="171">
        <v>46250.131249999999</v>
      </c>
      <c r="Y722" s="171">
        <v>46250.472222222219</v>
      </c>
      <c r="Z722" s="168">
        <f t="shared" si="171"/>
        <v>0.34097222222044365</v>
      </c>
      <c r="AA722" s="169">
        <f t="shared" si="172"/>
        <v>0.35416666666666669</v>
      </c>
      <c r="AB722" s="170" t="str">
        <f t="shared" si="173"/>
        <v>00:19:00</v>
      </c>
      <c r="AC722" s="170" t="b">
        <f t="shared" si="174"/>
        <v>1</v>
      </c>
    </row>
    <row r="723" spans="1:29" s="128" customFormat="1" ht="9.75" hidden="1" customHeight="1" x14ac:dyDescent="0.3">
      <c r="A723" s="99">
        <v>46250</v>
      </c>
      <c r="B723" s="59">
        <v>8175840</v>
      </c>
      <c r="C723" s="60" t="s">
        <v>54</v>
      </c>
      <c r="D723" s="60" t="s">
        <v>288</v>
      </c>
      <c r="E723" s="61">
        <v>0.16666666666666666</v>
      </c>
      <c r="F723" s="60" t="s">
        <v>13</v>
      </c>
      <c r="G723" s="71" t="s">
        <v>24</v>
      </c>
      <c r="H723" s="62">
        <v>0.18472222222222223</v>
      </c>
      <c r="I723" s="113" t="str">
        <f t="shared" si="175"/>
        <v>16-08-2026T04:26:00</v>
      </c>
      <c r="J723" s="62">
        <v>0.26041666666666669</v>
      </c>
      <c r="K723" s="62"/>
      <c r="L723" s="63">
        <f t="shared" si="177"/>
        <v>7.5694444444444453E-2</v>
      </c>
      <c r="M723" s="64">
        <v>8.3333333333333329E-2</v>
      </c>
      <c r="N723" s="65" t="str">
        <f t="shared" si="178"/>
        <v>00:11:00</v>
      </c>
      <c r="O723" s="66"/>
      <c r="P723" s="124"/>
      <c r="Q723" s="67"/>
      <c r="R723" s="68"/>
      <c r="S723" s="68"/>
      <c r="T723" s="69">
        <v>0</v>
      </c>
      <c r="U723" s="61"/>
      <c r="V723" s="83">
        <v>0</v>
      </c>
      <c r="W723" s="61">
        <f t="shared" si="179"/>
        <v>0</v>
      </c>
      <c r="X723" s="171">
        <v>46250.18472222222</v>
      </c>
      <c r="Y723" s="171">
        <v>46250.260416666664</v>
      </c>
      <c r="Z723" s="168">
        <f t="shared" si="171"/>
        <v>7.5694444443797693E-2</v>
      </c>
      <c r="AA723" s="169">
        <f t="shared" si="172"/>
        <v>8.3333333333333329E-2</v>
      </c>
      <c r="AB723" s="170" t="str">
        <f t="shared" si="173"/>
        <v>00:11:00</v>
      </c>
      <c r="AC723" s="170" t="b">
        <f t="shared" si="174"/>
        <v>1</v>
      </c>
    </row>
    <row r="724" spans="1:29" s="128" customFormat="1" ht="9.75" hidden="1" customHeight="1" x14ac:dyDescent="0.3">
      <c r="A724" s="99">
        <v>46250</v>
      </c>
      <c r="B724" s="59">
        <v>8175796</v>
      </c>
      <c r="C724" s="60" t="s">
        <v>27</v>
      </c>
      <c r="D724" s="60" t="s">
        <v>378</v>
      </c>
      <c r="E724" s="61">
        <v>0.16666666666666666</v>
      </c>
      <c r="F724" s="60" t="s">
        <v>13</v>
      </c>
      <c r="G724" s="71" t="s">
        <v>28</v>
      </c>
      <c r="H724" s="62">
        <v>0.16666666666666666</v>
      </c>
      <c r="I724" s="113" t="str">
        <f t="shared" si="175"/>
        <v>16-08-2026T04:00:00</v>
      </c>
      <c r="J724" s="62">
        <v>0.33055555555555555</v>
      </c>
      <c r="K724" s="62"/>
      <c r="L724" s="63">
        <f t="shared" si="177"/>
        <v>0.16388888888888889</v>
      </c>
      <c r="M724" s="64">
        <v>0.16666666666666666</v>
      </c>
      <c r="N724" s="65" t="str">
        <f t="shared" si="178"/>
        <v>00:04:00</v>
      </c>
      <c r="O724" s="66"/>
      <c r="P724" s="124"/>
      <c r="Q724" s="67"/>
      <c r="R724" s="68"/>
      <c r="S724" s="68"/>
      <c r="T724" s="69">
        <v>0</v>
      </c>
      <c r="U724" s="61" t="s">
        <v>234</v>
      </c>
      <c r="V724" s="83">
        <v>0</v>
      </c>
      <c r="W724" s="61">
        <f t="shared" si="179"/>
        <v>0</v>
      </c>
      <c r="X724" s="171">
        <v>46250.166666666664</v>
      </c>
      <c r="Y724" s="171">
        <v>46250.330555555556</v>
      </c>
      <c r="Z724" s="168">
        <f t="shared" si="171"/>
        <v>0.16388888889196096</v>
      </c>
      <c r="AA724" s="169">
        <f t="shared" si="172"/>
        <v>0.16666666666666666</v>
      </c>
      <c r="AB724" s="170" t="str">
        <f t="shared" si="173"/>
        <v>00:04:00</v>
      </c>
      <c r="AC724" s="170" t="b">
        <f t="shared" si="174"/>
        <v>1</v>
      </c>
    </row>
    <row r="725" spans="1:29" s="127" customFormat="1" ht="9.75" hidden="1" customHeight="1" x14ac:dyDescent="0.3">
      <c r="A725" s="98">
        <v>46250</v>
      </c>
      <c r="B725" s="48">
        <v>8175799</v>
      </c>
      <c r="C725" s="49" t="s">
        <v>16</v>
      </c>
      <c r="D725" s="49" t="s">
        <v>285</v>
      </c>
      <c r="E725" s="50">
        <v>0.16666666666666666</v>
      </c>
      <c r="F725" s="49" t="s">
        <v>17</v>
      </c>
      <c r="G725" s="70" t="s">
        <v>15</v>
      </c>
      <c r="H725" s="51">
        <v>0.16666666666666666</v>
      </c>
      <c r="I725" s="113" t="str">
        <f t="shared" si="175"/>
        <v>16-08-2026T04:00:00</v>
      </c>
      <c r="J725" s="51">
        <v>0.69305555555555554</v>
      </c>
      <c r="K725" s="51"/>
      <c r="L725" s="52">
        <f t="shared" si="177"/>
        <v>0.52638888888888891</v>
      </c>
      <c r="M725" s="53">
        <v>0.5</v>
      </c>
      <c r="N725" s="54" t="str">
        <f t="shared" si="178"/>
        <v>-00:38:00</v>
      </c>
      <c r="O725" s="55">
        <v>250</v>
      </c>
      <c r="P725" s="147" t="s">
        <v>125</v>
      </c>
      <c r="Q725" s="56" t="s">
        <v>98</v>
      </c>
      <c r="R725" s="57">
        <v>0.38194444444444442</v>
      </c>
      <c r="S725" s="57">
        <v>0.4909722222222222</v>
      </c>
      <c r="T725" s="47">
        <f>S725-R725</f>
        <v>0.10902777777777778</v>
      </c>
      <c r="U725" s="50"/>
      <c r="V725" s="74">
        <v>8.3333333333333329E-2</v>
      </c>
      <c r="W725" s="50">
        <f t="shared" si="179"/>
        <v>2.569444444444445E-2</v>
      </c>
      <c r="X725" s="171">
        <v>0.16666666666666666</v>
      </c>
      <c r="Y725" s="171">
        <v>0.69305555555555554</v>
      </c>
      <c r="Z725" s="168">
        <f t="shared" si="171"/>
        <v>0.52638888888888891</v>
      </c>
      <c r="AA725" s="169">
        <f t="shared" si="172"/>
        <v>0.5</v>
      </c>
      <c r="AB725" s="170" t="str">
        <f t="shared" si="173"/>
        <v>-00:38:00</v>
      </c>
      <c r="AC725" s="170" t="b">
        <f t="shared" si="174"/>
        <v>1</v>
      </c>
    </row>
    <row r="726" spans="1:29" s="128" customFormat="1" ht="9.75" hidden="1" customHeight="1" x14ac:dyDescent="0.3">
      <c r="A726" s="99">
        <v>46250</v>
      </c>
      <c r="B726" s="59">
        <v>8175801</v>
      </c>
      <c r="C726" s="60" t="s">
        <v>50</v>
      </c>
      <c r="D726" s="60" t="s">
        <v>329</v>
      </c>
      <c r="E726" s="61">
        <v>0.16666666666666666</v>
      </c>
      <c r="F726" s="60" t="s">
        <v>31</v>
      </c>
      <c r="G726" s="71" t="s">
        <v>13</v>
      </c>
      <c r="H726" s="62">
        <v>0.1673611111111111</v>
      </c>
      <c r="I726" s="113" t="str">
        <f t="shared" si="175"/>
        <v>16-08-2026T04:01:00</v>
      </c>
      <c r="J726" s="62">
        <v>0.81180555555555556</v>
      </c>
      <c r="K726" s="62"/>
      <c r="L726" s="63">
        <f t="shared" si="177"/>
        <v>0.64444444444444449</v>
      </c>
      <c r="M726" s="64">
        <v>0.70833333333333337</v>
      </c>
      <c r="N726" s="65" t="str">
        <f t="shared" si="178"/>
        <v>01:32:00</v>
      </c>
      <c r="O726" s="66"/>
      <c r="P726" s="124"/>
      <c r="Q726" s="67" t="s">
        <v>13</v>
      </c>
      <c r="R726" s="68">
        <v>0.76597222222222228</v>
      </c>
      <c r="S726" s="68">
        <v>0.81041666666666667</v>
      </c>
      <c r="T726" s="69">
        <f>S726-R726</f>
        <v>4.4444444444444398E-2</v>
      </c>
      <c r="U726" s="61"/>
      <c r="V726" s="83">
        <v>8.3333333333333329E-2</v>
      </c>
      <c r="W726" s="61">
        <f t="shared" si="179"/>
        <v>-3.8888888888888931E-2</v>
      </c>
      <c r="X726" s="172">
        <v>46250.167361111111</v>
      </c>
      <c r="Y726" s="172">
        <v>46250.811805555553</v>
      </c>
      <c r="Z726" s="173">
        <f t="shared" si="171"/>
        <v>0.6444444444423425</v>
      </c>
      <c r="AA726" s="174">
        <f t="shared" si="172"/>
        <v>0.70833333333333337</v>
      </c>
      <c r="AB726" s="175" t="str">
        <f t="shared" si="173"/>
        <v>01:32:00</v>
      </c>
      <c r="AC726" s="175" t="b">
        <f t="shared" si="174"/>
        <v>1</v>
      </c>
    </row>
    <row r="727" spans="1:29" s="128" customFormat="1" ht="9.75" hidden="1" customHeight="1" x14ac:dyDescent="0.3">
      <c r="A727" s="99">
        <v>46250</v>
      </c>
      <c r="B727" s="59">
        <v>8175954</v>
      </c>
      <c r="C727" s="60" t="s">
        <v>32</v>
      </c>
      <c r="D727" s="60" t="s">
        <v>476</v>
      </c>
      <c r="E727" s="61">
        <v>0.20833333333333334</v>
      </c>
      <c r="F727" s="60" t="s">
        <v>13</v>
      </c>
      <c r="G727" s="71" t="s">
        <v>287</v>
      </c>
      <c r="H727" s="62">
        <v>0.20972222222222223</v>
      </c>
      <c r="I727" s="113" t="str">
        <f t="shared" si="175"/>
        <v>16-08-2026T05:02:00</v>
      </c>
      <c r="J727" s="62">
        <v>0.34722222222222221</v>
      </c>
      <c r="K727" s="62"/>
      <c r="L727" s="63">
        <f t="shared" si="177"/>
        <v>0.13749999999999998</v>
      </c>
      <c r="M727" s="64">
        <v>0.14583333333333334</v>
      </c>
      <c r="N727" s="65" t="str">
        <f t="shared" si="178"/>
        <v>00:12:00</v>
      </c>
      <c r="O727" s="66"/>
      <c r="P727" s="124"/>
      <c r="Q727" s="67"/>
      <c r="R727" s="68"/>
      <c r="S727" s="68"/>
      <c r="T727" s="69">
        <v>0</v>
      </c>
      <c r="U727" s="61" t="s">
        <v>234</v>
      </c>
      <c r="V727" s="83">
        <v>0</v>
      </c>
      <c r="W727" s="61">
        <f t="shared" si="179"/>
        <v>0</v>
      </c>
      <c r="X727" s="171">
        <v>46250.209722222222</v>
      </c>
      <c r="Y727" s="171">
        <v>46250.347222222219</v>
      </c>
      <c r="Z727" s="168">
        <f t="shared" si="171"/>
        <v>0.13749999999708962</v>
      </c>
      <c r="AA727" s="169">
        <f t="shared" si="172"/>
        <v>0.14583333333333334</v>
      </c>
      <c r="AB727" s="170" t="str">
        <f t="shared" si="173"/>
        <v>00:12:00</v>
      </c>
      <c r="AC727" s="170" t="b">
        <f t="shared" si="174"/>
        <v>1</v>
      </c>
    </row>
    <row r="728" spans="1:29" s="128" customFormat="1" ht="9.75" hidden="1" customHeight="1" x14ac:dyDescent="0.3">
      <c r="A728" s="99">
        <v>46250</v>
      </c>
      <c r="B728" s="59">
        <v>8175983</v>
      </c>
      <c r="C728" s="60" t="s">
        <v>82</v>
      </c>
      <c r="D728" s="60" t="s">
        <v>333</v>
      </c>
      <c r="E728" s="61">
        <v>0.20833333333333334</v>
      </c>
      <c r="F728" s="60" t="s">
        <v>26</v>
      </c>
      <c r="G728" s="71" t="s">
        <v>13</v>
      </c>
      <c r="H728" s="62">
        <v>0.22361111111111112</v>
      </c>
      <c r="I728" s="113" t="str">
        <f t="shared" si="175"/>
        <v>16-08-2026T05:22:00</v>
      </c>
      <c r="J728" s="62">
        <v>0.63958333333333328</v>
      </c>
      <c r="K728" s="62"/>
      <c r="L728" s="63">
        <f t="shared" si="177"/>
        <v>0.41597222222222219</v>
      </c>
      <c r="M728" s="64">
        <v>0.45833333333333331</v>
      </c>
      <c r="N728" s="65" t="str">
        <f t="shared" si="178"/>
        <v>01:01:00</v>
      </c>
      <c r="O728" s="66"/>
      <c r="P728" s="124"/>
      <c r="Q728" s="67" t="s">
        <v>13</v>
      </c>
      <c r="R728" s="68">
        <v>0.58819444444444446</v>
      </c>
      <c r="S728" s="68">
        <v>0.63541666666666663</v>
      </c>
      <c r="T728" s="69">
        <f>S728-R728</f>
        <v>4.7222222222222165E-2</v>
      </c>
      <c r="U728" s="61"/>
      <c r="V728" s="83">
        <v>8.3333333333333329E-2</v>
      </c>
      <c r="W728" s="61">
        <f t="shared" si="179"/>
        <v>-3.6111111111111163E-2</v>
      </c>
      <c r="X728" s="171">
        <v>46250.223611111112</v>
      </c>
      <c r="Y728" s="171">
        <v>46250.63958333333</v>
      </c>
      <c r="Z728" s="168">
        <f t="shared" si="171"/>
        <v>0.41597222221753327</v>
      </c>
      <c r="AA728" s="169">
        <f t="shared" si="172"/>
        <v>0.45833333333333331</v>
      </c>
      <c r="AB728" s="170" t="str">
        <f t="shared" si="173"/>
        <v>01:01:00</v>
      </c>
      <c r="AC728" s="170" t="b">
        <f t="shared" si="174"/>
        <v>1</v>
      </c>
    </row>
    <row r="729" spans="1:29" s="127" customFormat="1" ht="9.75" hidden="1" customHeight="1" x14ac:dyDescent="0.3">
      <c r="A729" s="98">
        <v>46250</v>
      </c>
      <c r="B729" s="48">
        <v>8176091</v>
      </c>
      <c r="C729" s="49" t="s">
        <v>36</v>
      </c>
      <c r="D729" s="49" t="s">
        <v>300</v>
      </c>
      <c r="E729" s="50">
        <v>0.25</v>
      </c>
      <c r="F729" s="49" t="s">
        <v>14</v>
      </c>
      <c r="G729" s="70" t="s">
        <v>13</v>
      </c>
      <c r="H729" s="51">
        <v>0.24722222222222223</v>
      </c>
      <c r="I729" s="113" t="str">
        <f t="shared" si="175"/>
        <v>16-08-2026T05:56:00</v>
      </c>
      <c r="J729" s="51">
        <v>0.84791666666666665</v>
      </c>
      <c r="K729" s="51"/>
      <c r="L729" s="52">
        <f t="shared" si="177"/>
        <v>0.60069444444444442</v>
      </c>
      <c r="M729" s="53">
        <v>0.54166666666666663</v>
      </c>
      <c r="N729" s="54" t="str">
        <f t="shared" si="178"/>
        <v>-01:25:00</v>
      </c>
      <c r="O729" s="55">
        <v>500</v>
      </c>
      <c r="P729" s="147" t="s">
        <v>585</v>
      </c>
      <c r="Q729" s="56"/>
      <c r="R729" s="57"/>
      <c r="S729" s="57"/>
      <c r="T729" s="58">
        <v>0</v>
      </c>
      <c r="U729" s="50"/>
      <c r="V729" s="74">
        <v>0</v>
      </c>
      <c r="W729" s="50">
        <f t="shared" si="179"/>
        <v>0</v>
      </c>
      <c r="X729" s="171">
        <v>46250.24722222222</v>
      </c>
      <c r="Y729" s="171">
        <v>46250.847916666666</v>
      </c>
      <c r="Z729" s="168">
        <f t="shared" si="171"/>
        <v>0.60069444444525288</v>
      </c>
      <c r="AA729" s="169">
        <f t="shared" si="172"/>
        <v>0.54166666666666663</v>
      </c>
      <c r="AB729" s="170" t="str">
        <f t="shared" si="173"/>
        <v>-01:25:00</v>
      </c>
      <c r="AC729" s="170" t="b">
        <f t="shared" si="174"/>
        <v>1</v>
      </c>
    </row>
    <row r="730" spans="1:29" s="128" customFormat="1" ht="9.75" hidden="1" customHeight="1" x14ac:dyDescent="0.3">
      <c r="A730" s="99">
        <v>46250</v>
      </c>
      <c r="B730" s="59">
        <v>8176136</v>
      </c>
      <c r="C730" s="60" t="s">
        <v>89</v>
      </c>
      <c r="D730" s="60" t="s">
        <v>294</v>
      </c>
      <c r="E730" s="61">
        <v>0.25</v>
      </c>
      <c r="F730" s="60" t="s">
        <v>13</v>
      </c>
      <c r="G730" s="71" t="s">
        <v>35</v>
      </c>
      <c r="H730" s="62">
        <v>0.25208333333333333</v>
      </c>
      <c r="I730" s="113" t="str">
        <f t="shared" si="175"/>
        <v>16-08-2026T06:03:00</v>
      </c>
      <c r="J730" s="62">
        <v>0.29166666666666669</v>
      </c>
      <c r="K730" s="62"/>
      <c r="L730" s="63">
        <f t="shared" si="177"/>
        <v>3.9583333333333359E-2</v>
      </c>
      <c r="M730" s="64">
        <v>4.1666666666666664E-2</v>
      </c>
      <c r="N730" s="65" t="str">
        <f t="shared" si="178"/>
        <v>00:03:00</v>
      </c>
      <c r="O730" s="66"/>
      <c r="P730" s="124"/>
      <c r="Q730" s="67"/>
      <c r="R730" s="68"/>
      <c r="S730" s="68"/>
      <c r="T730" s="69">
        <v>0</v>
      </c>
      <c r="U730" s="61"/>
      <c r="V730" s="83">
        <v>0</v>
      </c>
      <c r="W730" s="61">
        <f t="shared" si="179"/>
        <v>0</v>
      </c>
      <c r="X730" s="171">
        <v>46250.252083333333</v>
      </c>
      <c r="Y730" s="171">
        <v>46250.291666666664</v>
      </c>
      <c r="Z730" s="168">
        <f t="shared" si="171"/>
        <v>3.9583333331393078E-2</v>
      </c>
      <c r="AA730" s="169">
        <f t="shared" si="172"/>
        <v>4.1666666666666664E-2</v>
      </c>
      <c r="AB730" s="170" t="str">
        <f t="shared" si="173"/>
        <v>00:03:00</v>
      </c>
      <c r="AC730" s="170" t="b">
        <f t="shared" si="174"/>
        <v>1</v>
      </c>
    </row>
    <row r="731" spans="1:29" s="127" customFormat="1" ht="9.75" hidden="1" customHeight="1" x14ac:dyDescent="0.3">
      <c r="A731" s="98">
        <v>46249</v>
      </c>
      <c r="B731" s="48">
        <v>8173226</v>
      </c>
      <c r="C731" s="49" t="s">
        <v>12</v>
      </c>
      <c r="D731" s="49" t="s">
        <v>586</v>
      </c>
      <c r="E731" s="50">
        <v>0.27083333333333331</v>
      </c>
      <c r="F731" s="70" t="s">
        <v>13</v>
      </c>
      <c r="G731" s="49" t="s">
        <v>14</v>
      </c>
      <c r="H731" s="51">
        <v>0.17083333333333334</v>
      </c>
      <c r="I731" s="113" t="str">
        <f t="shared" si="175"/>
        <v>15-08-2026T04:06:00</v>
      </c>
      <c r="J731" s="51">
        <v>0.81874999999999998</v>
      </c>
      <c r="K731" s="51"/>
      <c r="L731" s="52">
        <f t="shared" si="177"/>
        <v>0.6479166666666667</v>
      </c>
      <c r="M731" s="53">
        <v>0.625</v>
      </c>
      <c r="N731" s="54" t="str">
        <f t="shared" si="178"/>
        <v>-00:33:00</v>
      </c>
      <c r="O731" s="55">
        <v>200</v>
      </c>
      <c r="P731" s="147" t="s">
        <v>610</v>
      </c>
      <c r="Q731" s="56"/>
      <c r="R731" s="57"/>
      <c r="S731" s="57"/>
      <c r="T731" s="57"/>
      <c r="U731" s="50"/>
      <c r="V731" s="74">
        <v>0</v>
      </c>
      <c r="W731" s="50">
        <f t="shared" si="179"/>
        <v>0</v>
      </c>
      <c r="X731" s="171">
        <v>0.17083333333333334</v>
      </c>
      <c r="Y731" s="171">
        <v>0.81874999999999998</v>
      </c>
      <c r="Z731" s="168">
        <f t="shared" si="171"/>
        <v>0.6479166666666667</v>
      </c>
      <c r="AA731" s="169">
        <f t="shared" si="172"/>
        <v>0.625</v>
      </c>
      <c r="AB731" s="170" t="str">
        <f t="shared" si="173"/>
        <v>-00:33:00</v>
      </c>
      <c r="AC731" s="170" t="b">
        <f t="shared" si="174"/>
        <v>1</v>
      </c>
    </row>
    <row r="732" spans="1:29" s="127" customFormat="1" ht="9.75" hidden="1" customHeight="1" x14ac:dyDescent="0.3">
      <c r="A732" s="98">
        <v>46250</v>
      </c>
      <c r="B732" s="48">
        <v>8176166</v>
      </c>
      <c r="C732" s="49" t="s">
        <v>12</v>
      </c>
      <c r="D732" s="49" t="s">
        <v>586</v>
      </c>
      <c r="E732" s="50">
        <v>0.27083333333333331</v>
      </c>
      <c r="F732" s="49" t="s">
        <v>14</v>
      </c>
      <c r="G732" s="70" t="s">
        <v>13</v>
      </c>
      <c r="H732" s="51">
        <v>46250.267361111109</v>
      </c>
      <c r="I732" s="113" t="str">
        <f t="shared" si="175"/>
        <v>16-08-2026T06:25:00</v>
      </c>
      <c r="J732" s="51">
        <v>46251.00277777778</v>
      </c>
      <c r="K732" s="51"/>
      <c r="L732" s="52">
        <f t="shared" si="177"/>
        <v>0.73541666667006211</v>
      </c>
      <c r="M732" s="53">
        <v>0.625</v>
      </c>
      <c r="N732" s="54" t="str">
        <f t="shared" si="178"/>
        <v>-02:39:00</v>
      </c>
      <c r="O732" s="55">
        <v>600</v>
      </c>
      <c r="P732" s="147" t="s">
        <v>609</v>
      </c>
      <c r="Q732" s="56" t="s">
        <v>126</v>
      </c>
      <c r="R732" s="57">
        <v>0.39583333333333331</v>
      </c>
      <c r="S732" s="57">
        <v>0.46111111111111114</v>
      </c>
      <c r="T732" s="47">
        <f>S732-R732</f>
        <v>6.5277777777777823E-2</v>
      </c>
      <c r="U732" s="50"/>
      <c r="V732" s="74">
        <v>6.25E-2</v>
      </c>
      <c r="W732" s="50">
        <f t="shared" si="179"/>
        <v>2.7777777777778234E-3</v>
      </c>
      <c r="X732" s="171">
        <v>46250.267361111109</v>
      </c>
      <c r="Y732" s="171">
        <v>46251.00277777778</v>
      </c>
      <c r="Z732" s="168">
        <f t="shared" si="171"/>
        <v>0.73541666667006211</v>
      </c>
      <c r="AA732" s="169">
        <f t="shared" si="172"/>
        <v>0.625</v>
      </c>
      <c r="AB732" s="170" t="str">
        <f t="shared" si="173"/>
        <v>-02:39:00</v>
      </c>
      <c r="AC732" s="170" t="b">
        <f t="shared" si="174"/>
        <v>1</v>
      </c>
    </row>
    <row r="733" spans="1:29" s="128" customFormat="1" ht="9.75" hidden="1" customHeight="1" x14ac:dyDescent="0.3">
      <c r="A733" s="99">
        <v>46250</v>
      </c>
      <c r="B733" s="59">
        <v>8176180</v>
      </c>
      <c r="C733" s="60" t="s">
        <v>58</v>
      </c>
      <c r="D733" s="60" t="s">
        <v>591</v>
      </c>
      <c r="E733" s="61">
        <v>0.27083333333333331</v>
      </c>
      <c r="F733" s="60" t="s">
        <v>13</v>
      </c>
      <c r="G733" s="71" t="s">
        <v>14</v>
      </c>
      <c r="H733" s="62">
        <v>0.27361111111111114</v>
      </c>
      <c r="I733" s="113" t="str">
        <f t="shared" si="175"/>
        <v>16-08-2026T06:34:00</v>
      </c>
      <c r="J733" s="62">
        <v>0.88402777777777775</v>
      </c>
      <c r="K733" s="62"/>
      <c r="L733" s="63">
        <f t="shared" si="177"/>
        <v>0.61041666666666661</v>
      </c>
      <c r="M733" s="64">
        <v>0.625</v>
      </c>
      <c r="N733" s="65" t="str">
        <f t="shared" si="178"/>
        <v>00:21:00</v>
      </c>
      <c r="O733" s="66"/>
      <c r="P733" s="124"/>
      <c r="Q733" s="67" t="s">
        <v>15</v>
      </c>
      <c r="R733" s="68">
        <v>0.49930555555555556</v>
      </c>
      <c r="S733" s="68">
        <v>0.51527777777777772</v>
      </c>
      <c r="T733" s="69">
        <f>S733-R733</f>
        <v>1.5972222222222165E-2</v>
      </c>
      <c r="U733" s="61"/>
      <c r="V733" s="83">
        <v>6.25E-2</v>
      </c>
      <c r="W733" s="61">
        <f t="shared" si="179"/>
        <v>-4.6527777777777835E-2</v>
      </c>
      <c r="X733" s="171">
        <v>46250.273611111108</v>
      </c>
      <c r="Y733" s="171">
        <v>46250.884027777778</v>
      </c>
      <c r="Z733" s="168">
        <f t="shared" si="171"/>
        <v>0.61041666667006211</v>
      </c>
      <c r="AA733" s="169">
        <f t="shared" si="172"/>
        <v>0.625</v>
      </c>
      <c r="AB733" s="170" t="str">
        <f t="shared" si="173"/>
        <v>00:21:00</v>
      </c>
      <c r="AC733" s="170" t="b">
        <f t="shared" si="174"/>
        <v>1</v>
      </c>
    </row>
    <row r="734" spans="1:29" s="128" customFormat="1" ht="9.75" hidden="1" customHeight="1" x14ac:dyDescent="0.3">
      <c r="A734" s="99">
        <v>46250</v>
      </c>
      <c r="B734" s="59">
        <v>8176716</v>
      </c>
      <c r="C734" s="60" t="s">
        <v>34</v>
      </c>
      <c r="D734" s="60" t="s">
        <v>390</v>
      </c>
      <c r="E734" s="61">
        <v>0.27083333333333331</v>
      </c>
      <c r="F734" s="60" t="s">
        <v>103</v>
      </c>
      <c r="G734" s="71" t="s">
        <v>13</v>
      </c>
      <c r="H734" s="62">
        <v>46250.536111111112</v>
      </c>
      <c r="I734" s="113" t="str">
        <f t="shared" si="175"/>
        <v>16-08-2026T12:52:00</v>
      </c>
      <c r="J734" s="62">
        <v>46251.205555555556</v>
      </c>
      <c r="K734" s="62"/>
      <c r="L734" s="63">
        <f t="shared" si="177"/>
        <v>0.66944444444379769</v>
      </c>
      <c r="M734" s="64">
        <v>0.70833333333333337</v>
      </c>
      <c r="N734" s="65" t="str">
        <f t="shared" si="178"/>
        <v>00:56:00</v>
      </c>
      <c r="O734" s="66"/>
      <c r="P734" s="124"/>
      <c r="Q734" s="67" t="s">
        <v>13</v>
      </c>
      <c r="R734" s="68">
        <v>46251.186111111114</v>
      </c>
      <c r="S734" s="68">
        <v>46251.199999999997</v>
      </c>
      <c r="T734" s="69">
        <f>S734-R734</f>
        <v>1.3888888883229811E-2</v>
      </c>
      <c r="U734" s="61"/>
      <c r="V734" s="83">
        <v>8.3333333333333329E-2</v>
      </c>
      <c r="W734" s="61">
        <f t="shared" si="179"/>
        <v>-6.9444444450103518E-2</v>
      </c>
      <c r="X734" s="171">
        <v>46250.536111111112</v>
      </c>
      <c r="Y734" s="171">
        <v>46251.205555555556</v>
      </c>
      <c r="Z734" s="168">
        <f t="shared" si="171"/>
        <v>0.66944444444379769</v>
      </c>
      <c r="AA734" s="169">
        <f t="shared" si="172"/>
        <v>0.70833333333333337</v>
      </c>
      <c r="AB734" s="170" t="str">
        <f t="shared" si="173"/>
        <v>00:56:00</v>
      </c>
      <c r="AC734" s="170" t="b">
        <f t="shared" si="174"/>
        <v>1</v>
      </c>
    </row>
    <row r="735" spans="1:29" s="128" customFormat="1" ht="9.75" hidden="1" customHeight="1" x14ac:dyDescent="0.3">
      <c r="A735" s="99">
        <v>46250</v>
      </c>
      <c r="B735" s="59">
        <v>8176228</v>
      </c>
      <c r="C735" s="60" t="s">
        <v>99</v>
      </c>
      <c r="D735" s="60" t="s">
        <v>375</v>
      </c>
      <c r="E735" s="61">
        <v>0.29166666666666669</v>
      </c>
      <c r="F735" s="60" t="s">
        <v>13</v>
      </c>
      <c r="G735" s="71" t="s">
        <v>103</v>
      </c>
      <c r="H735" s="62">
        <v>0.29236111111111113</v>
      </c>
      <c r="I735" s="113" t="str">
        <f t="shared" si="175"/>
        <v>16-08-2026T07:01:00</v>
      </c>
      <c r="J735" s="62">
        <v>0.89583333333333337</v>
      </c>
      <c r="K735" s="62"/>
      <c r="L735" s="63">
        <f t="shared" si="177"/>
        <v>0.60347222222222219</v>
      </c>
      <c r="M735" s="64">
        <v>0.625</v>
      </c>
      <c r="N735" s="65" t="str">
        <f t="shared" si="178"/>
        <v>00:31:00</v>
      </c>
      <c r="O735" s="66"/>
      <c r="P735" s="124"/>
      <c r="Q735" s="67"/>
      <c r="R735" s="68"/>
      <c r="S735" s="68"/>
      <c r="T735" s="69">
        <v>0</v>
      </c>
      <c r="U735" s="61"/>
      <c r="V735" s="83">
        <v>0</v>
      </c>
      <c r="W735" s="61">
        <f t="shared" si="179"/>
        <v>0</v>
      </c>
      <c r="X735" s="171">
        <v>46250.292361111111</v>
      </c>
      <c r="Y735" s="171">
        <v>46250.895833333336</v>
      </c>
      <c r="Z735" s="168">
        <f t="shared" si="171"/>
        <v>0.60347222222480923</v>
      </c>
      <c r="AA735" s="169">
        <f t="shared" si="172"/>
        <v>0.625</v>
      </c>
      <c r="AB735" s="170" t="str">
        <f t="shared" si="173"/>
        <v>00:31:00</v>
      </c>
      <c r="AC735" s="170" t="b">
        <f t="shared" si="174"/>
        <v>1</v>
      </c>
    </row>
    <row r="736" spans="1:29" s="128" customFormat="1" ht="9.75" hidden="1" customHeight="1" x14ac:dyDescent="0.3">
      <c r="A736" s="99">
        <v>46250</v>
      </c>
      <c r="B736" s="59">
        <v>8176270</v>
      </c>
      <c r="C736" s="60" t="s">
        <v>56</v>
      </c>
      <c r="D736" s="60" t="s">
        <v>472</v>
      </c>
      <c r="E736" s="61">
        <v>0.3125</v>
      </c>
      <c r="F736" s="60" t="s">
        <v>15</v>
      </c>
      <c r="G736" s="71" t="s">
        <v>13</v>
      </c>
      <c r="H736" s="62">
        <v>0.31805555555555554</v>
      </c>
      <c r="I736" s="113" t="str">
        <f t="shared" si="175"/>
        <v>16-08-2026T07:38:00</v>
      </c>
      <c r="J736" s="62">
        <v>0.55972222222222223</v>
      </c>
      <c r="K736" s="62"/>
      <c r="L736" s="63">
        <f t="shared" si="177"/>
        <v>0.2416666666666667</v>
      </c>
      <c r="M736" s="64">
        <v>0.25</v>
      </c>
      <c r="N736" s="65" t="str">
        <f t="shared" si="178"/>
        <v>00:12:00</v>
      </c>
      <c r="O736" s="66"/>
      <c r="P736" s="124"/>
      <c r="Q736" s="67" t="s">
        <v>205</v>
      </c>
      <c r="R736" s="68">
        <v>0.39930555555555558</v>
      </c>
      <c r="S736" s="68">
        <v>0.43402777777777779</v>
      </c>
      <c r="T736" s="69">
        <f>S736-R736</f>
        <v>3.472222222222221E-2</v>
      </c>
      <c r="U736" s="61"/>
      <c r="V736" s="83">
        <v>4.1666666666666664E-2</v>
      </c>
      <c r="W736" s="61">
        <f t="shared" si="179"/>
        <v>-6.9444444444444545E-3</v>
      </c>
      <c r="X736" s="171">
        <v>46250.318055555559</v>
      </c>
      <c r="Y736" s="171">
        <v>46250.55972222222</v>
      </c>
      <c r="Z736" s="168">
        <f t="shared" si="171"/>
        <v>0.24166666666133096</v>
      </c>
      <c r="AA736" s="169">
        <f t="shared" si="172"/>
        <v>0.25</v>
      </c>
      <c r="AB736" s="170" t="str">
        <f t="shared" si="173"/>
        <v>00:12:00</v>
      </c>
      <c r="AC736" s="170" t="b">
        <f t="shared" si="174"/>
        <v>1</v>
      </c>
    </row>
    <row r="737" spans="1:29" s="127" customFormat="1" ht="9.75" hidden="1" customHeight="1" x14ac:dyDescent="0.3">
      <c r="A737" s="98">
        <v>46250</v>
      </c>
      <c r="B737" s="48">
        <v>8176231</v>
      </c>
      <c r="C737" s="49" t="s">
        <v>86</v>
      </c>
      <c r="D737" s="49" t="s">
        <v>547</v>
      </c>
      <c r="E737" s="50">
        <v>0.29166666666666669</v>
      </c>
      <c r="F737" s="49" t="s">
        <v>13</v>
      </c>
      <c r="G737" s="70" t="s">
        <v>31</v>
      </c>
      <c r="H737" s="51">
        <v>46250.293055555558</v>
      </c>
      <c r="I737" s="113" t="str">
        <f t="shared" si="175"/>
        <v>16-08-2026T07:02:00</v>
      </c>
      <c r="J737" s="51">
        <v>46251.052083333336</v>
      </c>
      <c r="K737" s="51"/>
      <c r="L737" s="52">
        <f t="shared" si="177"/>
        <v>0.75902777777810115</v>
      </c>
      <c r="M737" s="53">
        <v>0.625</v>
      </c>
      <c r="N737" s="54" t="str">
        <f t="shared" si="178"/>
        <v>-03:13:00</v>
      </c>
      <c r="O737" s="55">
        <v>800</v>
      </c>
      <c r="P737" s="147" t="s">
        <v>603</v>
      </c>
      <c r="Q737" s="56"/>
      <c r="R737" s="57"/>
      <c r="S737" s="57"/>
      <c r="T737" s="58">
        <v>0</v>
      </c>
      <c r="U737" s="50"/>
      <c r="V737" s="74">
        <v>0</v>
      </c>
      <c r="W737" s="50">
        <f t="shared" si="179"/>
        <v>0</v>
      </c>
      <c r="X737" s="171">
        <v>46250.293055555558</v>
      </c>
      <c r="Y737" s="171">
        <v>46251.052083333336</v>
      </c>
      <c r="Z737" s="168">
        <f t="shared" si="171"/>
        <v>0.75902777777810115</v>
      </c>
      <c r="AA737" s="169">
        <f t="shared" si="172"/>
        <v>0.625</v>
      </c>
      <c r="AB737" s="170" t="str">
        <f t="shared" si="173"/>
        <v>-03:13:00</v>
      </c>
      <c r="AC737" s="170" t="b">
        <f t="shared" si="174"/>
        <v>1</v>
      </c>
    </row>
    <row r="738" spans="1:29" s="128" customFormat="1" ht="9.75" hidden="1" customHeight="1" x14ac:dyDescent="0.3">
      <c r="A738" s="99">
        <v>46250</v>
      </c>
      <c r="B738" s="59">
        <v>8176282</v>
      </c>
      <c r="C738" s="60" t="s">
        <v>42</v>
      </c>
      <c r="D738" s="60" t="s">
        <v>181</v>
      </c>
      <c r="E738" s="61">
        <v>0.3125</v>
      </c>
      <c r="F738" s="60" t="s">
        <v>13</v>
      </c>
      <c r="G738" s="71" t="s">
        <v>55</v>
      </c>
      <c r="H738" s="62">
        <v>0.32361111111111113</v>
      </c>
      <c r="I738" s="113" t="str">
        <f t="shared" si="175"/>
        <v>16-08-2026T07:46:00</v>
      </c>
      <c r="J738" s="62">
        <v>0.38194444444444442</v>
      </c>
      <c r="K738" s="62"/>
      <c r="L738" s="63">
        <f t="shared" si="177"/>
        <v>5.8333333333333293E-2</v>
      </c>
      <c r="M738" s="64">
        <v>6.25E-2</v>
      </c>
      <c r="N738" s="65" t="str">
        <f t="shared" si="178"/>
        <v>00:06:00</v>
      </c>
      <c r="O738" s="66"/>
      <c r="P738" s="124"/>
      <c r="Q738" s="67"/>
      <c r="R738" s="68"/>
      <c r="S738" s="68"/>
      <c r="T738" s="69">
        <v>0</v>
      </c>
      <c r="U738" s="61" t="s">
        <v>234</v>
      </c>
      <c r="V738" s="83">
        <v>0</v>
      </c>
      <c r="W738" s="61">
        <f t="shared" si="179"/>
        <v>0</v>
      </c>
      <c r="X738" s="171">
        <v>46250.323611111111</v>
      </c>
      <c r="Y738" s="171">
        <v>46250.381944444445</v>
      </c>
      <c r="Z738" s="168">
        <f t="shared" si="171"/>
        <v>5.8333333334303461E-2</v>
      </c>
      <c r="AA738" s="169">
        <f t="shared" si="172"/>
        <v>6.25E-2</v>
      </c>
      <c r="AB738" s="170" t="str">
        <f t="shared" si="173"/>
        <v>00:06:00</v>
      </c>
      <c r="AC738" s="170" t="b">
        <f t="shared" si="174"/>
        <v>1</v>
      </c>
    </row>
    <row r="739" spans="1:29" s="127" customFormat="1" ht="9.75" hidden="1" customHeight="1" x14ac:dyDescent="0.3">
      <c r="A739" s="98">
        <v>46250</v>
      </c>
      <c r="B739" s="48">
        <v>8176393</v>
      </c>
      <c r="C739" s="49" t="s">
        <v>30</v>
      </c>
      <c r="D739" s="49" t="s">
        <v>286</v>
      </c>
      <c r="E739" s="50">
        <v>0.375</v>
      </c>
      <c r="F739" s="49" t="s">
        <v>13</v>
      </c>
      <c r="G739" s="70" t="s">
        <v>31</v>
      </c>
      <c r="H739" s="51">
        <v>46250.375694444447</v>
      </c>
      <c r="I739" s="113" t="str">
        <f t="shared" si="175"/>
        <v>16-08-2026T09:01:00</v>
      </c>
      <c r="J739" s="51">
        <v>46251.247916666667</v>
      </c>
      <c r="K739" s="51"/>
      <c r="L739" s="52">
        <f t="shared" si="177"/>
        <v>0.87222222222044365</v>
      </c>
      <c r="M739" s="53">
        <v>0.75</v>
      </c>
      <c r="N739" s="54" t="str">
        <f t="shared" si="178"/>
        <v>-02:56:00</v>
      </c>
      <c r="O739" s="55">
        <v>600</v>
      </c>
      <c r="P739" s="147" t="s">
        <v>628</v>
      </c>
      <c r="Q739" s="56" t="s">
        <v>45</v>
      </c>
      <c r="R739" s="57">
        <v>46250.967361111114</v>
      </c>
      <c r="S739" s="57">
        <v>46251.060416666667</v>
      </c>
      <c r="T739" s="47">
        <f>S739-R739</f>
        <v>9.3055555553291924E-2</v>
      </c>
      <c r="U739" s="50"/>
      <c r="V739" s="74">
        <v>8.3333333333333329E-2</v>
      </c>
      <c r="W739" s="50">
        <f t="shared" si="179"/>
        <v>9.7222222199585956E-3</v>
      </c>
      <c r="X739" s="171">
        <v>46250.375694444447</v>
      </c>
      <c r="Y739" s="171">
        <v>46251.247916666667</v>
      </c>
      <c r="Z739" s="168">
        <f t="shared" si="171"/>
        <v>0.87222222222044365</v>
      </c>
      <c r="AA739" s="169">
        <f t="shared" si="172"/>
        <v>0.75</v>
      </c>
      <c r="AB739" s="170" t="str">
        <f t="shared" si="173"/>
        <v>-02:56:00</v>
      </c>
      <c r="AC739" s="170" t="b">
        <f t="shared" si="174"/>
        <v>1</v>
      </c>
    </row>
    <row r="740" spans="1:29" s="127" customFormat="1" ht="9.75" hidden="1" customHeight="1" x14ac:dyDescent="0.3">
      <c r="A740" s="98">
        <v>46250</v>
      </c>
      <c r="B740" s="48">
        <v>8176395</v>
      </c>
      <c r="C740" s="49" t="s">
        <v>104</v>
      </c>
      <c r="D740" s="49" t="s">
        <v>382</v>
      </c>
      <c r="E740" s="50">
        <v>0.375</v>
      </c>
      <c r="F740" s="49" t="s">
        <v>13</v>
      </c>
      <c r="G740" s="70" t="s">
        <v>47</v>
      </c>
      <c r="H740" s="51">
        <v>46250.377083333333</v>
      </c>
      <c r="I740" s="113" t="str">
        <f t="shared" si="175"/>
        <v>16-08-2026T09:03:00</v>
      </c>
      <c r="J740" s="51">
        <v>46252.322916666664</v>
      </c>
      <c r="K740" s="51"/>
      <c r="L740" s="52">
        <f t="shared" si="177"/>
        <v>1.9458333333313931</v>
      </c>
      <c r="M740" s="53">
        <v>1.9166666666666667</v>
      </c>
      <c r="N740" s="54" t="str">
        <f t="shared" si="178"/>
        <v>-00:42:00</v>
      </c>
      <c r="O740" s="55">
        <v>200</v>
      </c>
      <c r="P740" s="147" t="s">
        <v>635</v>
      </c>
      <c r="Q740" s="56" t="s">
        <v>96</v>
      </c>
      <c r="R740" s="57">
        <v>46252.1</v>
      </c>
      <c r="S740" s="57">
        <v>46252.180555555555</v>
      </c>
      <c r="T740" s="58">
        <f>S740-R740</f>
        <v>8.0555555556202307E-2</v>
      </c>
      <c r="U740" s="50"/>
      <c r="V740" s="74">
        <v>8.3333333333333329E-2</v>
      </c>
      <c r="W740" s="50">
        <f t="shared" si="179"/>
        <v>-2.7777777771310214E-3</v>
      </c>
      <c r="X740" s="171">
        <v>46250.377083333333</v>
      </c>
      <c r="Y740" s="171">
        <v>46252.322916666664</v>
      </c>
      <c r="Z740" s="168">
        <f t="shared" si="171"/>
        <v>1.9458333333313931</v>
      </c>
      <c r="AA740" s="169">
        <f t="shared" si="172"/>
        <v>1.9166666666666667</v>
      </c>
      <c r="AB740" s="170" t="str">
        <f t="shared" si="173"/>
        <v>-00:42:00</v>
      </c>
      <c r="AC740" s="170" t="b">
        <f t="shared" si="174"/>
        <v>1</v>
      </c>
    </row>
    <row r="741" spans="1:29" s="128" customFormat="1" ht="9.75" hidden="1" customHeight="1" x14ac:dyDescent="0.3">
      <c r="A741" s="99">
        <v>46250</v>
      </c>
      <c r="B741" s="59">
        <v>8176398</v>
      </c>
      <c r="C741" s="60" t="s">
        <v>48</v>
      </c>
      <c r="D741" s="60" t="s">
        <v>183</v>
      </c>
      <c r="E741" s="61">
        <v>0.375</v>
      </c>
      <c r="F741" s="60" t="s">
        <v>49</v>
      </c>
      <c r="G741" s="71" t="s">
        <v>13</v>
      </c>
      <c r="H741" s="62">
        <v>0.37847222222222221</v>
      </c>
      <c r="I741" s="113" t="str">
        <f t="shared" si="175"/>
        <v>16-08-2026T09:05:00</v>
      </c>
      <c r="J741" s="62">
        <v>0.93125000000000002</v>
      </c>
      <c r="K741" s="62"/>
      <c r="L741" s="63">
        <f t="shared" si="177"/>
        <v>0.55277777777777781</v>
      </c>
      <c r="M741" s="64">
        <v>0.58333333333333337</v>
      </c>
      <c r="N741" s="65" t="str">
        <f t="shared" si="178"/>
        <v>00:44:00</v>
      </c>
      <c r="O741" s="66"/>
      <c r="P741" s="124"/>
      <c r="Q741" s="67" t="s">
        <v>13</v>
      </c>
      <c r="R741" s="68">
        <v>0.85763888888888884</v>
      </c>
      <c r="S741" s="68">
        <v>0.92638888888888893</v>
      </c>
      <c r="T741" s="69">
        <f>S741-R741</f>
        <v>6.8750000000000089E-2</v>
      </c>
      <c r="U741" s="61"/>
      <c r="V741" s="83">
        <v>8.3333333333333329E-2</v>
      </c>
      <c r="W741" s="61">
        <f t="shared" si="179"/>
        <v>-1.458333333333324E-2</v>
      </c>
      <c r="X741" s="171">
        <v>46250.378472222219</v>
      </c>
      <c r="Y741" s="171">
        <v>46250.931250000001</v>
      </c>
      <c r="Z741" s="168">
        <f t="shared" si="171"/>
        <v>0.55277777778246673</v>
      </c>
      <c r="AA741" s="169">
        <f t="shared" si="172"/>
        <v>0.58333333333333337</v>
      </c>
      <c r="AB741" s="170" t="str">
        <f t="shared" si="173"/>
        <v>00:44:00</v>
      </c>
      <c r="AC741" s="170" t="b">
        <f t="shared" si="174"/>
        <v>1</v>
      </c>
    </row>
    <row r="742" spans="1:29" s="128" customFormat="1" ht="9.75" hidden="1" customHeight="1" x14ac:dyDescent="0.3">
      <c r="A742" s="99">
        <v>46250</v>
      </c>
      <c r="B742" s="59">
        <v>8176449</v>
      </c>
      <c r="C742" s="60" t="s">
        <v>51</v>
      </c>
      <c r="D742" s="60" t="s">
        <v>295</v>
      </c>
      <c r="E742" s="61">
        <v>0.41666666666666669</v>
      </c>
      <c r="F742" s="60" t="s">
        <v>13</v>
      </c>
      <c r="G742" s="71" t="s">
        <v>49</v>
      </c>
      <c r="H742" s="62">
        <v>0.42152777777777778</v>
      </c>
      <c r="I742" s="113" t="str">
        <f t="shared" si="175"/>
        <v>16-08-2026T10:07:00</v>
      </c>
      <c r="J742" s="62">
        <v>0.90972222222222221</v>
      </c>
      <c r="K742" s="62"/>
      <c r="L742" s="63">
        <f t="shared" si="177"/>
        <v>0.48819444444444443</v>
      </c>
      <c r="M742" s="64">
        <v>0.5</v>
      </c>
      <c r="N742" s="65" t="str">
        <f t="shared" si="178"/>
        <v>00:17:00</v>
      </c>
      <c r="O742" s="66"/>
      <c r="P742" s="124"/>
      <c r="Q742" s="67"/>
      <c r="R742" s="68"/>
      <c r="S742" s="68"/>
      <c r="T742" s="69">
        <v>0</v>
      </c>
      <c r="U742" s="61" t="s">
        <v>234</v>
      </c>
      <c r="V742" s="83">
        <v>0</v>
      </c>
      <c r="W742" s="61">
        <f t="shared" si="179"/>
        <v>0</v>
      </c>
      <c r="X742" s="171">
        <v>46250.421527777777</v>
      </c>
      <c r="Y742" s="171">
        <v>46250.909722222219</v>
      </c>
      <c r="Z742" s="168">
        <f t="shared" si="171"/>
        <v>0.4881944444423425</v>
      </c>
      <c r="AA742" s="169">
        <f t="shared" si="172"/>
        <v>0.5</v>
      </c>
      <c r="AB742" s="170" t="str">
        <f t="shared" si="173"/>
        <v>00:17:00</v>
      </c>
      <c r="AC742" s="170" t="b">
        <f t="shared" si="174"/>
        <v>1</v>
      </c>
    </row>
    <row r="743" spans="1:29" s="127" customFormat="1" ht="9.75" hidden="1" customHeight="1" x14ac:dyDescent="0.3">
      <c r="A743" s="98">
        <v>46250</v>
      </c>
      <c r="B743" s="48">
        <v>8176476</v>
      </c>
      <c r="C743" s="49" t="s">
        <v>90</v>
      </c>
      <c r="D743" s="49" t="s">
        <v>290</v>
      </c>
      <c r="E743" s="50">
        <v>0.4375</v>
      </c>
      <c r="F743" s="49" t="s">
        <v>15</v>
      </c>
      <c r="G743" s="70" t="s">
        <v>13</v>
      </c>
      <c r="H743" s="51">
        <v>0.43611111111111112</v>
      </c>
      <c r="I743" s="113" t="str">
        <f t="shared" si="175"/>
        <v>16-08-2026T10:28:00</v>
      </c>
      <c r="J743" s="51">
        <v>0.69930555555555551</v>
      </c>
      <c r="K743" s="113" t="str">
        <f>TEXT(A743,"dd-mm-yyyy")&amp;"T"&amp;TEXT(J743,"hh:mm:ss")</f>
        <v>16-08-2026T16:47:00</v>
      </c>
      <c r="L743" s="52">
        <f t="shared" si="177"/>
        <v>0.2631944444444444</v>
      </c>
      <c r="M743" s="53">
        <v>0.20833333333333334</v>
      </c>
      <c r="N743" s="54" t="str">
        <f t="shared" si="178"/>
        <v>-01:19:00</v>
      </c>
      <c r="O743" s="55">
        <v>400</v>
      </c>
      <c r="P743" s="147" t="s">
        <v>521</v>
      </c>
      <c r="Q743" s="56"/>
      <c r="R743" s="57"/>
      <c r="S743" s="57"/>
      <c r="T743" s="58">
        <v>0</v>
      </c>
      <c r="U743" s="50"/>
      <c r="V743" s="74">
        <v>0</v>
      </c>
      <c r="W743" s="50">
        <f t="shared" si="179"/>
        <v>0</v>
      </c>
      <c r="X743" s="171">
        <v>46250.436111111114</v>
      </c>
      <c r="Y743" s="171">
        <v>46250.699305555558</v>
      </c>
      <c r="Z743" s="168">
        <f t="shared" si="171"/>
        <v>0.26319444444379769</v>
      </c>
      <c r="AA743" s="169">
        <f t="shared" si="172"/>
        <v>0.20833333333333334</v>
      </c>
      <c r="AB743" s="170" t="str">
        <f t="shared" si="173"/>
        <v>-01:19:00</v>
      </c>
      <c r="AC743" s="170" t="b">
        <f t="shared" si="174"/>
        <v>1</v>
      </c>
    </row>
    <row r="744" spans="1:29" s="128" customFormat="1" ht="9.75" hidden="1" customHeight="1" x14ac:dyDescent="0.3">
      <c r="A744" s="99">
        <v>46250</v>
      </c>
      <c r="B744" s="59">
        <v>8176557</v>
      </c>
      <c r="C744" s="60" t="s">
        <v>57</v>
      </c>
      <c r="D744" s="60" t="s">
        <v>370</v>
      </c>
      <c r="E744" s="61">
        <v>0.45833333333333331</v>
      </c>
      <c r="F744" s="60" t="s">
        <v>13</v>
      </c>
      <c r="G744" s="71" t="s">
        <v>24</v>
      </c>
      <c r="H744" s="62">
        <v>0.46527777777777779</v>
      </c>
      <c r="I744" s="113" t="str">
        <f t="shared" si="175"/>
        <v>16-08-2026T11:10:00</v>
      </c>
      <c r="J744" s="62">
        <v>0.53472222222222221</v>
      </c>
      <c r="K744" s="62"/>
      <c r="L744" s="63">
        <f t="shared" si="177"/>
        <v>6.944444444444442E-2</v>
      </c>
      <c r="M744" s="64">
        <v>8.3333333333333329E-2</v>
      </c>
      <c r="N744" s="65" t="str">
        <f t="shared" si="178"/>
        <v>00:20:00</v>
      </c>
      <c r="O744" s="66"/>
      <c r="P744" s="124"/>
      <c r="Q744" s="67"/>
      <c r="R744" s="68"/>
      <c r="S744" s="68"/>
      <c r="T744" s="69">
        <v>0</v>
      </c>
      <c r="U744" s="61" t="s">
        <v>234</v>
      </c>
      <c r="V744" s="83">
        <v>0</v>
      </c>
      <c r="W744" s="61">
        <f t="shared" si="179"/>
        <v>0</v>
      </c>
      <c r="X744" s="171">
        <v>46250.465277777781</v>
      </c>
      <c r="Y744" s="171">
        <v>46250.534722222219</v>
      </c>
      <c r="Z744" s="168">
        <f t="shared" si="171"/>
        <v>6.9444444437976927E-2</v>
      </c>
      <c r="AA744" s="169">
        <f t="shared" si="172"/>
        <v>8.3333333333333329E-2</v>
      </c>
      <c r="AB744" s="170" t="str">
        <f t="shared" si="173"/>
        <v>00:20:00</v>
      </c>
      <c r="AC744" s="170" t="b">
        <f t="shared" si="174"/>
        <v>1</v>
      </c>
    </row>
    <row r="745" spans="1:29" s="128" customFormat="1" ht="9.75" hidden="1" customHeight="1" x14ac:dyDescent="0.3">
      <c r="A745" s="99">
        <v>46250</v>
      </c>
      <c r="B745" s="59">
        <v>8176766</v>
      </c>
      <c r="C745" s="60" t="s">
        <v>52</v>
      </c>
      <c r="D745" s="60" t="s">
        <v>616</v>
      </c>
      <c r="E745" s="61">
        <v>0.54166666666666663</v>
      </c>
      <c r="F745" s="60" t="s">
        <v>13</v>
      </c>
      <c r="G745" s="71" t="s">
        <v>15</v>
      </c>
      <c r="H745" s="62">
        <v>0.54652777777777772</v>
      </c>
      <c r="I745" s="113" t="str">
        <f t="shared" si="175"/>
        <v>16-08-2026T13:07:00</v>
      </c>
      <c r="J745" s="62">
        <v>0.75138888888888888</v>
      </c>
      <c r="K745" s="62"/>
      <c r="L745" s="63">
        <f t="shared" si="177"/>
        <v>0.20486111111111116</v>
      </c>
      <c r="M745" s="64">
        <v>0.20833333333333334</v>
      </c>
      <c r="N745" s="65" t="str">
        <f t="shared" si="178"/>
        <v>00:05:00</v>
      </c>
      <c r="O745" s="66"/>
      <c r="P745" s="124"/>
      <c r="Q745" s="67"/>
      <c r="R745" s="68"/>
      <c r="S745" s="68"/>
      <c r="T745" s="69">
        <v>0</v>
      </c>
      <c r="U745" s="61" t="s">
        <v>234</v>
      </c>
      <c r="V745" s="83">
        <v>0</v>
      </c>
      <c r="W745" s="61">
        <f t="shared" si="179"/>
        <v>0</v>
      </c>
      <c r="X745" s="171">
        <v>46250.546527777777</v>
      </c>
      <c r="Y745" s="171">
        <v>46250.751388888886</v>
      </c>
      <c r="Z745" s="168">
        <f t="shared" si="171"/>
        <v>0.20486111110949423</v>
      </c>
      <c r="AA745" s="169">
        <f t="shared" si="172"/>
        <v>0.20833333333333334</v>
      </c>
      <c r="AB745" s="170" t="str">
        <f t="shared" si="173"/>
        <v>00:05:00</v>
      </c>
      <c r="AC745" s="170" t="b">
        <f t="shared" si="174"/>
        <v>1</v>
      </c>
    </row>
    <row r="746" spans="1:29" s="128" customFormat="1" ht="9.75" hidden="1" customHeight="1" x14ac:dyDescent="0.3">
      <c r="A746" s="99">
        <v>46250</v>
      </c>
      <c r="B746" s="59">
        <v>8176977</v>
      </c>
      <c r="C746" s="60" t="s">
        <v>18</v>
      </c>
      <c r="D746" s="60" t="s">
        <v>389</v>
      </c>
      <c r="E746" s="61">
        <v>0.64583333333333337</v>
      </c>
      <c r="F746" s="60" t="s">
        <v>19</v>
      </c>
      <c r="G746" s="71" t="s">
        <v>13</v>
      </c>
      <c r="H746" s="62">
        <v>46250.647916666669</v>
      </c>
      <c r="I746" s="113" t="str">
        <f t="shared" si="175"/>
        <v>16-08-2026T15:33:00</v>
      </c>
      <c r="J746" s="62">
        <v>46251.07708333333</v>
      </c>
      <c r="K746" s="62"/>
      <c r="L746" s="63">
        <f t="shared" si="177"/>
        <v>0.42916666666133096</v>
      </c>
      <c r="M746" s="64">
        <v>0.4375</v>
      </c>
      <c r="N746" s="65" t="str">
        <f t="shared" si="178"/>
        <v>00:12:00</v>
      </c>
      <c r="O746" s="66"/>
      <c r="P746" s="124"/>
      <c r="Q746" s="67" t="s">
        <v>229</v>
      </c>
      <c r="R746" s="68">
        <v>0.78749999999999998</v>
      </c>
      <c r="S746" s="68">
        <v>0.8125</v>
      </c>
      <c r="T746" s="69">
        <f>S746-R746</f>
        <v>2.5000000000000022E-2</v>
      </c>
      <c r="U746" s="61"/>
      <c r="V746" s="83">
        <v>8.3333333333333329E-2</v>
      </c>
      <c r="W746" s="61">
        <f t="shared" si="179"/>
        <v>-5.8333333333333307E-2</v>
      </c>
      <c r="X746" s="171">
        <v>46250.647916666669</v>
      </c>
      <c r="Y746" s="171">
        <v>46251.07708333333</v>
      </c>
      <c r="Z746" s="168">
        <f t="shared" si="171"/>
        <v>0.42916666666133096</v>
      </c>
      <c r="AA746" s="169">
        <f t="shared" si="172"/>
        <v>0.4375</v>
      </c>
      <c r="AB746" s="170" t="str">
        <f t="shared" si="173"/>
        <v>00:12:00</v>
      </c>
      <c r="AC746" s="170" t="b">
        <f t="shared" si="174"/>
        <v>1</v>
      </c>
    </row>
    <row r="747" spans="1:29" s="128" customFormat="1" ht="9.75" hidden="1" customHeight="1" x14ac:dyDescent="0.3">
      <c r="A747" s="99">
        <v>46250</v>
      </c>
      <c r="B747" s="59">
        <v>8177095</v>
      </c>
      <c r="C747" s="60" t="s">
        <v>41</v>
      </c>
      <c r="D747" s="60" t="s">
        <v>299</v>
      </c>
      <c r="E747" s="61">
        <v>0.70833333333333337</v>
      </c>
      <c r="F747" s="60" t="s">
        <v>13</v>
      </c>
      <c r="G747" s="71" t="s">
        <v>24</v>
      </c>
      <c r="H747" s="62">
        <v>0.70277777777777772</v>
      </c>
      <c r="I747" s="113" t="str">
        <f t="shared" si="175"/>
        <v>16-08-2026T16:52:00</v>
      </c>
      <c r="J747" s="62">
        <v>0.78472222222222221</v>
      </c>
      <c r="K747" s="62"/>
      <c r="L747" s="63">
        <f t="shared" si="177"/>
        <v>8.1944444444444486E-2</v>
      </c>
      <c r="M747" s="64">
        <v>8.3333333333333329E-2</v>
      </c>
      <c r="N747" s="65" t="str">
        <f t="shared" si="178"/>
        <v>00:02:00</v>
      </c>
      <c r="O747" s="66"/>
      <c r="P747" s="124"/>
      <c r="Q747" s="67"/>
      <c r="R747" s="68"/>
      <c r="S747" s="68"/>
      <c r="T747" s="69">
        <v>0</v>
      </c>
      <c r="U747" s="61"/>
      <c r="V747" s="83">
        <v>0</v>
      </c>
      <c r="W747" s="61">
        <f t="shared" si="179"/>
        <v>0</v>
      </c>
      <c r="X747" s="171">
        <v>46250.702777777777</v>
      </c>
      <c r="Y747" s="171">
        <v>46250.784722222219</v>
      </c>
      <c r="Z747" s="168">
        <f t="shared" si="171"/>
        <v>8.1944444442342501E-2</v>
      </c>
      <c r="AA747" s="169">
        <f t="shared" si="172"/>
        <v>8.3333333333333329E-2</v>
      </c>
      <c r="AB747" s="170" t="str">
        <f t="shared" si="173"/>
        <v>00:02:00</v>
      </c>
      <c r="AC747" s="170" t="b">
        <f t="shared" si="174"/>
        <v>1</v>
      </c>
    </row>
    <row r="748" spans="1:29" s="127" customFormat="1" ht="9.75" hidden="1" customHeight="1" x14ac:dyDescent="0.3">
      <c r="A748" s="98">
        <v>46250</v>
      </c>
      <c r="B748" s="48">
        <v>8176678</v>
      </c>
      <c r="C748" s="49" t="s">
        <v>84</v>
      </c>
      <c r="D748" s="49" t="s">
        <v>301</v>
      </c>
      <c r="E748" s="50">
        <v>0.70833333333333337</v>
      </c>
      <c r="F748" s="49" t="s">
        <v>85</v>
      </c>
      <c r="G748" s="70" t="s">
        <v>13</v>
      </c>
      <c r="H748" s="51">
        <v>0.5131944444444444</v>
      </c>
      <c r="I748" s="113" t="str">
        <f t="shared" si="175"/>
        <v>16-08-2026T12:19:00</v>
      </c>
      <c r="J748" s="51">
        <v>0.8520833333333333</v>
      </c>
      <c r="K748" s="51"/>
      <c r="L748" s="52">
        <f t="shared" si="177"/>
        <v>0.33888888888888891</v>
      </c>
      <c r="M748" s="53">
        <v>0.33333333333333331</v>
      </c>
      <c r="N748" s="54" t="str">
        <f t="shared" si="178"/>
        <v>-00:08:00</v>
      </c>
      <c r="O748" s="55">
        <v>150</v>
      </c>
      <c r="P748" s="147" t="s">
        <v>598</v>
      </c>
      <c r="Q748" s="56" t="s">
        <v>174</v>
      </c>
      <c r="R748" s="57" t="s">
        <v>480</v>
      </c>
      <c r="S748" s="57" t="s">
        <v>480</v>
      </c>
      <c r="T748" s="58" t="e">
        <f>S748-R748</f>
        <v>#VALUE!</v>
      </c>
      <c r="U748" s="50"/>
      <c r="V748" s="74">
        <v>6.25E-2</v>
      </c>
      <c r="W748" s="50" t="e">
        <f t="shared" si="179"/>
        <v>#VALUE!</v>
      </c>
      <c r="X748" s="171">
        <v>46250.513194444444</v>
      </c>
      <c r="Y748" s="171">
        <v>46250.852083333331</v>
      </c>
      <c r="Z748" s="168">
        <f t="shared" si="171"/>
        <v>0.33888888888759539</v>
      </c>
      <c r="AA748" s="169">
        <f t="shared" si="172"/>
        <v>0.33333333333333331</v>
      </c>
      <c r="AB748" s="170" t="str">
        <f t="shared" si="173"/>
        <v>-00:08:00</v>
      </c>
      <c r="AC748" s="170" t="b">
        <f t="shared" si="174"/>
        <v>1</v>
      </c>
    </row>
    <row r="749" spans="1:29" s="127" customFormat="1" ht="9.75" hidden="1" customHeight="1" x14ac:dyDescent="0.3">
      <c r="A749" s="98">
        <v>46250</v>
      </c>
      <c r="B749" s="48">
        <v>8177082</v>
      </c>
      <c r="C749" s="49" t="s">
        <v>97</v>
      </c>
      <c r="D749" s="49" t="s">
        <v>468</v>
      </c>
      <c r="E749" s="50">
        <v>0.70833333333333337</v>
      </c>
      <c r="F749" s="49" t="s">
        <v>13</v>
      </c>
      <c r="G749" s="70" t="s">
        <v>23</v>
      </c>
      <c r="H749" s="51">
        <v>46250.693749999999</v>
      </c>
      <c r="I749" s="113" t="str">
        <f t="shared" si="175"/>
        <v>16-08-2026T16:39:00</v>
      </c>
      <c r="J749" s="51">
        <v>46251.882638888892</v>
      </c>
      <c r="K749" s="51"/>
      <c r="L749" s="52">
        <f t="shared" si="177"/>
        <v>1.1888888888934162</v>
      </c>
      <c r="M749" s="53">
        <v>1</v>
      </c>
      <c r="N749" s="54" t="str">
        <f t="shared" si="178"/>
        <v>-04:32:00</v>
      </c>
      <c r="O749" s="55">
        <v>200</v>
      </c>
      <c r="P749" s="147" t="s">
        <v>569</v>
      </c>
      <c r="Q749" s="56"/>
      <c r="R749" s="57"/>
      <c r="S749" s="57"/>
      <c r="T749" s="58">
        <v>0</v>
      </c>
      <c r="U749" s="50"/>
      <c r="V749" s="74">
        <v>0</v>
      </c>
      <c r="W749" s="50">
        <f t="shared" si="179"/>
        <v>0</v>
      </c>
      <c r="X749" s="171">
        <v>46250.693749999999</v>
      </c>
      <c r="Y749" s="171">
        <v>46251.882638888892</v>
      </c>
      <c r="Z749" s="168">
        <f t="shared" si="171"/>
        <v>1.1888888888934162</v>
      </c>
      <c r="AA749" s="169">
        <f t="shared" si="172"/>
        <v>1</v>
      </c>
      <c r="AB749" s="170" t="str">
        <f t="shared" si="173"/>
        <v>-04:32:00</v>
      </c>
      <c r="AC749" s="170" t="b">
        <f t="shared" si="174"/>
        <v>1</v>
      </c>
    </row>
    <row r="750" spans="1:29" s="127" customFormat="1" ht="9.75" hidden="1" customHeight="1" x14ac:dyDescent="0.3">
      <c r="A750" s="98">
        <v>46250</v>
      </c>
      <c r="B750" s="48">
        <v>8177116</v>
      </c>
      <c r="C750" s="49" t="s">
        <v>27</v>
      </c>
      <c r="D750" s="49" t="s">
        <v>378</v>
      </c>
      <c r="E750" s="50">
        <v>0.70833333333333337</v>
      </c>
      <c r="F750" s="49" t="s">
        <v>28</v>
      </c>
      <c r="G750" s="70" t="s">
        <v>13</v>
      </c>
      <c r="H750" s="51">
        <v>0.7055555555555556</v>
      </c>
      <c r="I750" s="113" t="str">
        <f t="shared" si="175"/>
        <v>16-08-2026T16:56:00</v>
      </c>
      <c r="J750" s="51">
        <v>0.87361111111111112</v>
      </c>
      <c r="K750" s="51"/>
      <c r="L750" s="52">
        <f t="shared" si="177"/>
        <v>0.16805555555555551</v>
      </c>
      <c r="M750" s="53">
        <v>0.16666666666666666</v>
      </c>
      <c r="N750" s="54" t="str">
        <f t="shared" si="178"/>
        <v>-00:02:00</v>
      </c>
      <c r="O750" s="55">
        <v>150</v>
      </c>
      <c r="P750" s="147" t="s">
        <v>455</v>
      </c>
      <c r="Q750" s="56"/>
      <c r="R750" s="57"/>
      <c r="S750" s="57"/>
      <c r="T750" s="58">
        <v>0</v>
      </c>
      <c r="U750" s="50"/>
      <c r="V750" s="74">
        <v>0</v>
      </c>
      <c r="W750" s="50">
        <f t="shared" si="179"/>
        <v>0</v>
      </c>
      <c r="X750" s="171">
        <v>46250.705555555556</v>
      </c>
      <c r="Y750" s="171">
        <v>46250.873611111114</v>
      </c>
      <c r="Z750" s="168">
        <f t="shared" si="171"/>
        <v>0.1680555555576575</v>
      </c>
      <c r="AA750" s="169">
        <f t="shared" si="172"/>
        <v>0.16666666666666666</v>
      </c>
      <c r="AB750" s="170" t="str">
        <f t="shared" si="173"/>
        <v>-00:02:00</v>
      </c>
      <c r="AC750" s="170" t="b">
        <f t="shared" si="174"/>
        <v>1</v>
      </c>
    </row>
    <row r="751" spans="1:29" s="128" customFormat="1" ht="9.75" hidden="1" customHeight="1" x14ac:dyDescent="0.3">
      <c r="A751" s="99">
        <v>46250</v>
      </c>
      <c r="B751" s="59">
        <v>8177160</v>
      </c>
      <c r="C751" s="60" t="s">
        <v>89</v>
      </c>
      <c r="D751" s="60" t="s">
        <v>294</v>
      </c>
      <c r="E751" s="61">
        <v>0.75</v>
      </c>
      <c r="F751" s="60" t="s">
        <v>35</v>
      </c>
      <c r="G751" s="71" t="s">
        <v>13</v>
      </c>
      <c r="H751" s="62">
        <v>0.73263888888888884</v>
      </c>
      <c r="I751" s="113" t="str">
        <f t="shared" si="175"/>
        <v>16-08-2026T17:35:00</v>
      </c>
      <c r="J751" s="62">
        <v>0.75555555555555554</v>
      </c>
      <c r="K751" s="62"/>
      <c r="L751" s="63">
        <f t="shared" si="177"/>
        <v>2.2916666666666696E-2</v>
      </c>
      <c r="M751" s="64">
        <v>4.1666666666666664E-2</v>
      </c>
      <c r="N751" s="65" t="str">
        <f t="shared" si="178"/>
        <v>00:27:00</v>
      </c>
      <c r="O751" s="66"/>
      <c r="P751" s="124"/>
      <c r="Q751" s="67"/>
      <c r="R751" s="68"/>
      <c r="S751" s="68"/>
      <c r="T751" s="69">
        <v>0</v>
      </c>
      <c r="U751" s="61"/>
      <c r="V751" s="83">
        <v>0</v>
      </c>
      <c r="W751" s="61">
        <f t="shared" si="179"/>
        <v>0</v>
      </c>
      <c r="X751" s="171">
        <v>46250.732638888891</v>
      </c>
      <c r="Y751" s="171">
        <v>46250.755555555559</v>
      </c>
      <c r="Z751" s="168">
        <f t="shared" si="171"/>
        <v>2.2916666668606922E-2</v>
      </c>
      <c r="AA751" s="169">
        <f t="shared" si="172"/>
        <v>4.1666666666666664E-2</v>
      </c>
      <c r="AB751" s="170" t="str">
        <f t="shared" si="173"/>
        <v>00:27:00</v>
      </c>
      <c r="AC751" s="170" t="b">
        <f t="shared" si="174"/>
        <v>1</v>
      </c>
    </row>
    <row r="752" spans="1:29" s="128" customFormat="1" ht="9.75" hidden="1" customHeight="1" x14ac:dyDescent="0.3">
      <c r="A752" s="99">
        <v>46250</v>
      </c>
      <c r="B752" s="59">
        <v>8177343</v>
      </c>
      <c r="C752" s="60" t="s">
        <v>32</v>
      </c>
      <c r="D752" s="60" t="s">
        <v>476</v>
      </c>
      <c r="E752" s="61">
        <v>0.83333333333333337</v>
      </c>
      <c r="F752" s="60" t="s">
        <v>287</v>
      </c>
      <c r="G752" s="71" t="s">
        <v>13</v>
      </c>
      <c r="H752" s="62">
        <v>0.81180555555555556</v>
      </c>
      <c r="I752" s="113" t="str">
        <f t="shared" si="175"/>
        <v>16-08-2026T19:29:00</v>
      </c>
      <c r="J752" s="62">
        <v>0.95138888888888884</v>
      </c>
      <c r="K752" s="62"/>
      <c r="L752" s="63">
        <f t="shared" si="177"/>
        <v>0.13958333333333328</v>
      </c>
      <c r="M752" s="64">
        <v>0.14583333333333334</v>
      </c>
      <c r="N752" s="65" t="str">
        <f t="shared" si="178"/>
        <v>00:09:00</v>
      </c>
      <c r="O752" s="66"/>
      <c r="P752" s="124"/>
      <c r="Q752" s="67"/>
      <c r="R752" s="68"/>
      <c r="S752" s="68"/>
      <c r="T752" s="69">
        <v>0</v>
      </c>
      <c r="U752" s="61"/>
      <c r="V752" s="83">
        <v>0</v>
      </c>
      <c r="W752" s="61">
        <f t="shared" si="179"/>
        <v>0</v>
      </c>
      <c r="X752" s="171">
        <v>46250.811805555553</v>
      </c>
      <c r="Y752" s="171">
        <v>46250.951388888891</v>
      </c>
      <c r="Z752" s="168">
        <f t="shared" si="171"/>
        <v>0.13958333333721384</v>
      </c>
      <c r="AA752" s="169">
        <f t="shared" si="172"/>
        <v>0.14583333333333334</v>
      </c>
      <c r="AB752" s="170" t="str">
        <f t="shared" si="173"/>
        <v>00:09:00</v>
      </c>
      <c r="AC752" s="170" t="b">
        <f t="shared" si="174"/>
        <v>1</v>
      </c>
    </row>
    <row r="753" spans="1:29" s="128" customFormat="1" ht="9.75" hidden="1" customHeight="1" x14ac:dyDescent="0.3">
      <c r="A753" s="99">
        <v>46250</v>
      </c>
      <c r="B753" s="59">
        <v>8177525</v>
      </c>
      <c r="C753" s="60" t="s">
        <v>56</v>
      </c>
      <c r="D753" s="60" t="s">
        <v>472</v>
      </c>
      <c r="E753" s="61">
        <v>0.875</v>
      </c>
      <c r="F753" s="60" t="s">
        <v>13</v>
      </c>
      <c r="G753" s="71" t="s">
        <v>15</v>
      </c>
      <c r="H753" s="62">
        <v>46250.875</v>
      </c>
      <c r="I753" s="113" t="str">
        <f t="shared" si="175"/>
        <v>16-08-2026T21:00:00</v>
      </c>
      <c r="J753" s="62">
        <v>46251.076388888891</v>
      </c>
      <c r="K753" s="62"/>
      <c r="L753" s="63">
        <f t="shared" ref="L753:L779" si="180">J753-H753</f>
        <v>0.20138888889050577</v>
      </c>
      <c r="M753" s="64">
        <v>0.20833333333333334</v>
      </c>
      <c r="N753" s="65" t="str">
        <f t="shared" ref="N753:N779" si="181">IF(M753-L753&gt;0,TEXT(M753-L753,"HH:MM:SS"),TEXT(ABS(M753-L753),"-HH:MM:SS"))</f>
        <v>00:10:00</v>
      </c>
      <c r="O753" s="66"/>
      <c r="P753" s="124"/>
      <c r="Q753" s="67"/>
      <c r="R753" s="68"/>
      <c r="S753" s="68"/>
      <c r="T753" s="69">
        <v>0</v>
      </c>
      <c r="U753" s="61"/>
      <c r="V753" s="83">
        <v>0</v>
      </c>
      <c r="W753" s="61">
        <f t="shared" ref="W753:W779" si="182">T753-V753</f>
        <v>0</v>
      </c>
      <c r="X753" s="171">
        <v>46250.875</v>
      </c>
      <c r="Y753" s="171">
        <v>46251.076388888891</v>
      </c>
      <c r="Z753" s="168">
        <f t="shared" si="171"/>
        <v>0.20138888889050577</v>
      </c>
      <c r="AA753" s="169">
        <f t="shared" si="172"/>
        <v>0.20833333333333334</v>
      </c>
      <c r="AB753" s="170" t="str">
        <f t="shared" si="173"/>
        <v>00:10:00</v>
      </c>
      <c r="AC753" s="170" t="b">
        <f t="shared" si="174"/>
        <v>1</v>
      </c>
    </row>
    <row r="754" spans="1:29" s="128" customFormat="1" ht="9.75" hidden="1" customHeight="1" x14ac:dyDescent="0.3">
      <c r="A754" s="99">
        <v>46250</v>
      </c>
      <c r="B754" s="59">
        <v>8176739</v>
      </c>
      <c r="C754" s="60" t="s">
        <v>42</v>
      </c>
      <c r="D754" s="60" t="s">
        <v>181</v>
      </c>
      <c r="E754" s="61">
        <v>0.875</v>
      </c>
      <c r="F754" s="60" t="s">
        <v>55</v>
      </c>
      <c r="G754" s="71" t="s">
        <v>13</v>
      </c>
      <c r="H754" s="62">
        <v>0.54097222222222219</v>
      </c>
      <c r="I754" s="113" t="str">
        <f t="shared" si="175"/>
        <v>16-08-2026T12:59:00</v>
      </c>
      <c r="J754" s="62">
        <v>0.5854166666666667</v>
      </c>
      <c r="K754" s="62"/>
      <c r="L754" s="63">
        <f t="shared" si="180"/>
        <v>4.4444444444444509E-2</v>
      </c>
      <c r="M754" s="64">
        <v>6.25E-2</v>
      </c>
      <c r="N754" s="65" t="str">
        <f t="shared" si="181"/>
        <v>00:26:00</v>
      </c>
      <c r="O754" s="66"/>
      <c r="P754" s="124"/>
      <c r="Q754" s="67"/>
      <c r="R754" s="68"/>
      <c r="S754" s="68"/>
      <c r="T754" s="69">
        <v>0</v>
      </c>
      <c r="U754" s="61"/>
      <c r="V754" s="83">
        <v>0</v>
      </c>
      <c r="W754" s="61">
        <f t="shared" si="182"/>
        <v>0</v>
      </c>
      <c r="X754" s="171">
        <v>46250.540972222225</v>
      </c>
      <c r="Y754" s="171">
        <v>46250.585416666669</v>
      </c>
      <c r="Z754" s="168">
        <f t="shared" si="171"/>
        <v>4.4444444443797693E-2</v>
      </c>
      <c r="AA754" s="169">
        <f t="shared" si="172"/>
        <v>6.25E-2</v>
      </c>
      <c r="AB754" s="170" t="str">
        <f t="shared" si="173"/>
        <v>00:26:00</v>
      </c>
      <c r="AC754" s="170" t="b">
        <f t="shared" si="174"/>
        <v>1</v>
      </c>
    </row>
    <row r="755" spans="1:29" s="128" customFormat="1" ht="9.75" hidden="1" customHeight="1" x14ac:dyDescent="0.3">
      <c r="A755" s="99">
        <v>46250</v>
      </c>
      <c r="B755" s="59">
        <v>8177489</v>
      </c>
      <c r="C755" s="60" t="s">
        <v>57</v>
      </c>
      <c r="D755" s="60" t="s">
        <v>370</v>
      </c>
      <c r="E755" s="61">
        <v>0.875</v>
      </c>
      <c r="F755" s="60" t="s">
        <v>24</v>
      </c>
      <c r="G755" s="71" t="s">
        <v>13</v>
      </c>
      <c r="H755" s="62">
        <v>0.86597222222222225</v>
      </c>
      <c r="I755" s="113" t="str">
        <f t="shared" si="175"/>
        <v>16-08-2026T20:47:00</v>
      </c>
      <c r="J755" s="62">
        <v>0.94305555555555554</v>
      </c>
      <c r="K755" s="62"/>
      <c r="L755" s="63">
        <f t="shared" si="180"/>
        <v>7.7083333333333282E-2</v>
      </c>
      <c r="M755" s="64">
        <v>8.3333333333333329E-2</v>
      </c>
      <c r="N755" s="65" t="str">
        <f t="shared" si="181"/>
        <v>00:09:00</v>
      </c>
      <c r="O755" s="66"/>
      <c r="P755" s="124"/>
      <c r="Q755" s="67"/>
      <c r="R755" s="68"/>
      <c r="S755" s="68"/>
      <c r="T755" s="69">
        <v>0</v>
      </c>
      <c r="U755" s="61"/>
      <c r="V755" s="83">
        <v>0</v>
      </c>
      <c r="W755" s="61">
        <f t="shared" si="182"/>
        <v>0</v>
      </c>
      <c r="X755" s="171">
        <v>46250.865972222222</v>
      </c>
      <c r="Y755" s="171">
        <v>46250.943055555559</v>
      </c>
      <c r="Z755" s="168">
        <f t="shared" si="171"/>
        <v>7.7083333337213844E-2</v>
      </c>
      <c r="AA755" s="169">
        <f t="shared" si="172"/>
        <v>8.3333333333333329E-2</v>
      </c>
      <c r="AB755" s="170" t="str">
        <f t="shared" si="173"/>
        <v>00:09:00</v>
      </c>
      <c r="AC755" s="170" t="b">
        <f t="shared" si="174"/>
        <v>1</v>
      </c>
    </row>
    <row r="756" spans="1:29" s="128" customFormat="1" ht="9.75" hidden="1" customHeight="1" x14ac:dyDescent="0.3">
      <c r="A756" s="99">
        <v>46250</v>
      </c>
      <c r="B756" s="59">
        <v>8177306</v>
      </c>
      <c r="C756" s="60" t="s">
        <v>20</v>
      </c>
      <c r="D756" s="60" t="s">
        <v>232</v>
      </c>
      <c r="E756" s="61">
        <v>0.95833333333333337</v>
      </c>
      <c r="F756" s="60" t="s">
        <v>21</v>
      </c>
      <c r="G756" s="71" t="s">
        <v>13</v>
      </c>
      <c r="H756" s="62">
        <v>46250.788888888892</v>
      </c>
      <c r="I756" s="113" t="str">
        <f t="shared" si="175"/>
        <v>16-08-2026T18:56:00</v>
      </c>
      <c r="J756" s="62">
        <v>46251.03125</v>
      </c>
      <c r="K756" s="62"/>
      <c r="L756" s="63">
        <f t="shared" si="180"/>
        <v>0.24236111110803904</v>
      </c>
      <c r="M756" s="64">
        <v>0.25</v>
      </c>
      <c r="N756" s="65" t="str">
        <f t="shared" si="181"/>
        <v>00:11:00</v>
      </c>
      <c r="O756" s="66"/>
      <c r="P756" s="124"/>
      <c r="Q756" s="67"/>
      <c r="R756" s="68"/>
      <c r="S756" s="68"/>
      <c r="T756" s="69">
        <v>0</v>
      </c>
      <c r="U756" s="61"/>
      <c r="V756" s="83">
        <v>0</v>
      </c>
      <c r="W756" s="61">
        <f t="shared" si="182"/>
        <v>0</v>
      </c>
      <c r="X756" s="171">
        <v>46250.788888888892</v>
      </c>
      <c r="Y756" s="171">
        <v>46251.03125</v>
      </c>
      <c r="Z756" s="168">
        <f t="shared" si="171"/>
        <v>0.24236111110803904</v>
      </c>
      <c r="AA756" s="169">
        <f t="shared" si="172"/>
        <v>0.25</v>
      </c>
      <c r="AB756" s="170" t="str">
        <f t="shared" si="173"/>
        <v>00:11:00</v>
      </c>
      <c r="AC756" s="170" t="b">
        <f t="shared" si="174"/>
        <v>1</v>
      </c>
    </row>
    <row r="757" spans="1:29" s="128" customFormat="1" ht="9.75" hidden="1" customHeight="1" x14ac:dyDescent="0.3">
      <c r="A757" s="99">
        <v>46250</v>
      </c>
      <c r="B757" s="59">
        <v>8177664</v>
      </c>
      <c r="C757" s="60" t="s">
        <v>175</v>
      </c>
      <c r="D757" s="60" t="s">
        <v>306</v>
      </c>
      <c r="E757" s="61">
        <v>0.95833333333333337</v>
      </c>
      <c r="F757" s="60" t="s">
        <v>173</v>
      </c>
      <c r="G757" s="71" t="s">
        <v>13</v>
      </c>
      <c r="H757" s="62">
        <v>46250.953472222223</v>
      </c>
      <c r="I757" s="113" t="str">
        <f t="shared" si="175"/>
        <v>16-08-2026T22:53:00</v>
      </c>
      <c r="J757" s="62">
        <v>46252.806250000001</v>
      </c>
      <c r="K757" s="62"/>
      <c r="L757" s="63">
        <f t="shared" si="180"/>
        <v>1.8527777777781012</v>
      </c>
      <c r="M757" s="64">
        <v>1.9166666666666667</v>
      </c>
      <c r="N757" s="65" t="str">
        <f t="shared" si="181"/>
        <v>01:32:00</v>
      </c>
      <c r="O757" s="66"/>
      <c r="P757" s="124" t="s">
        <v>611</v>
      </c>
      <c r="Q757" s="67" t="s">
        <v>96</v>
      </c>
      <c r="R757" s="68">
        <v>46251.086805555555</v>
      </c>
      <c r="S757" s="68">
        <v>46251.147222222222</v>
      </c>
      <c r="T757" s="69">
        <f>S757-R757</f>
        <v>6.0416666667151731E-2</v>
      </c>
      <c r="U757" s="61"/>
      <c r="V757" s="83">
        <v>8.3333333333333329E-2</v>
      </c>
      <c r="W757" s="61">
        <f t="shared" si="182"/>
        <v>-2.2916666666181598E-2</v>
      </c>
      <c r="X757" s="171">
        <v>46250.953472222223</v>
      </c>
      <c r="Y757" s="171">
        <v>46252.806250000001</v>
      </c>
      <c r="Z757" s="168">
        <f t="shared" si="171"/>
        <v>1.8527777777781012</v>
      </c>
      <c r="AA757" s="169">
        <f t="shared" si="172"/>
        <v>1.9166666666666667</v>
      </c>
      <c r="AB757" s="170" t="str">
        <f t="shared" si="173"/>
        <v>01:32:00</v>
      </c>
      <c r="AC757" s="170" t="b">
        <f t="shared" si="174"/>
        <v>1</v>
      </c>
    </row>
    <row r="758" spans="1:29" s="128" customFormat="1" ht="9.75" hidden="1" customHeight="1" x14ac:dyDescent="0.3">
      <c r="A758" s="99">
        <v>46250</v>
      </c>
      <c r="B758" s="59">
        <v>8177735</v>
      </c>
      <c r="C758" s="60" t="s">
        <v>52</v>
      </c>
      <c r="D758" s="60" t="s">
        <v>616</v>
      </c>
      <c r="E758" s="61">
        <v>0.99930555555555556</v>
      </c>
      <c r="F758" s="60" t="s">
        <v>15</v>
      </c>
      <c r="G758" s="71" t="s">
        <v>13</v>
      </c>
      <c r="H758" s="62">
        <v>46250.998611111114</v>
      </c>
      <c r="I758" s="113" t="str">
        <f t="shared" si="175"/>
        <v>16-08-2026T23:58:00</v>
      </c>
      <c r="J758" s="62">
        <v>46251.200694444444</v>
      </c>
      <c r="K758" s="62"/>
      <c r="L758" s="63">
        <f t="shared" si="180"/>
        <v>0.20208333332993789</v>
      </c>
      <c r="M758" s="64">
        <v>0.20833333333333334</v>
      </c>
      <c r="N758" s="65" t="str">
        <f t="shared" si="181"/>
        <v>00:09:00</v>
      </c>
      <c r="O758" s="66"/>
      <c r="P758" s="124"/>
      <c r="Q758" s="67"/>
      <c r="R758" s="68"/>
      <c r="S758" s="68"/>
      <c r="T758" s="69">
        <v>0</v>
      </c>
      <c r="U758" s="61"/>
      <c r="V758" s="83">
        <v>0</v>
      </c>
      <c r="W758" s="61">
        <f t="shared" si="182"/>
        <v>0</v>
      </c>
      <c r="X758" s="171">
        <v>46250.998611111114</v>
      </c>
      <c r="Y758" s="171">
        <v>46251.200694444444</v>
      </c>
      <c r="Z758" s="168">
        <f t="shared" si="171"/>
        <v>0.20208333332993789</v>
      </c>
      <c r="AA758" s="169">
        <f t="shared" si="172"/>
        <v>0.20833333333333334</v>
      </c>
      <c r="AB758" s="170" t="str">
        <f t="shared" si="173"/>
        <v>00:09:00</v>
      </c>
      <c r="AC758" s="170" t="b">
        <f t="shared" si="174"/>
        <v>1</v>
      </c>
    </row>
    <row r="759" spans="1:29" s="128" customFormat="1" ht="9.75" hidden="1" customHeight="1" x14ac:dyDescent="0.3">
      <c r="A759" s="99">
        <v>46250</v>
      </c>
      <c r="B759" s="59">
        <v>8176683</v>
      </c>
      <c r="C759" s="60" t="s">
        <v>54</v>
      </c>
      <c r="D759" s="60" t="s">
        <v>288</v>
      </c>
      <c r="E759" s="61">
        <v>0.99930555555555556</v>
      </c>
      <c r="F759" s="60" t="s">
        <v>24</v>
      </c>
      <c r="G759" s="71" t="s">
        <v>13</v>
      </c>
      <c r="H759" s="62">
        <v>0.51597222222222228</v>
      </c>
      <c r="I759" s="113" t="str">
        <f t="shared" si="175"/>
        <v>16-08-2026T12:23:00</v>
      </c>
      <c r="J759" s="62">
        <v>0.58888888888888891</v>
      </c>
      <c r="K759" s="62"/>
      <c r="L759" s="63">
        <f t="shared" si="180"/>
        <v>7.291666666666663E-2</v>
      </c>
      <c r="M759" s="64">
        <v>8.3333333333333329E-2</v>
      </c>
      <c r="N759" s="65" t="str">
        <f t="shared" si="181"/>
        <v>00:15:00</v>
      </c>
      <c r="O759" s="66"/>
      <c r="P759" s="124"/>
      <c r="Q759" s="67"/>
      <c r="R759" s="68"/>
      <c r="S759" s="68"/>
      <c r="T759" s="69">
        <v>0</v>
      </c>
      <c r="U759" s="61"/>
      <c r="V759" s="83">
        <v>0</v>
      </c>
      <c r="W759" s="61">
        <f t="shared" si="182"/>
        <v>0</v>
      </c>
      <c r="X759" s="171">
        <v>46250.515972222223</v>
      </c>
      <c r="Y759" s="171">
        <v>46250.588888888888</v>
      </c>
      <c r="Z759" s="168">
        <f t="shared" si="171"/>
        <v>7.2916666664241347E-2</v>
      </c>
      <c r="AA759" s="169">
        <f t="shared" si="172"/>
        <v>8.3333333333333329E-2</v>
      </c>
      <c r="AB759" s="170" t="str">
        <f t="shared" si="173"/>
        <v>00:15:00</v>
      </c>
      <c r="AC759" s="170" t="b">
        <f t="shared" si="174"/>
        <v>1</v>
      </c>
    </row>
    <row r="760" spans="1:29" s="128" customFormat="1" ht="9.75" hidden="1" customHeight="1" x14ac:dyDescent="0.3">
      <c r="A760" s="99">
        <v>46250</v>
      </c>
      <c r="B760" s="59">
        <v>8176386</v>
      </c>
      <c r="C760" s="60" t="s">
        <v>22</v>
      </c>
      <c r="D760" s="60" t="s">
        <v>385</v>
      </c>
      <c r="E760" s="61" t="s">
        <v>184</v>
      </c>
      <c r="F760" s="60" t="s">
        <v>13</v>
      </c>
      <c r="G760" s="71" t="s">
        <v>376</v>
      </c>
      <c r="H760" s="62">
        <v>46250.373611111114</v>
      </c>
      <c r="I760" s="113" t="str">
        <f t="shared" si="175"/>
        <v>16-08-2026T08:58:00</v>
      </c>
      <c r="J760" s="62">
        <v>46252.137499999997</v>
      </c>
      <c r="K760" s="62"/>
      <c r="L760" s="63">
        <f t="shared" si="180"/>
        <v>1.7638888888832298</v>
      </c>
      <c r="M760" s="64">
        <v>1.8333333333333333</v>
      </c>
      <c r="N760" s="65" t="str">
        <f t="shared" si="181"/>
        <v>01:40:00</v>
      </c>
      <c r="O760" s="66"/>
      <c r="P760" s="124" t="s">
        <v>184</v>
      </c>
      <c r="Q760" s="67"/>
      <c r="R760" s="68"/>
      <c r="S760" s="68"/>
      <c r="T760" s="69">
        <v>0</v>
      </c>
      <c r="U760" s="61"/>
      <c r="V760" s="83">
        <v>0</v>
      </c>
      <c r="W760" s="61">
        <f t="shared" si="182"/>
        <v>0</v>
      </c>
      <c r="X760" s="171">
        <v>46250.373611111114</v>
      </c>
      <c r="Y760" s="171">
        <v>46252.137499999997</v>
      </c>
      <c r="Z760" s="168">
        <f t="shared" si="171"/>
        <v>1.7638888888832298</v>
      </c>
      <c r="AA760" s="169">
        <f t="shared" si="172"/>
        <v>1.8333333333333333</v>
      </c>
      <c r="AB760" s="170" t="str">
        <f t="shared" si="173"/>
        <v>01:40:00</v>
      </c>
      <c r="AC760" s="170" t="b">
        <f t="shared" si="174"/>
        <v>1</v>
      </c>
    </row>
    <row r="761" spans="1:29" s="128" customFormat="1" ht="9.75" hidden="1" customHeight="1" x14ac:dyDescent="0.3">
      <c r="A761" s="99">
        <v>46250</v>
      </c>
      <c r="B761" s="59">
        <v>8177541</v>
      </c>
      <c r="C761" s="60" t="s">
        <v>307</v>
      </c>
      <c r="D761" s="60" t="s">
        <v>464</v>
      </c>
      <c r="E761" s="61" t="s">
        <v>184</v>
      </c>
      <c r="F761" s="60" t="s">
        <v>666</v>
      </c>
      <c r="G761" s="71" t="s">
        <v>13</v>
      </c>
      <c r="H761" s="62">
        <v>46250.879166666666</v>
      </c>
      <c r="I761" s="113" t="str">
        <f t="shared" si="175"/>
        <v>16-08-2026T21:06:00</v>
      </c>
      <c r="J761" s="62">
        <v>46251.526388888888</v>
      </c>
      <c r="K761" s="62"/>
      <c r="L761" s="63">
        <f t="shared" si="180"/>
        <v>0.64722222222189885</v>
      </c>
      <c r="M761" s="64">
        <v>0.70833333333333337</v>
      </c>
      <c r="N761" s="65" t="str">
        <f t="shared" si="181"/>
        <v>01:28:00</v>
      </c>
      <c r="O761" s="66"/>
      <c r="P761" s="124" t="s">
        <v>184</v>
      </c>
      <c r="Q761" s="67" t="s">
        <v>587</v>
      </c>
      <c r="R761" s="68">
        <v>0.92708333333333337</v>
      </c>
      <c r="S761" s="68">
        <v>0.94097222222222221</v>
      </c>
      <c r="T761" s="69">
        <f t="shared" ref="T761:T779" si="183">S761-R761</f>
        <v>1.388888888888884E-2</v>
      </c>
      <c r="U761" s="61"/>
      <c r="V761" s="83" t="s">
        <v>319</v>
      </c>
      <c r="W761" s="61" t="e">
        <f t="shared" si="182"/>
        <v>#VALUE!</v>
      </c>
      <c r="X761" s="171">
        <v>46250.879166666666</v>
      </c>
      <c r="Y761" s="171">
        <v>46251.526388888888</v>
      </c>
      <c r="Z761" s="168">
        <f t="shared" si="171"/>
        <v>0.64722222222189885</v>
      </c>
      <c r="AA761" s="169">
        <f t="shared" si="172"/>
        <v>0.70833333333333337</v>
      </c>
      <c r="AB761" s="170" t="str">
        <f t="shared" si="173"/>
        <v>01:28:00</v>
      </c>
      <c r="AC761" s="170" t="b">
        <f t="shared" si="174"/>
        <v>1</v>
      </c>
    </row>
    <row r="762" spans="1:29" s="144" customFormat="1" ht="9.75" hidden="1" customHeight="1" x14ac:dyDescent="0.3">
      <c r="A762" s="129">
        <v>46251</v>
      </c>
      <c r="B762" s="130">
        <v>8177816</v>
      </c>
      <c r="C762" s="131" t="s">
        <v>82</v>
      </c>
      <c r="D762" s="131" t="s">
        <v>333</v>
      </c>
      <c r="E762" s="132">
        <v>6.25E-2</v>
      </c>
      <c r="F762" s="131" t="s">
        <v>13</v>
      </c>
      <c r="G762" s="133" t="s">
        <v>26</v>
      </c>
      <c r="H762" s="134">
        <v>6.3888888888888884E-2</v>
      </c>
      <c r="I762" s="113" t="str">
        <f t="shared" si="175"/>
        <v>17-08-2026T01:32:00</v>
      </c>
      <c r="J762" s="134">
        <v>0.60902777777777772</v>
      </c>
      <c r="K762" s="134"/>
      <c r="L762" s="135">
        <f t="shared" si="180"/>
        <v>0.54513888888888884</v>
      </c>
      <c r="M762" s="136">
        <v>0.41666666666666669</v>
      </c>
      <c r="N762" s="137" t="str">
        <f t="shared" si="181"/>
        <v>-03:05:00</v>
      </c>
      <c r="O762" s="138"/>
      <c r="P762" s="145" t="s">
        <v>125</v>
      </c>
      <c r="Q762" s="140" t="s">
        <v>312</v>
      </c>
      <c r="R762" s="141">
        <v>0.25</v>
      </c>
      <c r="S762" s="141">
        <v>0.4284722222222222</v>
      </c>
      <c r="T762" s="142">
        <f t="shared" si="183"/>
        <v>0.1784722222222222</v>
      </c>
      <c r="U762" s="132"/>
      <c r="V762" s="143">
        <v>4.1666666666666664E-2</v>
      </c>
      <c r="W762" s="132">
        <f t="shared" si="182"/>
        <v>0.13680555555555554</v>
      </c>
      <c r="X762" s="171">
        <v>46251.063888888886</v>
      </c>
      <c r="Y762" s="171">
        <v>46251.609027777777</v>
      </c>
      <c r="Z762" s="168">
        <f t="shared" si="171"/>
        <v>0.54513888889050577</v>
      </c>
      <c r="AA762" s="169">
        <f t="shared" si="172"/>
        <v>0.41666666666666669</v>
      </c>
      <c r="AB762" s="170" t="str">
        <f t="shared" si="173"/>
        <v>-03:05:00</v>
      </c>
      <c r="AC762" s="170" t="b">
        <f t="shared" si="174"/>
        <v>1</v>
      </c>
    </row>
    <row r="763" spans="1:29" s="128" customFormat="1" ht="9.75" hidden="1" customHeight="1" x14ac:dyDescent="0.3">
      <c r="A763" s="99">
        <v>46251</v>
      </c>
      <c r="B763" s="59">
        <v>8177856</v>
      </c>
      <c r="C763" s="60" t="s">
        <v>53</v>
      </c>
      <c r="D763" s="60" t="s">
        <v>298</v>
      </c>
      <c r="E763" s="61">
        <v>8.3333333333333329E-2</v>
      </c>
      <c r="F763" s="60" t="s">
        <v>13</v>
      </c>
      <c r="G763" s="71" t="s">
        <v>19</v>
      </c>
      <c r="H763" s="62">
        <v>8.3333333333333329E-2</v>
      </c>
      <c r="I763" s="113" t="str">
        <f t="shared" si="175"/>
        <v>17-08-2026T02:00:00</v>
      </c>
      <c r="J763" s="62">
        <v>0.49305555555555558</v>
      </c>
      <c r="K763" s="62"/>
      <c r="L763" s="63">
        <f t="shared" si="180"/>
        <v>0.40972222222222227</v>
      </c>
      <c r="M763" s="64">
        <v>0.41666666666666669</v>
      </c>
      <c r="N763" s="65" t="str">
        <f t="shared" si="181"/>
        <v>00:10:00</v>
      </c>
      <c r="O763" s="66"/>
      <c r="P763" s="124"/>
      <c r="Q763" s="67" t="s">
        <v>229</v>
      </c>
      <c r="R763" s="68">
        <v>0.35416666666666669</v>
      </c>
      <c r="S763" s="68">
        <v>0.39583333333333331</v>
      </c>
      <c r="T763" s="69">
        <f t="shared" si="183"/>
        <v>4.166666666666663E-2</v>
      </c>
      <c r="U763" s="61" t="s">
        <v>546</v>
      </c>
      <c r="V763" s="83">
        <v>6.25E-2</v>
      </c>
      <c r="W763" s="61">
        <f t="shared" si="182"/>
        <v>-2.083333333333337E-2</v>
      </c>
      <c r="X763" s="171">
        <v>46251.083333333336</v>
      </c>
      <c r="Y763" s="171">
        <v>46251.493055555555</v>
      </c>
      <c r="Z763" s="168">
        <f t="shared" si="171"/>
        <v>0.40972222221898846</v>
      </c>
      <c r="AA763" s="169">
        <f t="shared" si="172"/>
        <v>0.41666666666666669</v>
      </c>
      <c r="AB763" s="170" t="str">
        <f t="shared" si="173"/>
        <v>00:10:00</v>
      </c>
      <c r="AC763" s="170" t="b">
        <f t="shared" si="174"/>
        <v>1</v>
      </c>
    </row>
    <row r="764" spans="1:29" s="128" customFormat="1" ht="9.75" hidden="1" customHeight="1" x14ac:dyDescent="0.3">
      <c r="A764" s="99">
        <v>46251</v>
      </c>
      <c r="B764" s="59">
        <v>8177849</v>
      </c>
      <c r="C764" s="60" t="s">
        <v>16</v>
      </c>
      <c r="D764" s="60" t="s">
        <v>285</v>
      </c>
      <c r="E764" s="61">
        <v>8.3333333333333329E-2</v>
      </c>
      <c r="F764" s="60" t="s">
        <v>15</v>
      </c>
      <c r="G764" s="71" t="s">
        <v>17</v>
      </c>
      <c r="H764" s="62">
        <v>8.1944444444444445E-2</v>
      </c>
      <c r="I764" s="113" t="str">
        <f t="shared" si="175"/>
        <v>17-08-2026T01:58:00</v>
      </c>
      <c r="J764" s="62">
        <v>0.48749999999999999</v>
      </c>
      <c r="K764" s="62"/>
      <c r="L764" s="63">
        <f t="shared" si="180"/>
        <v>0.40555555555555556</v>
      </c>
      <c r="M764" s="64">
        <v>0.41666666666666669</v>
      </c>
      <c r="N764" s="65" t="str">
        <f t="shared" si="181"/>
        <v>00:16:00</v>
      </c>
      <c r="O764" s="66"/>
      <c r="P764" s="124"/>
      <c r="Q764" s="67"/>
      <c r="R764" s="68"/>
      <c r="S764" s="68"/>
      <c r="T764" s="69">
        <f t="shared" si="183"/>
        <v>0</v>
      </c>
      <c r="U764" s="61"/>
      <c r="V764" s="83">
        <v>0</v>
      </c>
      <c r="W764" s="61">
        <f t="shared" si="182"/>
        <v>0</v>
      </c>
      <c r="X764" s="171">
        <v>8.1944444444444445E-2</v>
      </c>
      <c r="Y764" s="171">
        <v>0.48749999999999999</v>
      </c>
      <c r="Z764" s="168">
        <f t="shared" ref="Z764:Z827" si="184">Y764-X764</f>
        <v>0.40555555555555556</v>
      </c>
      <c r="AA764" s="169">
        <f t="shared" ref="AA764:AA827" si="185">M764</f>
        <v>0.41666666666666669</v>
      </c>
      <c r="AB764" s="170" t="str">
        <f t="shared" ref="AB764:AB827" si="186">IF(AA764-Z764&gt;0,TEXT(AA764-Z764,"HH:MM:SS"),TEXT(ABS(AA764-Z764),"-HH:MM:SS"))</f>
        <v>00:16:00</v>
      </c>
      <c r="AC764" s="170" t="b">
        <f t="shared" ref="AC764:AC827" si="187">AB764=N764</f>
        <v>1</v>
      </c>
    </row>
    <row r="765" spans="1:29" s="128" customFormat="1" ht="9.75" hidden="1" customHeight="1" x14ac:dyDescent="0.3">
      <c r="A765" s="99">
        <v>46251</v>
      </c>
      <c r="B765" s="59">
        <v>8177962</v>
      </c>
      <c r="C765" s="60" t="s">
        <v>87</v>
      </c>
      <c r="D765" s="60" t="s">
        <v>367</v>
      </c>
      <c r="E765" s="61">
        <v>0.125</v>
      </c>
      <c r="F765" s="60" t="s">
        <v>13</v>
      </c>
      <c r="G765" s="71" t="s">
        <v>284</v>
      </c>
      <c r="H765" s="62">
        <v>0.1361111111111111</v>
      </c>
      <c r="I765" s="113" t="str">
        <f t="shared" si="175"/>
        <v>17-08-2026T03:16:00</v>
      </c>
      <c r="J765" s="62">
        <v>0.48749999999999999</v>
      </c>
      <c r="K765" s="62"/>
      <c r="L765" s="63">
        <f t="shared" si="180"/>
        <v>0.35138888888888886</v>
      </c>
      <c r="M765" s="64">
        <v>0.35416666666666669</v>
      </c>
      <c r="N765" s="65" t="str">
        <f t="shared" si="181"/>
        <v>00:04:00</v>
      </c>
      <c r="O765" s="66"/>
      <c r="P765" s="124"/>
      <c r="Q765" s="67" t="s">
        <v>174</v>
      </c>
      <c r="R765" s="68">
        <v>0.40625</v>
      </c>
      <c r="S765" s="68">
        <v>0.43541666666666667</v>
      </c>
      <c r="T765" s="69">
        <f t="shared" si="183"/>
        <v>2.9166666666666674E-2</v>
      </c>
      <c r="U765" s="61"/>
      <c r="V765" s="83">
        <v>6.25E-2</v>
      </c>
      <c r="W765" s="61">
        <f t="shared" si="182"/>
        <v>-3.3333333333333326E-2</v>
      </c>
      <c r="X765" s="171">
        <v>46251.136111111111</v>
      </c>
      <c r="Y765" s="171">
        <v>46251.487500000003</v>
      </c>
      <c r="Z765" s="168">
        <f t="shared" si="184"/>
        <v>0.35138888889196096</v>
      </c>
      <c r="AA765" s="169">
        <f t="shared" si="185"/>
        <v>0.35416666666666669</v>
      </c>
      <c r="AB765" s="170" t="str">
        <f t="shared" si="186"/>
        <v>00:04:00</v>
      </c>
      <c r="AC765" s="170" t="b">
        <f t="shared" si="187"/>
        <v>1</v>
      </c>
    </row>
    <row r="766" spans="1:29" s="128" customFormat="1" ht="9.75" hidden="1" customHeight="1" x14ac:dyDescent="0.3">
      <c r="A766" s="99">
        <v>46251</v>
      </c>
      <c r="B766" s="59">
        <v>8178019</v>
      </c>
      <c r="C766" s="60" t="s">
        <v>54</v>
      </c>
      <c r="D766" s="60" t="s">
        <v>288</v>
      </c>
      <c r="E766" s="61">
        <v>0.16666666666666666</v>
      </c>
      <c r="F766" s="60" t="s">
        <v>13</v>
      </c>
      <c r="G766" s="71" t="s">
        <v>24</v>
      </c>
      <c r="H766" s="62">
        <v>0.16111111111111112</v>
      </c>
      <c r="I766" s="113" t="str">
        <f t="shared" si="175"/>
        <v>17-08-2026T03:52:00</v>
      </c>
      <c r="J766" s="62">
        <v>0.2361111111111111</v>
      </c>
      <c r="K766" s="62"/>
      <c r="L766" s="63">
        <f t="shared" si="180"/>
        <v>7.4999999999999983E-2</v>
      </c>
      <c r="M766" s="64">
        <v>8.3333333333333329E-2</v>
      </c>
      <c r="N766" s="65" t="str">
        <f t="shared" si="181"/>
        <v>00:12:00</v>
      </c>
      <c r="O766" s="66"/>
      <c r="P766" s="124"/>
      <c r="Q766" s="67"/>
      <c r="R766" s="68"/>
      <c r="S766" s="68"/>
      <c r="T766" s="69">
        <f t="shared" si="183"/>
        <v>0</v>
      </c>
      <c r="U766" s="61"/>
      <c r="V766" s="83">
        <v>0</v>
      </c>
      <c r="W766" s="61">
        <f t="shared" si="182"/>
        <v>0</v>
      </c>
      <c r="X766" s="171">
        <v>46251.161111111112</v>
      </c>
      <c r="Y766" s="171">
        <v>46251.236111111109</v>
      </c>
      <c r="Z766" s="168">
        <f t="shared" si="184"/>
        <v>7.4999999997089617E-2</v>
      </c>
      <c r="AA766" s="169">
        <f t="shared" si="185"/>
        <v>8.3333333333333329E-2</v>
      </c>
      <c r="AB766" s="170" t="str">
        <f t="shared" si="186"/>
        <v>00:12:00</v>
      </c>
      <c r="AC766" s="170" t="b">
        <f t="shared" si="187"/>
        <v>1</v>
      </c>
    </row>
    <row r="767" spans="1:29" s="128" customFormat="1" ht="9.75" hidden="1" customHeight="1" x14ac:dyDescent="0.3">
      <c r="A767" s="99">
        <v>46251</v>
      </c>
      <c r="B767" s="59">
        <v>8178060</v>
      </c>
      <c r="C767" s="60" t="s">
        <v>27</v>
      </c>
      <c r="D767" s="60" t="s">
        <v>378</v>
      </c>
      <c r="E767" s="61">
        <v>0.16666666666666666</v>
      </c>
      <c r="F767" s="60" t="s">
        <v>13</v>
      </c>
      <c r="G767" s="71" t="s">
        <v>28</v>
      </c>
      <c r="H767" s="62">
        <v>0.16944444444444445</v>
      </c>
      <c r="I767" s="113" t="str">
        <f t="shared" si="175"/>
        <v>17-08-2026T04:04:00</v>
      </c>
      <c r="J767" s="62">
        <v>0.33333333333333331</v>
      </c>
      <c r="K767" s="62"/>
      <c r="L767" s="63">
        <f t="shared" si="180"/>
        <v>0.16388888888888886</v>
      </c>
      <c r="M767" s="64">
        <v>0.16666666666666666</v>
      </c>
      <c r="N767" s="65" t="str">
        <f t="shared" si="181"/>
        <v>00:04:00</v>
      </c>
      <c r="O767" s="66"/>
      <c r="P767" s="124"/>
      <c r="Q767" s="67"/>
      <c r="R767" s="68"/>
      <c r="S767" s="68"/>
      <c r="T767" s="69">
        <f t="shared" si="183"/>
        <v>0</v>
      </c>
      <c r="U767" s="61"/>
      <c r="V767" s="83">
        <v>0</v>
      </c>
      <c r="W767" s="61">
        <f t="shared" si="182"/>
        <v>0</v>
      </c>
      <c r="X767" s="171">
        <v>46251.169444444444</v>
      </c>
      <c r="Y767" s="171">
        <v>46251.333333333336</v>
      </c>
      <c r="Z767" s="168">
        <f t="shared" si="184"/>
        <v>0.16388888889196096</v>
      </c>
      <c r="AA767" s="169">
        <f t="shared" si="185"/>
        <v>0.16666666666666666</v>
      </c>
      <c r="AB767" s="170" t="str">
        <f t="shared" si="186"/>
        <v>00:04:00</v>
      </c>
      <c r="AC767" s="170" t="b">
        <f t="shared" si="187"/>
        <v>1</v>
      </c>
    </row>
    <row r="768" spans="1:29" s="128" customFormat="1" ht="9.75" hidden="1" customHeight="1" x14ac:dyDescent="0.3">
      <c r="A768" s="99">
        <v>46251</v>
      </c>
      <c r="B768" s="59">
        <v>8178055</v>
      </c>
      <c r="C768" s="60" t="s">
        <v>29</v>
      </c>
      <c r="D768" s="60" t="s">
        <v>373</v>
      </c>
      <c r="E768" s="61">
        <v>0.16666666666666666</v>
      </c>
      <c r="F768" s="60" t="s">
        <v>17</v>
      </c>
      <c r="G768" s="71" t="s">
        <v>15</v>
      </c>
      <c r="H768" s="62">
        <v>0.16666666666666666</v>
      </c>
      <c r="I768" s="113" t="str">
        <f t="shared" si="175"/>
        <v>17-08-2026T04:00:00</v>
      </c>
      <c r="J768" s="62">
        <v>0.65763888888888888</v>
      </c>
      <c r="K768" s="62"/>
      <c r="L768" s="63">
        <f t="shared" si="180"/>
        <v>0.49097222222222225</v>
      </c>
      <c r="M768" s="64">
        <v>0.5</v>
      </c>
      <c r="N768" s="65" t="str">
        <f t="shared" si="181"/>
        <v>00:13:00</v>
      </c>
      <c r="O768" s="66"/>
      <c r="P768" s="124"/>
      <c r="Q768" s="67" t="s">
        <v>98</v>
      </c>
      <c r="R768" s="68">
        <v>0.375</v>
      </c>
      <c r="S768" s="68">
        <v>0.45833333333333331</v>
      </c>
      <c r="T768" s="69">
        <f t="shared" si="183"/>
        <v>8.3333333333333315E-2</v>
      </c>
      <c r="U768" s="61" t="s">
        <v>234</v>
      </c>
      <c r="V768" s="83">
        <v>8.3333333333333329E-2</v>
      </c>
      <c r="W768" s="61">
        <f t="shared" si="182"/>
        <v>0</v>
      </c>
      <c r="X768" s="171">
        <v>0.16666666666666666</v>
      </c>
      <c r="Y768" s="171">
        <v>0.65763888888888888</v>
      </c>
      <c r="Z768" s="168">
        <f t="shared" si="184"/>
        <v>0.49097222222222225</v>
      </c>
      <c r="AA768" s="169">
        <f t="shared" si="185"/>
        <v>0.5</v>
      </c>
      <c r="AB768" s="170" t="str">
        <f t="shared" si="186"/>
        <v>00:13:00</v>
      </c>
      <c r="AC768" s="170" t="b">
        <f t="shared" si="187"/>
        <v>1</v>
      </c>
    </row>
    <row r="769" spans="1:29" s="128" customFormat="1" ht="9.75" hidden="1" customHeight="1" x14ac:dyDescent="0.3">
      <c r="A769" s="99">
        <v>46251</v>
      </c>
      <c r="B769" s="59">
        <v>8177989</v>
      </c>
      <c r="C769" s="60" t="s">
        <v>40</v>
      </c>
      <c r="D769" s="60" t="s">
        <v>460</v>
      </c>
      <c r="E769" s="61">
        <v>0.16666666666666666</v>
      </c>
      <c r="F769" s="60" t="s">
        <v>31</v>
      </c>
      <c r="G769" s="71" t="s">
        <v>13</v>
      </c>
      <c r="H769" s="62">
        <v>0.14791666666666667</v>
      </c>
      <c r="I769" s="113" t="str">
        <f t="shared" si="175"/>
        <v>17-08-2026T03:33:00</v>
      </c>
      <c r="J769" s="62">
        <v>0.8208333333333333</v>
      </c>
      <c r="K769" s="62"/>
      <c r="L769" s="63">
        <f t="shared" si="180"/>
        <v>0.67291666666666661</v>
      </c>
      <c r="M769" s="64">
        <v>0.70833333333333337</v>
      </c>
      <c r="N769" s="65" t="str">
        <f t="shared" si="181"/>
        <v>00:51:00</v>
      </c>
      <c r="O769" s="66">
        <v>200</v>
      </c>
      <c r="P769" s="124" t="s">
        <v>598</v>
      </c>
      <c r="Q769" s="67" t="s">
        <v>13</v>
      </c>
      <c r="R769" s="68">
        <v>0.77083333333333337</v>
      </c>
      <c r="S769" s="68">
        <v>0.81597222222222221</v>
      </c>
      <c r="T769" s="69">
        <f t="shared" si="183"/>
        <v>4.513888888888884E-2</v>
      </c>
      <c r="U769" s="61"/>
      <c r="V769" s="83">
        <v>8.3333333333333329E-2</v>
      </c>
      <c r="W769" s="61">
        <f t="shared" si="182"/>
        <v>-3.8194444444444489E-2</v>
      </c>
      <c r="X769" s="172">
        <v>46251.147916666669</v>
      </c>
      <c r="Y769" s="172">
        <v>46251.820833333331</v>
      </c>
      <c r="Z769" s="173">
        <f t="shared" si="184"/>
        <v>0.67291666666278616</v>
      </c>
      <c r="AA769" s="174">
        <f t="shared" si="185"/>
        <v>0.70833333333333337</v>
      </c>
      <c r="AB769" s="175" t="str">
        <f t="shared" si="186"/>
        <v>00:51:00</v>
      </c>
      <c r="AC769" s="175" t="b">
        <f t="shared" si="187"/>
        <v>1</v>
      </c>
    </row>
    <row r="770" spans="1:29" s="127" customFormat="1" ht="9.75" hidden="1" customHeight="1" x14ac:dyDescent="0.3">
      <c r="A770" s="98">
        <v>46251</v>
      </c>
      <c r="B770" s="48">
        <v>8178010</v>
      </c>
      <c r="C770" s="49" t="s">
        <v>37</v>
      </c>
      <c r="D770" s="49" t="s">
        <v>578</v>
      </c>
      <c r="E770" s="50">
        <v>0.16666666666666666</v>
      </c>
      <c r="F770" s="49" t="s">
        <v>13</v>
      </c>
      <c r="G770" s="70" t="s">
        <v>14</v>
      </c>
      <c r="H770" s="51">
        <v>0.15902777777777777</v>
      </c>
      <c r="I770" s="113" t="str">
        <f t="shared" si="175"/>
        <v>17-08-2026T03:49:00</v>
      </c>
      <c r="J770" s="51">
        <v>0.73888888888888893</v>
      </c>
      <c r="K770" s="51"/>
      <c r="L770" s="52">
        <f t="shared" si="180"/>
        <v>0.57986111111111116</v>
      </c>
      <c r="M770" s="53">
        <v>0.54166666666666663</v>
      </c>
      <c r="N770" s="54" t="str">
        <f t="shared" si="181"/>
        <v>-00:55:00</v>
      </c>
      <c r="O770" s="55">
        <v>200</v>
      </c>
      <c r="P770" s="147" t="s">
        <v>638</v>
      </c>
      <c r="Q770" s="56"/>
      <c r="R770" s="57"/>
      <c r="S770" s="57"/>
      <c r="T770" s="58">
        <f t="shared" si="183"/>
        <v>0</v>
      </c>
      <c r="U770" s="50"/>
      <c r="V770" s="74">
        <v>0</v>
      </c>
      <c r="W770" s="50">
        <f t="shared" si="182"/>
        <v>0</v>
      </c>
      <c r="X770" s="171">
        <v>46251.15902777778</v>
      </c>
      <c r="Y770" s="171">
        <v>46251.738888888889</v>
      </c>
      <c r="Z770" s="168">
        <f t="shared" si="184"/>
        <v>0.57986111110949423</v>
      </c>
      <c r="AA770" s="169">
        <f t="shared" si="185"/>
        <v>0.54166666666666663</v>
      </c>
      <c r="AB770" s="170" t="str">
        <f t="shared" si="186"/>
        <v>-00:55:00</v>
      </c>
      <c r="AC770" s="170" t="b">
        <f t="shared" si="187"/>
        <v>1</v>
      </c>
    </row>
    <row r="771" spans="1:29" s="128" customFormat="1" ht="9.75" hidden="1" customHeight="1" x14ac:dyDescent="0.3">
      <c r="A771" s="99">
        <v>46251</v>
      </c>
      <c r="B771" s="59">
        <v>8178219</v>
      </c>
      <c r="C771" s="60" t="s">
        <v>32</v>
      </c>
      <c r="D771" s="60" t="s">
        <v>476</v>
      </c>
      <c r="E771" s="61">
        <v>0.20833333333333334</v>
      </c>
      <c r="F771" s="60" t="s">
        <v>13</v>
      </c>
      <c r="G771" s="71" t="s">
        <v>287</v>
      </c>
      <c r="H771" s="62">
        <v>0.21388888888888888</v>
      </c>
      <c r="I771" s="113" t="str">
        <f t="shared" si="175"/>
        <v>17-08-2026T05:08:00</v>
      </c>
      <c r="J771" s="62">
        <v>0.35208333333333336</v>
      </c>
      <c r="K771" s="62"/>
      <c r="L771" s="63">
        <f t="shared" si="180"/>
        <v>0.13819444444444448</v>
      </c>
      <c r="M771" s="64">
        <v>0.14583333333333334</v>
      </c>
      <c r="N771" s="65" t="str">
        <f t="shared" si="181"/>
        <v>00:11:00</v>
      </c>
      <c r="O771" s="66"/>
      <c r="P771" s="124"/>
      <c r="Q771" s="67"/>
      <c r="R771" s="68"/>
      <c r="S771" s="68"/>
      <c r="T771" s="69">
        <f t="shared" si="183"/>
        <v>0</v>
      </c>
      <c r="U771" s="61" t="s">
        <v>234</v>
      </c>
      <c r="V771" s="83">
        <v>0</v>
      </c>
      <c r="W771" s="61">
        <f t="shared" si="182"/>
        <v>0</v>
      </c>
      <c r="X771" s="171">
        <v>46251.213888888888</v>
      </c>
      <c r="Y771" s="171">
        <v>46251.352083333331</v>
      </c>
      <c r="Z771" s="168">
        <f t="shared" si="184"/>
        <v>0.13819444444379769</v>
      </c>
      <c r="AA771" s="169">
        <f t="shared" si="185"/>
        <v>0.14583333333333334</v>
      </c>
      <c r="AB771" s="170" t="str">
        <f t="shared" si="186"/>
        <v>00:11:00</v>
      </c>
      <c r="AC771" s="170" t="b">
        <f t="shared" si="187"/>
        <v>1</v>
      </c>
    </row>
    <row r="772" spans="1:29" s="127" customFormat="1" ht="9.75" hidden="1" customHeight="1" x14ac:dyDescent="0.3">
      <c r="A772" s="98">
        <v>46251</v>
      </c>
      <c r="B772" s="48">
        <v>8178121</v>
      </c>
      <c r="C772" s="49" t="s">
        <v>25</v>
      </c>
      <c r="D772" s="49" t="s">
        <v>379</v>
      </c>
      <c r="E772" s="50">
        <v>0.20833333333333334</v>
      </c>
      <c r="F772" s="49" t="s">
        <v>26</v>
      </c>
      <c r="G772" s="70" t="s">
        <v>13</v>
      </c>
      <c r="H772" s="51">
        <v>0.18888888888888888</v>
      </c>
      <c r="I772" s="113" t="str">
        <f t="shared" ref="I772:I835" si="188">TEXT(A772,"dd-mm-yyyy")&amp;"T"&amp;TEXT(H772,"hh:mm:ss")</f>
        <v>17-08-2026T04:32:00</v>
      </c>
      <c r="J772" s="51">
        <v>0.65833333333333333</v>
      </c>
      <c r="K772" s="51"/>
      <c r="L772" s="52">
        <f t="shared" si="180"/>
        <v>0.46944444444444444</v>
      </c>
      <c r="M772" s="53">
        <v>0.45833333333333331</v>
      </c>
      <c r="N772" s="54" t="str">
        <f t="shared" si="181"/>
        <v>-00:16:00</v>
      </c>
      <c r="O772" s="55">
        <v>250</v>
      </c>
      <c r="P772" s="147" t="s">
        <v>598</v>
      </c>
      <c r="Q772" s="56" t="s">
        <v>13</v>
      </c>
      <c r="R772" s="57">
        <v>0.59791666666666665</v>
      </c>
      <c r="S772" s="57">
        <v>0.65833333333333333</v>
      </c>
      <c r="T772" s="58">
        <f t="shared" si="183"/>
        <v>6.0416666666666674E-2</v>
      </c>
      <c r="U772" s="50"/>
      <c r="V772" s="74">
        <v>8.3333333333333329E-2</v>
      </c>
      <c r="W772" s="50">
        <f t="shared" si="182"/>
        <v>-2.2916666666666655E-2</v>
      </c>
      <c r="X772" s="171">
        <v>46251.188888888886</v>
      </c>
      <c r="Y772" s="171">
        <v>46251.658333333333</v>
      </c>
      <c r="Z772" s="168">
        <f t="shared" si="184"/>
        <v>0.46944444444670808</v>
      </c>
      <c r="AA772" s="169">
        <f t="shared" si="185"/>
        <v>0.45833333333333331</v>
      </c>
      <c r="AB772" s="170" t="str">
        <f t="shared" si="186"/>
        <v>-00:16:00</v>
      </c>
      <c r="AC772" s="170" t="b">
        <f t="shared" si="187"/>
        <v>1</v>
      </c>
    </row>
    <row r="773" spans="1:29" s="128" customFormat="1" ht="9.75" hidden="1" customHeight="1" x14ac:dyDescent="0.3">
      <c r="A773" s="99">
        <v>46251</v>
      </c>
      <c r="B773" s="59">
        <v>8178309</v>
      </c>
      <c r="C773" s="60" t="s">
        <v>58</v>
      </c>
      <c r="D773" s="60" t="s">
        <v>591</v>
      </c>
      <c r="E773" s="61">
        <v>0.25</v>
      </c>
      <c r="F773" s="60" t="s">
        <v>14</v>
      </c>
      <c r="G773" s="71" t="s">
        <v>13</v>
      </c>
      <c r="H773" s="62">
        <v>0.24652777777777779</v>
      </c>
      <c r="I773" s="113" t="str">
        <f t="shared" si="188"/>
        <v>17-08-2026T05:55:00</v>
      </c>
      <c r="J773" s="62">
        <v>0.78680555555555554</v>
      </c>
      <c r="K773" s="62"/>
      <c r="L773" s="63">
        <f t="shared" si="180"/>
        <v>0.54027777777777775</v>
      </c>
      <c r="M773" s="64">
        <v>0.54166666666666663</v>
      </c>
      <c r="N773" s="65" t="str">
        <f t="shared" si="181"/>
        <v>00:02:00</v>
      </c>
      <c r="O773" s="66"/>
      <c r="P773" s="124"/>
      <c r="Q773" s="67"/>
      <c r="R773" s="68"/>
      <c r="S773" s="68"/>
      <c r="T773" s="69">
        <f t="shared" si="183"/>
        <v>0</v>
      </c>
      <c r="U773" s="61"/>
      <c r="V773" s="83">
        <v>0</v>
      </c>
      <c r="W773" s="61">
        <f t="shared" si="182"/>
        <v>0</v>
      </c>
      <c r="X773" s="171">
        <v>0.24652777777777779</v>
      </c>
      <c r="Y773" s="171">
        <v>0.78680555555555554</v>
      </c>
      <c r="Z773" s="168">
        <f t="shared" si="184"/>
        <v>0.54027777777777775</v>
      </c>
      <c r="AA773" s="169">
        <f t="shared" si="185"/>
        <v>0.54166666666666663</v>
      </c>
      <c r="AB773" s="170" t="str">
        <f t="shared" si="186"/>
        <v>00:02:00</v>
      </c>
      <c r="AC773" s="170" t="b">
        <f t="shared" si="187"/>
        <v>1</v>
      </c>
    </row>
    <row r="774" spans="1:29" s="128" customFormat="1" ht="9.75" hidden="1" customHeight="1" x14ac:dyDescent="0.3">
      <c r="A774" s="99">
        <v>46251</v>
      </c>
      <c r="B774" s="59">
        <v>8178367</v>
      </c>
      <c r="C774" s="60" t="s">
        <v>89</v>
      </c>
      <c r="D774" s="60" t="s">
        <v>294</v>
      </c>
      <c r="E774" s="61">
        <v>0.25</v>
      </c>
      <c r="F774" s="60" t="s">
        <v>13</v>
      </c>
      <c r="G774" s="71" t="s">
        <v>35</v>
      </c>
      <c r="H774" s="62">
        <v>0.25347222222222221</v>
      </c>
      <c r="I774" s="113" t="str">
        <f t="shared" si="188"/>
        <v>17-08-2026T06:05:00</v>
      </c>
      <c r="J774" s="62">
        <v>0.28819444444444442</v>
      </c>
      <c r="K774" s="62"/>
      <c r="L774" s="63">
        <f t="shared" si="180"/>
        <v>3.472222222222221E-2</v>
      </c>
      <c r="M774" s="64">
        <v>4.1666666666666664E-2</v>
      </c>
      <c r="N774" s="65" t="str">
        <f t="shared" si="181"/>
        <v>00:10:00</v>
      </c>
      <c r="O774" s="66"/>
      <c r="P774" s="124"/>
      <c r="Q774" s="67"/>
      <c r="R774" s="68"/>
      <c r="S774" s="68"/>
      <c r="T774" s="69">
        <f t="shared" si="183"/>
        <v>0</v>
      </c>
      <c r="U774" s="61"/>
      <c r="V774" s="83">
        <v>0</v>
      </c>
      <c r="W774" s="61">
        <f t="shared" si="182"/>
        <v>0</v>
      </c>
      <c r="X774" s="171">
        <v>46251.253472222219</v>
      </c>
      <c r="Y774" s="171">
        <v>46251.288194444445</v>
      </c>
      <c r="Z774" s="168">
        <f t="shared" si="184"/>
        <v>3.4722222226264421E-2</v>
      </c>
      <c r="AA774" s="169">
        <f t="shared" si="185"/>
        <v>4.1666666666666664E-2</v>
      </c>
      <c r="AB774" s="170" t="str">
        <f t="shared" si="186"/>
        <v>00:10:00</v>
      </c>
      <c r="AC774" s="170" t="b">
        <f t="shared" si="187"/>
        <v>1</v>
      </c>
    </row>
    <row r="775" spans="1:29" s="128" customFormat="1" ht="9.75" hidden="1" customHeight="1" x14ac:dyDescent="0.3">
      <c r="A775" s="99">
        <v>46251</v>
      </c>
      <c r="B775" s="59">
        <v>8178406</v>
      </c>
      <c r="C775" s="60" t="s">
        <v>38</v>
      </c>
      <c r="D775" s="60" t="s">
        <v>289</v>
      </c>
      <c r="E775" s="61">
        <v>0.27083333333333331</v>
      </c>
      <c r="F775" s="60" t="s">
        <v>13</v>
      </c>
      <c r="G775" s="71" t="s">
        <v>14</v>
      </c>
      <c r="H775" s="62">
        <v>0.27152777777777776</v>
      </c>
      <c r="I775" s="113" t="str">
        <f t="shared" si="188"/>
        <v>17-08-2026T06:31:00</v>
      </c>
      <c r="J775" s="62">
        <v>0.88888888888888884</v>
      </c>
      <c r="K775" s="62"/>
      <c r="L775" s="63">
        <f t="shared" si="180"/>
        <v>0.61736111111111103</v>
      </c>
      <c r="M775" s="64">
        <v>0.625</v>
      </c>
      <c r="N775" s="65" t="str">
        <f t="shared" si="181"/>
        <v>00:11:00</v>
      </c>
      <c r="O775" s="66"/>
      <c r="P775" s="124"/>
      <c r="Q775" s="67" t="s">
        <v>15</v>
      </c>
      <c r="R775" s="68">
        <v>0.51736111111111116</v>
      </c>
      <c r="S775" s="68">
        <v>0.52361111111111114</v>
      </c>
      <c r="T775" s="69">
        <f t="shared" si="183"/>
        <v>6.2499999999999778E-3</v>
      </c>
      <c r="U775" s="61" t="s">
        <v>234</v>
      </c>
      <c r="V775" s="83">
        <v>6.25E-2</v>
      </c>
      <c r="W775" s="61">
        <f t="shared" si="182"/>
        <v>-5.6250000000000022E-2</v>
      </c>
      <c r="X775" s="171">
        <v>46251.271527777775</v>
      </c>
      <c r="Y775" s="171">
        <v>46251.888888888891</v>
      </c>
      <c r="Z775" s="168">
        <f t="shared" si="184"/>
        <v>0.617361111115315</v>
      </c>
      <c r="AA775" s="169">
        <f t="shared" si="185"/>
        <v>0.625</v>
      </c>
      <c r="AB775" s="170" t="str">
        <f t="shared" si="186"/>
        <v>00:11:00</v>
      </c>
      <c r="AC775" s="170" t="b">
        <f t="shared" si="187"/>
        <v>1</v>
      </c>
    </row>
    <row r="776" spans="1:29" s="127" customFormat="1" ht="9.75" hidden="1" customHeight="1" x14ac:dyDescent="0.3">
      <c r="A776" s="98">
        <v>46251</v>
      </c>
      <c r="B776" s="48">
        <v>8178469</v>
      </c>
      <c r="C776" s="49" t="s">
        <v>39</v>
      </c>
      <c r="D776" s="49" t="s">
        <v>392</v>
      </c>
      <c r="E776" s="50">
        <v>0.29166666666666669</v>
      </c>
      <c r="F776" s="49" t="s">
        <v>13</v>
      </c>
      <c r="G776" s="70" t="s">
        <v>103</v>
      </c>
      <c r="H776" s="51">
        <v>46251.296527777777</v>
      </c>
      <c r="I776" s="113" t="str">
        <f t="shared" si="188"/>
        <v>17-08-2026T07:07:00</v>
      </c>
      <c r="J776" s="51">
        <v>46252.070138888892</v>
      </c>
      <c r="K776" s="51"/>
      <c r="L776" s="52">
        <f t="shared" si="180"/>
        <v>0.773611111115315</v>
      </c>
      <c r="M776" s="53">
        <v>0.625</v>
      </c>
      <c r="N776" s="54" t="str">
        <f t="shared" si="181"/>
        <v>-03:34:00</v>
      </c>
      <c r="O776" s="55">
        <f>250*4</f>
        <v>1000</v>
      </c>
      <c r="P776" s="147" t="s">
        <v>605</v>
      </c>
      <c r="Q776" s="56"/>
      <c r="R776" s="57"/>
      <c r="S776" s="57"/>
      <c r="T776" s="58">
        <f t="shared" si="183"/>
        <v>0</v>
      </c>
      <c r="U776" s="50" t="s">
        <v>234</v>
      </c>
      <c r="V776" s="74">
        <v>0</v>
      </c>
      <c r="W776" s="50">
        <f t="shared" si="182"/>
        <v>0</v>
      </c>
      <c r="X776" s="171">
        <v>46251.296527777777</v>
      </c>
      <c r="Y776" s="171">
        <v>46252.070138888892</v>
      </c>
      <c r="Z776" s="168">
        <f t="shared" si="184"/>
        <v>0.773611111115315</v>
      </c>
      <c r="AA776" s="169">
        <f t="shared" si="185"/>
        <v>0.625</v>
      </c>
      <c r="AB776" s="170" t="str">
        <f t="shared" si="186"/>
        <v>-03:34:00</v>
      </c>
      <c r="AC776" s="170" t="b">
        <f t="shared" si="187"/>
        <v>1</v>
      </c>
    </row>
    <row r="777" spans="1:29" s="128" customFormat="1" ht="9.75" hidden="1" customHeight="1" x14ac:dyDescent="0.3">
      <c r="A777" s="99">
        <v>46251</v>
      </c>
      <c r="B777" s="59">
        <v>8178485</v>
      </c>
      <c r="C777" s="60" t="s">
        <v>56</v>
      </c>
      <c r="D777" s="60" t="s">
        <v>472</v>
      </c>
      <c r="E777" s="61">
        <v>0.3125</v>
      </c>
      <c r="F777" s="60" t="s">
        <v>15</v>
      </c>
      <c r="G777" s="71" t="s">
        <v>13</v>
      </c>
      <c r="H777" s="62">
        <v>0.31111111111111112</v>
      </c>
      <c r="I777" s="113" t="str">
        <f t="shared" si="188"/>
        <v>17-08-2026T07:28:00</v>
      </c>
      <c r="J777" s="62">
        <v>0.54097222222222219</v>
      </c>
      <c r="K777" s="62"/>
      <c r="L777" s="63">
        <f t="shared" si="180"/>
        <v>0.22986111111111107</v>
      </c>
      <c r="M777" s="64">
        <v>0.25</v>
      </c>
      <c r="N777" s="65" t="str">
        <f t="shared" si="181"/>
        <v>00:29:00</v>
      </c>
      <c r="O777" s="66"/>
      <c r="P777" s="124"/>
      <c r="Q777" s="67" t="s">
        <v>205</v>
      </c>
      <c r="R777" s="68">
        <v>0.37986111111111109</v>
      </c>
      <c r="S777" s="68">
        <v>0.41666666666666669</v>
      </c>
      <c r="T777" s="69">
        <f t="shared" si="183"/>
        <v>3.6805555555555591E-2</v>
      </c>
      <c r="U777" s="61"/>
      <c r="V777" s="83">
        <v>4.1666666666666664E-2</v>
      </c>
      <c r="W777" s="61">
        <f t="shared" si="182"/>
        <v>-4.861111111111073E-3</v>
      </c>
      <c r="X777" s="171">
        <v>0.31111111111111112</v>
      </c>
      <c r="Y777" s="171">
        <v>0.54097222222222219</v>
      </c>
      <c r="Z777" s="168">
        <f t="shared" si="184"/>
        <v>0.22986111111111107</v>
      </c>
      <c r="AA777" s="169">
        <f t="shared" si="185"/>
        <v>0.25</v>
      </c>
      <c r="AB777" s="170" t="str">
        <f t="shared" si="186"/>
        <v>00:29:00</v>
      </c>
      <c r="AC777" s="170" t="b">
        <f t="shared" si="187"/>
        <v>1</v>
      </c>
    </row>
    <row r="778" spans="1:29" s="128" customFormat="1" ht="9.75" hidden="1" customHeight="1" x14ac:dyDescent="0.3">
      <c r="A778" s="99">
        <v>46251</v>
      </c>
      <c r="B778" s="59">
        <v>8178490</v>
      </c>
      <c r="C778" s="60" t="s">
        <v>42</v>
      </c>
      <c r="D778" s="60" t="s">
        <v>181</v>
      </c>
      <c r="E778" s="61">
        <v>0.3125</v>
      </c>
      <c r="F778" s="60" t="s">
        <v>13</v>
      </c>
      <c r="G778" s="71" t="s">
        <v>55</v>
      </c>
      <c r="H778" s="62">
        <v>0.31388888888888888</v>
      </c>
      <c r="I778" s="113" t="str">
        <f t="shared" si="188"/>
        <v>17-08-2026T07:32:00</v>
      </c>
      <c r="J778" s="62">
        <v>0.37361111111111112</v>
      </c>
      <c r="K778" s="62"/>
      <c r="L778" s="63">
        <f t="shared" si="180"/>
        <v>5.9722222222222232E-2</v>
      </c>
      <c r="M778" s="64">
        <v>6.25E-2</v>
      </c>
      <c r="N778" s="65" t="str">
        <f t="shared" si="181"/>
        <v>00:04:00</v>
      </c>
      <c r="O778" s="66"/>
      <c r="P778" s="124"/>
      <c r="Q778" s="67"/>
      <c r="R778" s="68"/>
      <c r="S778" s="68"/>
      <c r="T778" s="69">
        <f t="shared" si="183"/>
        <v>0</v>
      </c>
      <c r="U778" s="61" t="s">
        <v>234</v>
      </c>
      <c r="V778" s="83">
        <v>0</v>
      </c>
      <c r="W778" s="61">
        <f t="shared" si="182"/>
        <v>0</v>
      </c>
      <c r="X778" s="171">
        <v>46251.313888888886</v>
      </c>
      <c r="Y778" s="171">
        <v>46251.373611111114</v>
      </c>
      <c r="Z778" s="168">
        <f t="shared" si="184"/>
        <v>5.9722222227719612E-2</v>
      </c>
      <c r="AA778" s="169">
        <f t="shared" si="185"/>
        <v>6.25E-2</v>
      </c>
      <c r="AB778" s="170" t="str">
        <f t="shared" si="186"/>
        <v>00:04:00</v>
      </c>
      <c r="AC778" s="170" t="b">
        <f t="shared" si="187"/>
        <v>1</v>
      </c>
    </row>
    <row r="779" spans="1:29" s="128" customFormat="1" ht="9.75" hidden="1" customHeight="1" x14ac:dyDescent="0.3">
      <c r="A779" s="99">
        <v>46251</v>
      </c>
      <c r="B779" s="59">
        <v>8178604</v>
      </c>
      <c r="C779" s="60" t="s">
        <v>50</v>
      </c>
      <c r="D779" s="60" t="s">
        <v>329</v>
      </c>
      <c r="E779" s="61">
        <v>0.375</v>
      </c>
      <c r="F779" s="60" t="s">
        <v>13</v>
      </c>
      <c r="G779" s="71" t="s">
        <v>31</v>
      </c>
      <c r="H779" s="62">
        <v>46251.376388888886</v>
      </c>
      <c r="I779" s="113" t="str">
        <f t="shared" si="188"/>
        <v>17-08-2026T09:02:00</v>
      </c>
      <c r="J779" s="62">
        <v>46252.040277777778</v>
      </c>
      <c r="K779" s="62"/>
      <c r="L779" s="63">
        <f t="shared" si="180"/>
        <v>0.66388888889196096</v>
      </c>
      <c r="M779" s="64">
        <v>0.75</v>
      </c>
      <c r="N779" s="65" t="str">
        <f t="shared" si="181"/>
        <v>02:04:00</v>
      </c>
      <c r="O779" s="66"/>
      <c r="P779" s="124"/>
      <c r="Q779" s="67" t="s">
        <v>45</v>
      </c>
      <c r="R779" s="68">
        <v>0.87569444444444444</v>
      </c>
      <c r="S779" s="68">
        <v>0.90694444444444444</v>
      </c>
      <c r="T779" s="69">
        <f t="shared" si="183"/>
        <v>3.125E-2</v>
      </c>
      <c r="U779" s="61"/>
      <c r="V779" s="83">
        <v>8.3333333333333329E-2</v>
      </c>
      <c r="W779" s="61">
        <f t="shared" si="182"/>
        <v>-5.2083333333333329E-2</v>
      </c>
      <c r="X779" s="172">
        <v>46251.376388888886</v>
      </c>
      <c r="Y779" s="172">
        <v>46252.040277777778</v>
      </c>
      <c r="Z779" s="173">
        <f t="shared" si="184"/>
        <v>0.66388888889196096</v>
      </c>
      <c r="AA779" s="174">
        <f t="shared" si="185"/>
        <v>0.75</v>
      </c>
      <c r="AB779" s="175" t="str">
        <f t="shared" si="186"/>
        <v>02:04:00</v>
      </c>
      <c r="AC779" s="175" t="b">
        <f t="shared" si="187"/>
        <v>1</v>
      </c>
    </row>
    <row r="780" spans="1:29" ht="9.75" hidden="1" customHeight="1" x14ac:dyDescent="0.3">
      <c r="A780" s="149">
        <v>46250</v>
      </c>
      <c r="B780" s="150" t="s">
        <v>687</v>
      </c>
      <c r="C780" s="151" t="s">
        <v>100</v>
      </c>
      <c r="D780" s="151" t="s">
        <v>391</v>
      </c>
      <c r="E780" s="152">
        <v>0</v>
      </c>
      <c r="F780" s="151"/>
      <c r="G780" s="153"/>
      <c r="H780" s="154">
        <v>0</v>
      </c>
      <c r="I780" s="113" t="str">
        <f t="shared" si="188"/>
        <v>16-08-2026T00:00:00</v>
      </c>
      <c r="J780" s="154">
        <v>0</v>
      </c>
      <c r="K780" s="154"/>
      <c r="L780" s="155">
        <v>0</v>
      </c>
      <c r="M780" s="160">
        <v>0</v>
      </c>
      <c r="N780" s="156">
        <v>0</v>
      </c>
      <c r="O780" s="157"/>
      <c r="P780" s="158" t="s">
        <v>480</v>
      </c>
      <c r="Q780" s="159" t="s">
        <v>480</v>
      </c>
      <c r="R780" s="148" t="s">
        <v>480</v>
      </c>
      <c r="S780" s="148" t="s">
        <v>480</v>
      </c>
      <c r="T780" s="161" t="s">
        <v>480</v>
      </c>
      <c r="U780" s="152" t="s">
        <v>480</v>
      </c>
      <c r="V780" s="146" t="s">
        <v>480</v>
      </c>
      <c r="W780" s="152" t="s">
        <v>480</v>
      </c>
      <c r="X780" s="171" t="s">
        <v>668</v>
      </c>
      <c r="Y780" s="171" t="s">
        <v>668</v>
      </c>
      <c r="Z780" s="168" t="e">
        <f t="shared" si="184"/>
        <v>#VALUE!</v>
      </c>
      <c r="AA780" s="169">
        <f t="shared" si="185"/>
        <v>0</v>
      </c>
      <c r="AB780" s="170" t="e">
        <f t="shared" si="186"/>
        <v>#VALUE!</v>
      </c>
      <c r="AC780" s="170" t="e">
        <f t="shared" si="187"/>
        <v>#VALUE!</v>
      </c>
    </row>
    <row r="781" spans="1:29" s="128" customFormat="1" ht="9.75" hidden="1" customHeight="1" x14ac:dyDescent="0.3">
      <c r="A781" s="99">
        <v>46251</v>
      </c>
      <c r="B781" s="59">
        <v>8178602</v>
      </c>
      <c r="C781" s="60" t="s">
        <v>100</v>
      </c>
      <c r="D781" s="60" t="s">
        <v>391</v>
      </c>
      <c r="E781" s="61">
        <v>0.375</v>
      </c>
      <c r="F781" s="60" t="s">
        <v>13</v>
      </c>
      <c r="G781" s="71" t="s">
        <v>47</v>
      </c>
      <c r="H781" s="62">
        <v>46251.376388888886</v>
      </c>
      <c r="I781" s="113" t="str">
        <f t="shared" si="188"/>
        <v>17-08-2026T09:02:00</v>
      </c>
      <c r="J781" s="62">
        <v>46253.285416666666</v>
      </c>
      <c r="K781" s="62"/>
      <c r="L781" s="63">
        <f t="shared" ref="L781:L806" si="189">J781-H781</f>
        <v>1.9090277777795563</v>
      </c>
      <c r="M781" s="64">
        <v>1.9166666666666667</v>
      </c>
      <c r="N781" s="65" t="str">
        <f t="shared" ref="N781:N806" si="190">IF(M781-L781&gt;0,TEXT(M781-L781,"HH:MM:SS"),TEXT(ABS(M781-L781),"-HH:MM:SS"))</f>
        <v>00:11:00</v>
      </c>
      <c r="O781" s="66"/>
      <c r="P781" s="124"/>
      <c r="Q781" s="67" t="s">
        <v>96</v>
      </c>
      <c r="R781" s="68">
        <v>46253.043749999997</v>
      </c>
      <c r="S781" s="68">
        <v>46253.159722222219</v>
      </c>
      <c r="T781" s="47">
        <f t="shared" ref="T781:T806" si="191">S781-R781</f>
        <v>0.11597222222189885</v>
      </c>
      <c r="U781" s="61"/>
      <c r="V781" s="83">
        <v>8.3333333333333329E-2</v>
      </c>
      <c r="W781" s="61">
        <f t="shared" ref="W781:W806" si="192">T781-V781</f>
        <v>3.2638888888565518E-2</v>
      </c>
      <c r="X781" s="171">
        <v>46251.376388888886</v>
      </c>
      <c r="Y781" s="171">
        <v>46253.285416666666</v>
      </c>
      <c r="Z781" s="168">
        <f t="shared" si="184"/>
        <v>1.9090277777795563</v>
      </c>
      <c r="AA781" s="169">
        <f t="shared" si="185"/>
        <v>1.9166666666666667</v>
      </c>
      <c r="AB781" s="170" t="str">
        <f t="shared" si="186"/>
        <v>00:11:00</v>
      </c>
      <c r="AC781" s="170" t="b">
        <f t="shared" si="187"/>
        <v>1</v>
      </c>
    </row>
    <row r="782" spans="1:29" s="128" customFormat="1" ht="9.75" hidden="1" customHeight="1" x14ac:dyDescent="0.3">
      <c r="A782" s="99">
        <v>46251</v>
      </c>
      <c r="B782" s="59">
        <v>8178573</v>
      </c>
      <c r="C782" s="60" t="s">
        <v>51</v>
      </c>
      <c r="D782" s="60" t="s">
        <v>295</v>
      </c>
      <c r="E782" s="61">
        <v>0.375</v>
      </c>
      <c r="F782" s="60" t="s">
        <v>49</v>
      </c>
      <c r="G782" s="71" t="s">
        <v>13</v>
      </c>
      <c r="H782" s="62">
        <v>0.3659722222222222</v>
      </c>
      <c r="I782" s="113" t="str">
        <f t="shared" si="188"/>
        <v>17-08-2026T08:47:00</v>
      </c>
      <c r="J782" s="62">
        <v>0.94444444444444442</v>
      </c>
      <c r="K782" s="62"/>
      <c r="L782" s="63">
        <f t="shared" si="189"/>
        <v>0.57847222222222228</v>
      </c>
      <c r="M782" s="64">
        <v>0.58333333333333337</v>
      </c>
      <c r="N782" s="65" t="str">
        <f t="shared" si="190"/>
        <v>00:07:00</v>
      </c>
      <c r="O782" s="66"/>
      <c r="P782" s="124"/>
      <c r="Q782" s="67" t="s">
        <v>13</v>
      </c>
      <c r="R782" s="68">
        <v>0.86527777777777781</v>
      </c>
      <c r="S782" s="68">
        <v>0.93819444444444444</v>
      </c>
      <c r="T782" s="69">
        <f t="shared" si="191"/>
        <v>7.291666666666663E-2</v>
      </c>
      <c r="U782" s="61"/>
      <c r="V782" s="83">
        <v>8.3333333333333329E-2</v>
      </c>
      <c r="W782" s="61">
        <f t="shared" si="192"/>
        <v>-1.0416666666666699E-2</v>
      </c>
      <c r="X782" s="171">
        <v>46251.365972222222</v>
      </c>
      <c r="Y782" s="171">
        <v>46251.944444444445</v>
      </c>
      <c r="Z782" s="168">
        <f t="shared" si="184"/>
        <v>0.57847222222335404</v>
      </c>
      <c r="AA782" s="169">
        <f t="shared" si="185"/>
        <v>0.58333333333333337</v>
      </c>
      <c r="AB782" s="170" t="str">
        <f t="shared" si="186"/>
        <v>00:07:00</v>
      </c>
      <c r="AC782" s="170" t="b">
        <f t="shared" si="187"/>
        <v>1</v>
      </c>
    </row>
    <row r="783" spans="1:29" s="128" customFormat="1" ht="9.75" hidden="1" customHeight="1" x14ac:dyDescent="0.3">
      <c r="A783" s="99">
        <v>46251</v>
      </c>
      <c r="B783" s="59">
        <v>8178664</v>
      </c>
      <c r="C783" s="60" t="s">
        <v>30</v>
      </c>
      <c r="D783" s="60" t="s">
        <v>286</v>
      </c>
      <c r="E783" s="61">
        <v>0.41666666666666669</v>
      </c>
      <c r="F783" s="60" t="s">
        <v>31</v>
      </c>
      <c r="G783" s="71" t="s">
        <v>13</v>
      </c>
      <c r="H783" s="62">
        <v>46251.429861111108</v>
      </c>
      <c r="I783" s="113" t="str">
        <f t="shared" si="188"/>
        <v>17-08-2026T10:19:00</v>
      </c>
      <c r="J783" s="62">
        <v>46252.172222222223</v>
      </c>
      <c r="K783" s="62"/>
      <c r="L783" s="63">
        <f t="shared" si="189"/>
        <v>0.742361111115315</v>
      </c>
      <c r="M783" s="64">
        <v>0.75</v>
      </c>
      <c r="N783" s="65" t="str">
        <f t="shared" si="190"/>
        <v>00:11:00</v>
      </c>
      <c r="O783" s="66"/>
      <c r="P783" s="124" t="s">
        <v>629</v>
      </c>
      <c r="Q783" s="67" t="s">
        <v>45</v>
      </c>
      <c r="R783" s="68">
        <v>0.57430555555555551</v>
      </c>
      <c r="S783" s="68">
        <v>0.61111111111111116</v>
      </c>
      <c r="T783" s="69">
        <f t="shared" si="191"/>
        <v>3.6805555555555647E-2</v>
      </c>
      <c r="U783" s="61"/>
      <c r="V783" s="83">
        <v>8.3333333333333329E-2</v>
      </c>
      <c r="W783" s="61">
        <f t="shared" si="192"/>
        <v>-4.6527777777777682E-2</v>
      </c>
      <c r="X783" s="172">
        <v>46251.429861111108</v>
      </c>
      <c r="Y783" s="172">
        <v>46252.172222222223</v>
      </c>
      <c r="Z783" s="173">
        <f t="shared" si="184"/>
        <v>0.742361111115315</v>
      </c>
      <c r="AA783" s="174">
        <f t="shared" si="185"/>
        <v>0.75</v>
      </c>
      <c r="AB783" s="175" t="str">
        <f t="shared" si="186"/>
        <v>00:11:00</v>
      </c>
      <c r="AC783" s="175" t="b">
        <f t="shared" si="187"/>
        <v>1</v>
      </c>
    </row>
    <row r="784" spans="1:29" s="128" customFormat="1" ht="9.75" hidden="1" customHeight="1" x14ac:dyDescent="0.3">
      <c r="A784" s="99">
        <v>46251</v>
      </c>
      <c r="B784" s="59">
        <v>8178647</v>
      </c>
      <c r="C784" s="60" t="s">
        <v>48</v>
      </c>
      <c r="D784" s="60" t="s">
        <v>183</v>
      </c>
      <c r="E784" s="61">
        <v>0.41666666666666669</v>
      </c>
      <c r="F784" s="60" t="s">
        <v>13</v>
      </c>
      <c r="G784" s="71" t="s">
        <v>49</v>
      </c>
      <c r="H784" s="62">
        <v>0.41736111111111113</v>
      </c>
      <c r="I784" s="113" t="str">
        <f t="shared" si="188"/>
        <v>17-08-2026T10:01:00</v>
      </c>
      <c r="J784" s="62">
        <v>0.90972222222222221</v>
      </c>
      <c r="K784" s="62"/>
      <c r="L784" s="63">
        <f t="shared" si="189"/>
        <v>0.49236111111111108</v>
      </c>
      <c r="M784" s="64">
        <v>0.5</v>
      </c>
      <c r="N784" s="65" t="str">
        <f t="shared" si="190"/>
        <v>00:11:00</v>
      </c>
      <c r="O784" s="66"/>
      <c r="P784" s="124"/>
      <c r="Q784" s="67"/>
      <c r="R784" s="68"/>
      <c r="S784" s="68"/>
      <c r="T784" s="69">
        <f t="shared" si="191"/>
        <v>0</v>
      </c>
      <c r="U784" s="61" t="s">
        <v>234</v>
      </c>
      <c r="V784" s="83">
        <v>0</v>
      </c>
      <c r="W784" s="61">
        <f t="shared" si="192"/>
        <v>0</v>
      </c>
      <c r="X784" s="171">
        <v>46251.417361111111</v>
      </c>
      <c r="Y784" s="171">
        <v>46251.909722222219</v>
      </c>
      <c r="Z784" s="168">
        <f t="shared" si="184"/>
        <v>0.49236111110803904</v>
      </c>
      <c r="AA784" s="169">
        <f t="shared" si="185"/>
        <v>0.5</v>
      </c>
      <c r="AB784" s="170" t="str">
        <f t="shared" si="186"/>
        <v>00:11:00</v>
      </c>
      <c r="AC784" s="170" t="b">
        <f t="shared" si="187"/>
        <v>1</v>
      </c>
    </row>
    <row r="785" spans="1:29" s="128" customFormat="1" ht="9.75" hidden="1" customHeight="1" x14ac:dyDescent="0.3">
      <c r="A785" s="99">
        <v>46251</v>
      </c>
      <c r="B785" s="59">
        <v>8177748</v>
      </c>
      <c r="C785" s="60" t="s">
        <v>41</v>
      </c>
      <c r="D785" s="60" t="s">
        <v>299</v>
      </c>
      <c r="E785" s="61">
        <v>0.99930555555555556</v>
      </c>
      <c r="F785" s="60" t="s">
        <v>24</v>
      </c>
      <c r="G785" s="71" t="s">
        <v>13</v>
      </c>
      <c r="H785" s="62">
        <v>9.0277777777777769E-3</v>
      </c>
      <c r="I785" s="113" t="str">
        <f t="shared" si="188"/>
        <v>17-08-2026T00:13:00</v>
      </c>
      <c r="J785" s="62">
        <v>8.2638888888888887E-2</v>
      </c>
      <c r="K785" s="62"/>
      <c r="L785" s="63">
        <f t="shared" si="189"/>
        <v>7.3611111111111113E-2</v>
      </c>
      <c r="M785" s="64">
        <v>8.3333333333333329E-2</v>
      </c>
      <c r="N785" s="65" t="str">
        <f t="shared" si="190"/>
        <v>00:14:00</v>
      </c>
      <c r="O785" s="66"/>
      <c r="P785" s="124"/>
      <c r="Q785" s="67"/>
      <c r="R785" s="68"/>
      <c r="S785" s="68"/>
      <c r="T785" s="69">
        <f t="shared" si="191"/>
        <v>0</v>
      </c>
      <c r="U785" s="61"/>
      <c r="V785" s="83">
        <v>0</v>
      </c>
      <c r="W785" s="61">
        <f t="shared" si="192"/>
        <v>0</v>
      </c>
      <c r="X785" s="171">
        <v>9.0277777777777769E-3</v>
      </c>
      <c r="Y785" s="171">
        <v>8.2638888888888887E-2</v>
      </c>
      <c r="Z785" s="168">
        <f t="shared" si="184"/>
        <v>7.3611111111111113E-2</v>
      </c>
      <c r="AA785" s="169">
        <f t="shared" si="185"/>
        <v>8.3333333333333329E-2</v>
      </c>
      <c r="AB785" s="170" t="str">
        <f t="shared" si="186"/>
        <v>00:14:00</v>
      </c>
      <c r="AC785" s="170" t="b">
        <f t="shared" si="187"/>
        <v>1</v>
      </c>
    </row>
    <row r="786" spans="1:29" s="128" customFormat="1" ht="9.75" hidden="1" customHeight="1" x14ac:dyDescent="0.3">
      <c r="A786" s="99">
        <v>46251</v>
      </c>
      <c r="B786" s="59">
        <v>8178735</v>
      </c>
      <c r="C786" s="60" t="s">
        <v>41</v>
      </c>
      <c r="D786" s="60" t="s">
        <v>299</v>
      </c>
      <c r="E786" s="61">
        <v>0.45833333333333331</v>
      </c>
      <c r="F786" s="60" t="s">
        <v>13</v>
      </c>
      <c r="G786" s="71" t="s">
        <v>24</v>
      </c>
      <c r="H786" s="62">
        <v>0.46388888888888891</v>
      </c>
      <c r="I786" s="113" t="str">
        <f t="shared" si="188"/>
        <v>17-08-2026T11:08:00</v>
      </c>
      <c r="J786" s="62">
        <v>0.54166666666666663</v>
      </c>
      <c r="K786" s="62"/>
      <c r="L786" s="63">
        <f t="shared" si="189"/>
        <v>7.7777777777777724E-2</v>
      </c>
      <c r="M786" s="64">
        <v>8.3333333333333329E-2</v>
      </c>
      <c r="N786" s="65" t="str">
        <f t="shared" si="190"/>
        <v>00:08:00</v>
      </c>
      <c r="O786" s="66"/>
      <c r="P786" s="124"/>
      <c r="Q786" s="67"/>
      <c r="R786" s="68"/>
      <c r="S786" s="68"/>
      <c r="T786" s="69">
        <f t="shared" si="191"/>
        <v>0</v>
      </c>
      <c r="U786" s="61" t="s">
        <v>234</v>
      </c>
      <c r="V786" s="83">
        <v>0</v>
      </c>
      <c r="W786" s="61">
        <f t="shared" si="192"/>
        <v>0</v>
      </c>
      <c r="X786" s="171">
        <v>46251.463888888888</v>
      </c>
      <c r="Y786" s="171">
        <v>46251.541666666664</v>
      </c>
      <c r="Z786" s="168">
        <f t="shared" si="184"/>
        <v>7.7777777776645962E-2</v>
      </c>
      <c r="AA786" s="169">
        <f t="shared" si="185"/>
        <v>8.3333333333333329E-2</v>
      </c>
      <c r="AB786" s="170" t="str">
        <f t="shared" si="186"/>
        <v>00:08:00</v>
      </c>
      <c r="AC786" s="170" t="b">
        <f t="shared" si="187"/>
        <v>1</v>
      </c>
    </row>
    <row r="787" spans="1:29" s="128" customFormat="1" ht="9.75" hidden="1" customHeight="1" x14ac:dyDescent="0.3">
      <c r="A787" s="99">
        <v>46251</v>
      </c>
      <c r="B787" s="59">
        <v>8178814</v>
      </c>
      <c r="C787" s="60" t="s">
        <v>20</v>
      </c>
      <c r="D787" s="60" t="s">
        <v>232</v>
      </c>
      <c r="E787" s="61">
        <v>0.5</v>
      </c>
      <c r="F787" s="60" t="s">
        <v>13</v>
      </c>
      <c r="G787" s="71" t="s">
        <v>21</v>
      </c>
      <c r="H787" s="62">
        <v>0.5</v>
      </c>
      <c r="I787" s="113" t="str">
        <f t="shared" si="188"/>
        <v>17-08-2026T12:00:00</v>
      </c>
      <c r="J787" s="62">
        <v>0.74652777777777779</v>
      </c>
      <c r="K787" s="62"/>
      <c r="L787" s="63">
        <f t="shared" si="189"/>
        <v>0.24652777777777779</v>
      </c>
      <c r="M787" s="64">
        <v>0.25</v>
      </c>
      <c r="N787" s="65" t="str">
        <f t="shared" si="190"/>
        <v>00:05:00</v>
      </c>
      <c r="O787" s="66"/>
      <c r="P787" s="124"/>
      <c r="Q787" s="67"/>
      <c r="R787" s="68"/>
      <c r="S787" s="68"/>
      <c r="T787" s="69">
        <f t="shared" si="191"/>
        <v>0</v>
      </c>
      <c r="U787" s="61"/>
      <c r="V787" s="83">
        <v>0</v>
      </c>
      <c r="W787" s="61">
        <f t="shared" si="192"/>
        <v>0</v>
      </c>
      <c r="X787" s="171">
        <v>46251.5</v>
      </c>
      <c r="Y787" s="171">
        <v>46251.746527777781</v>
      </c>
      <c r="Z787" s="168">
        <f t="shared" si="184"/>
        <v>0.24652777778101154</v>
      </c>
      <c r="AA787" s="169">
        <f t="shared" si="185"/>
        <v>0.25</v>
      </c>
      <c r="AB787" s="170" t="str">
        <f t="shared" si="186"/>
        <v>00:05:00</v>
      </c>
      <c r="AC787" s="170" t="b">
        <f t="shared" si="187"/>
        <v>1</v>
      </c>
    </row>
    <row r="788" spans="1:29" s="128" customFormat="1" ht="9.75" hidden="1" customHeight="1" x14ac:dyDescent="0.3">
      <c r="A788" s="99">
        <v>46251</v>
      </c>
      <c r="B788" s="59">
        <v>8178876</v>
      </c>
      <c r="C788" s="60" t="s">
        <v>99</v>
      </c>
      <c r="D788" s="60" t="s">
        <v>375</v>
      </c>
      <c r="E788" s="61">
        <v>0.54166666666666663</v>
      </c>
      <c r="F788" s="60" t="s">
        <v>103</v>
      </c>
      <c r="G788" s="71" t="s">
        <v>13</v>
      </c>
      <c r="H788" s="62">
        <v>46251.536111111112</v>
      </c>
      <c r="I788" s="113" t="str">
        <f t="shared" si="188"/>
        <v>17-08-2026T12:52:00</v>
      </c>
      <c r="J788" s="62">
        <v>46252.203472222223</v>
      </c>
      <c r="K788" s="62"/>
      <c r="L788" s="63">
        <f t="shared" si="189"/>
        <v>0.66736111111094942</v>
      </c>
      <c r="M788" s="64">
        <v>0.70833333333333337</v>
      </c>
      <c r="N788" s="65" t="str">
        <f t="shared" si="190"/>
        <v>00:59:00</v>
      </c>
      <c r="O788" s="66"/>
      <c r="P788" s="124"/>
      <c r="Q788" s="67" t="s">
        <v>13</v>
      </c>
      <c r="R788" s="68">
        <v>46252.169444444444</v>
      </c>
      <c r="S788" s="68">
        <v>46252.194444444445</v>
      </c>
      <c r="T788" s="69">
        <f t="shared" si="191"/>
        <v>2.5000000001455192E-2</v>
      </c>
      <c r="U788" s="61"/>
      <c r="V788" s="83">
        <v>8.3333333333333329E-2</v>
      </c>
      <c r="W788" s="61">
        <f t="shared" si="192"/>
        <v>-5.8333333331878137E-2</v>
      </c>
      <c r="X788" s="171">
        <v>46251.536111111112</v>
      </c>
      <c r="Y788" s="171">
        <v>46252.203472222223</v>
      </c>
      <c r="Z788" s="168">
        <f t="shared" si="184"/>
        <v>0.66736111111094942</v>
      </c>
      <c r="AA788" s="169">
        <f t="shared" si="185"/>
        <v>0.70833333333333337</v>
      </c>
      <c r="AB788" s="170" t="str">
        <f t="shared" si="186"/>
        <v>00:59:00</v>
      </c>
      <c r="AC788" s="170" t="b">
        <f t="shared" si="187"/>
        <v>1</v>
      </c>
    </row>
    <row r="789" spans="1:29" s="128" customFormat="1" ht="9.75" hidden="1" customHeight="1" x14ac:dyDescent="0.3">
      <c r="A789" s="99">
        <v>46251</v>
      </c>
      <c r="B789" s="59">
        <v>8178887</v>
      </c>
      <c r="C789" s="60" t="s">
        <v>52</v>
      </c>
      <c r="D789" s="60" t="s">
        <v>616</v>
      </c>
      <c r="E789" s="61">
        <v>0.54166666666666663</v>
      </c>
      <c r="F789" s="60" t="s">
        <v>13</v>
      </c>
      <c r="G789" s="71" t="s">
        <v>15</v>
      </c>
      <c r="H789" s="62">
        <v>0.54097222222222219</v>
      </c>
      <c r="I789" s="113" t="str">
        <f t="shared" si="188"/>
        <v>17-08-2026T12:59:00</v>
      </c>
      <c r="J789" s="62">
        <v>0.74791666666666667</v>
      </c>
      <c r="K789" s="62"/>
      <c r="L789" s="63">
        <f t="shared" si="189"/>
        <v>0.20694444444444449</v>
      </c>
      <c r="M789" s="64">
        <v>0.20833333333333334</v>
      </c>
      <c r="N789" s="65" t="str">
        <f t="shared" si="190"/>
        <v>00:02:00</v>
      </c>
      <c r="O789" s="66"/>
      <c r="P789" s="124"/>
      <c r="Q789" s="67"/>
      <c r="R789" s="68"/>
      <c r="S789" s="68"/>
      <c r="T789" s="69">
        <f t="shared" si="191"/>
        <v>0</v>
      </c>
      <c r="U789" s="61" t="s">
        <v>234</v>
      </c>
      <c r="V789" s="83">
        <v>0</v>
      </c>
      <c r="W789" s="61">
        <f t="shared" si="192"/>
        <v>0</v>
      </c>
      <c r="X789" s="171">
        <v>46251.540972222225</v>
      </c>
      <c r="Y789" s="171">
        <v>46251.747916666667</v>
      </c>
      <c r="Z789" s="168">
        <f t="shared" si="184"/>
        <v>0.2069444444423425</v>
      </c>
      <c r="AA789" s="169">
        <f t="shared" si="185"/>
        <v>0.20833333333333334</v>
      </c>
      <c r="AB789" s="170" t="str">
        <f t="shared" si="186"/>
        <v>00:02:00</v>
      </c>
      <c r="AC789" s="170" t="b">
        <f t="shared" si="187"/>
        <v>1</v>
      </c>
    </row>
    <row r="790" spans="1:29" s="128" customFormat="1" ht="9.75" hidden="1" customHeight="1" x14ac:dyDescent="0.3">
      <c r="A790" s="99">
        <v>46251</v>
      </c>
      <c r="B790" s="59">
        <v>8179085</v>
      </c>
      <c r="C790" s="60" t="s">
        <v>53</v>
      </c>
      <c r="D790" s="60" t="s">
        <v>298</v>
      </c>
      <c r="E790" s="61">
        <v>0.64583333333333337</v>
      </c>
      <c r="F790" s="60" t="s">
        <v>19</v>
      </c>
      <c r="G790" s="71" t="s">
        <v>13</v>
      </c>
      <c r="H790" s="62">
        <v>46251.645833333336</v>
      </c>
      <c r="I790" s="113" t="str">
        <f t="shared" si="188"/>
        <v>17-08-2026T15:30:00</v>
      </c>
      <c r="J790" s="62">
        <v>46252.068749999999</v>
      </c>
      <c r="K790" s="62"/>
      <c r="L790" s="63">
        <f t="shared" si="189"/>
        <v>0.42291666666278616</v>
      </c>
      <c r="M790" s="64">
        <v>0.4375</v>
      </c>
      <c r="N790" s="65" t="str">
        <f t="shared" si="190"/>
        <v>00:21:00</v>
      </c>
      <c r="O790" s="66"/>
      <c r="P790" s="124"/>
      <c r="Q790" s="67" t="s">
        <v>229</v>
      </c>
      <c r="R790" s="68">
        <v>0.75347222222222221</v>
      </c>
      <c r="S790" s="68">
        <v>0.80555555555555558</v>
      </c>
      <c r="T790" s="69">
        <f t="shared" si="191"/>
        <v>5.208333333333337E-2</v>
      </c>
      <c r="U790" s="61"/>
      <c r="V790" s="83">
        <v>8.3333333333333329E-2</v>
      </c>
      <c r="W790" s="61">
        <f t="shared" si="192"/>
        <v>-3.1249999999999958E-2</v>
      </c>
      <c r="X790" s="171">
        <v>46251.645833333336</v>
      </c>
      <c r="Y790" s="171">
        <v>46252.068749999999</v>
      </c>
      <c r="Z790" s="168">
        <f t="shared" si="184"/>
        <v>0.42291666666278616</v>
      </c>
      <c r="AA790" s="169">
        <f t="shared" si="185"/>
        <v>0.4375</v>
      </c>
      <c r="AB790" s="170" t="str">
        <f t="shared" si="186"/>
        <v>00:21:00</v>
      </c>
      <c r="AC790" s="170" t="b">
        <f t="shared" si="187"/>
        <v>1</v>
      </c>
    </row>
    <row r="791" spans="1:29" s="128" customFormat="1" ht="9.75" hidden="1" customHeight="1" x14ac:dyDescent="0.3">
      <c r="A791" s="99">
        <v>46251</v>
      </c>
      <c r="B791" s="59">
        <v>8179217</v>
      </c>
      <c r="C791" s="60" t="s">
        <v>57</v>
      </c>
      <c r="D791" s="60" t="s">
        <v>370</v>
      </c>
      <c r="E791" s="61">
        <v>0.70833333333333337</v>
      </c>
      <c r="F791" s="60" t="s">
        <v>13</v>
      </c>
      <c r="G791" s="71" t="s">
        <v>24</v>
      </c>
      <c r="H791" s="62">
        <v>0.69861111111111107</v>
      </c>
      <c r="I791" s="113" t="str">
        <f t="shared" si="188"/>
        <v>17-08-2026T16:46:00</v>
      </c>
      <c r="J791" s="62">
        <v>0.77430555555555558</v>
      </c>
      <c r="K791" s="62"/>
      <c r="L791" s="63">
        <f t="shared" si="189"/>
        <v>7.5694444444444509E-2</v>
      </c>
      <c r="M791" s="64">
        <v>8.3333333333333329E-2</v>
      </c>
      <c r="N791" s="65" t="str">
        <f t="shared" si="190"/>
        <v>00:11:00</v>
      </c>
      <c r="O791" s="66"/>
      <c r="P791" s="124"/>
      <c r="Q791" s="67"/>
      <c r="R791" s="68"/>
      <c r="S791" s="68"/>
      <c r="T791" s="69">
        <f t="shared" si="191"/>
        <v>0</v>
      </c>
      <c r="U791" s="61" t="s">
        <v>234</v>
      </c>
      <c r="V791" s="83">
        <v>0</v>
      </c>
      <c r="W791" s="61">
        <f t="shared" si="192"/>
        <v>0</v>
      </c>
      <c r="X791" s="171">
        <v>46251.698611111111</v>
      </c>
      <c r="Y791" s="171">
        <v>46251.774305555555</v>
      </c>
      <c r="Z791" s="168">
        <f t="shared" si="184"/>
        <v>7.5694444443797693E-2</v>
      </c>
      <c r="AA791" s="169">
        <f t="shared" si="185"/>
        <v>8.3333333333333329E-2</v>
      </c>
      <c r="AB791" s="170" t="str">
        <f t="shared" si="186"/>
        <v>00:11:00</v>
      </c>
      <c r="AC791" s="170" t="b">
        <f t="shared" si="187"/>
        <v>1</v>
      </c>
    </row>
    <row r="792" spans="1:29" s="128" customFormat="1" ht="9.75" hidden="1" customHeight="1" x14ac:dyDescent="0.3">
      <c r="A792" s="99">
        <v>46251</v>
      </c>
      <c r="B792" s="59">
        <v>8179307</v>
      </c>
      <c r="C792" s="60" t="s">
        <v>87</v>
      </c>
      <c r="D792" s="60" t="s">
        <v>367</v>
      </c>
      <c r="E792" s="61">
        <v>0.70833333333333337</v>
      </c>
      <c r="F792" s="60" t="s">
        <v>85</v>
      </c>
      <c r="G792" s="71" t="s">
        <v>13</v>
      </c>
      <c r="H792" s="62">
        <v>46251.739583333336</v>
      </c>
      <c r="I792" s="113" t="str">
        <f t="shared" si="188"/>
        <v>17-08-2026T17:45:00</v>
      </c>
      <c r="J792" s="62">
        <v>46252.058333333334</v>
      </c>
      <c r="K792" s="62"/>
      <c r="L792" s="63">
        <f t="shared" si="189"/>
        <v>0.31874999999854481</v>
      </c>
      <c r="M792" s="64">
        <v>0.33333333333333331</v>
      </c>
      <c r="N792" s="65" t="str">
        <f t="shared" si="190"/>
        <v>00:21:00</v>
      </c>
      <c r="O792" s="66"/>
      <c r="P792" s="124"/>
      <c r="Q792" s="67" t="s">
        <v>174</v>
      </c>
      <c r="R792" s="68">
        <v>0.79861111111111116</v>
      </c>
      <c r="S792" s="68">
        <v>0.82430555555555551</v>
      </c>
      <c r="T792" s="69">
        <f t="shared" si="191"/>
        <v>2.5694444444444353E-2</v>
      </c>
      <c r="U792" s="61"/>
      <c r="V792" s="83">
        <v>4.1666666666666664E-2</v>
      </c>
      <c r="W792" s="61">
        <f t="shared" si="192"/>
        <v>-1.5972222222222311E-2</v>
      </c>
      <c r="X792" s="171">
        <v>46251.739583333336</v>
      </c>
      <c r="Y792" s="171">
        <v>46252.058333333334</v>
      </c>
      <c r="Z792" s="168">
        <f t="shared" si="184"/>
        <v>0.31874999999854481</v>
      </c>
      <c r="AA792" s="169">
        <f t="shared" si="185"/>
        <v>0.33333333333333331</v>
      </c>
      <c r="AB792" s="170" t="str">
        <f t="shared" si="186"/>
        <v>00:21:00</v>
      </c>
      <c r="AC792" s="170" t="b">
        <f t="shared" si="187"/>
        <v>1</v>
      </c>
    </row>
    <row r="793" spans="1:29" s="128" customFormat="1" ht="9.75" hidden="1" customHeight="1" x14ac:dyDescent="0.3">
      <c r="A793" s="99">
        <v>46251</v>
      </c>
      <c r="B793" s="59">
        <v>8179267</v>
      </c>
      <c r="C793" s="60" t="s">
        <v>27</v>
      </c>
      <c r="D793" s="60" t="s">
        <v>378</v>
      </c>
      <c r="E793" s="61">
        <v>0.70833333333333337</v>
      </c>
      <c r="F793" s="60" t="s">
        <v>28</v>
      </c>
      <c r="G793" s="71" t="s">
        <v>13</v>
      </c>
      <c r="H793" s="62">
        <v>0.71944444444444444</v>
      </c>
      <c r="I793" s="113" t="str">
        <f t="shared" si="188"/>
        <v>17-08-2026T17:16:00</v>
      </c>
      <c r="J793" s="62">
        <v>0.88541666666666663</v>
      </c>
      <c r="K793" s="62"/>
      <c r="L793" s="63">
        <f t="shared" si="189"/>
        <v>0.16597222222222219</v>
      </c>
      <c r="M793" s="64">
        <v>0.16666666666666666</v>
      </c>
      <c r="N793" s="65" t="str">
        <f t="shared" si="190"/>
        <v>00:01:00</v>
      </c>
      <c r="O793" s="66"/>
      <c r="P793" s="124"/>
      <c r="Q793" s="67"/>
      <c r="R793" s="68"/>
      <c r="S793" s="68"/>
      <c r="T793" s="69">
        <f t="shared" si="191"/>
        <v>0</v>
      </c>
      <c r="U793" s="61"/>
      <c r="V793" s="83">
        <v>0</v>
      </c>
      <c r="W793" s="61">
        <f t="shared" si="192"/>
        <v>0</v>
      </c>
      <c r="X793" s="171">
        <v>0.71944444444444444</v>
      </c>
      <c r="Y793" s="171">
        <v>0.88541666666666663</v>
      </c>
      <c r="Z793" s="168">
        <f t="shared" si="184"/>
        <v>0.16597222222222219</v>
      </c>
      <c r="AA793" s="169">
        <f t="shared" si="185"/>
        <v>0.16666666666666666</v>
      </c>
      <c r="AB793" s="170" t="str">
        <f t="shared" si="186"/>
        <v>00:01:00</v>
      </c>
      <c r="AC793" s="170" t="b">
        <f t="shared" si="187"/>
        <v>1</v>
      </c>
    </row>
    <row r="794" spans="1:29" s="128" customFormat="1" ht="9.75" hidden="1" customHeight="1" x14ac:dyDescent="0.3">
      <c r="A794" s="99">
        <v>46251</v>
      </c>
      <c r="B794" s="59">
        <v>8179293</v>
      </c>
      <c r="C794" s="60" t="s">
        <v>89</v>
      </c>
      <c r="D794" s="60" t="s">
        <v>294</v>
      </c>
      <c r="E794" s="61">
        <v>0.75</v>
      </c>
      <c r="F794" s="60" t="s">
        <v>35</v>
      </c>
      <c r="G794" s="71" t="s">
        <v>13</v>
      </c>
      <c r="H794" s="62">
        <v>0.73333333333333328</v>
      </c>
      <c r="I794" s="113" t="str">
        <f t="shared" si="188"/>
        <v>17-08-2026T17:36:00</v>
      </c>
      <c r="J794" s="62">
        <v>0.76388888888888884</v>
      </c>
      <c r="K794" s="62"/>
      <c r="L794" s="63">
        <f t="shared" si="189"/>
        <v>3.0555555555555558E-2</v>
      </c>
      <c r="M794" s="64">
        <v>4.1666666666666664E-2</v>
      </c>
      <c r="N794" s="65" t="str">
        <f t="shared" si="190"/>
        <v>00:16:00</v>
      </c>
      <c r="O794" s="66"/>
      <c r="P794" s="124"/>
      <c r="Q794" s="67"/>
      <c r="R794" s="68"/>
      <c r="S794" s="68"/>
      <c r="T794" s="69">
        <f t="shared" si="191"/>
        <v>0</v>
      </c>
      <c r="U794" s="61"/>
      <c r="V794" s="83">
        <v>0</v>
      </c>
      <c r="W794" s="61">
        <f t="shared" si="192"/>
        <v>0</v>
      </c>
      <c r="X794" s="171">
        <v>0.73333333333333328</v>
      </c>
      <c r="Y794" s="171">
        <v>0.76388888888888884</v>
      </c>
      <c r="Z794" s="168">
        <f t="shared" si="184"/>
        <v>3.0555555555555558E-2</v>
      </c>
      <c r="AA794" s="169">
        <f t="shared" si="185"/>
        <v>4.1666666666666664E-2</v>
      </c>
      <c r="AB794" s="170" t="str">
        <f t="shared" si="186"/>
        <v>00:16:00</v>
      </c>
      <c r="AC794" s="170" t="b">
        <f t="shared" si="187"/>
        <v>1</v>
      </c>
    </row>
    <row r="795" spans="1:29" s="128" customFormat="1" ht="9.75" hidden="1" customHeight="1" x14ac:dyDescent="0.3">
      <c r="A795" s="99">
        <v>46251</v>
      </c>
      <c r="B795" s="59">
        <v>8179469</v>
      </c>
      <c r="C795" s="60" t="s">
        <v>32</v>
      </c>
      <c r="D795" s="60" t="s">
        <v>476</v>
      </c>
      <c r="E795" s="61">
        <v>0.83333333333333337</v>
      </c>
      <c r="F795" s="60" t="s">
        <v>287</v>
      </c>
      <c r="G795" s="71" t="s">
        <v>13</v>
      </c>
      <c r="H795" s="62">
        <v>0.80486111111111114</v>
      </c>
      <c r="I795" s="113" t="str">
        <f t="shared" si="188"/>
        <v>17-08-2026T19:19:00</v>
      </c>
      <c r="J795" s="62">
        <v>0.93888888888888888</v>
      </c>
      <c r="K795" s="62"/>
      <c r="L795" s="63">
        <f t="shared" si="189"/>
        <v>0.13402777777777775</v>
      </c>
      <c r="M795" s="64">
        <v>0.14583333333333334</v>
      </c>
      <c r="N795" s="65" t="str">
        <f t="shared" si="190"/>
        <v>00:17:00</v>
      </c>
      <c r="O795" s="66"/>
      <c r="P795" s="124"/>
      <c r="Q795" s="67"/>
      <c r="R795" s="68"/>
      <c r="S795" s="68"/>
      <c r="T795" s="69">
        <f t="shared" si="191"/>
        <v>0</v>
      </c>
      <c r="U795" s="61"/>
      <c r="V795" s="83">
        <v>0</v>
      </c>
      <c r="W795" s="61">
        <f t="shared" si="192"/>
        <v>0</v>
      </c>
      <c r="X795" s="171">
        <v>0.80486111111111114</v>
      </c>
      <c r="Y795" s="171">
        <v>0.93888888888888888</v>
      </c>
      <c r="Z795" s="168">
        <f t="shared" si="184"/>
        <v>0.13402777777777775</v>
      </c>
      <c r="AA795" s="169">
        <f t="shared" si="185"/>
        <v>0.14583333333333334</v>
      </c>
      <c r="AB795" s="170" t="str">
        <f t="shared" si="186"/>
        <v>00:17:00</v>
      </c>
      <c r="AC795" s="170" t="b">
        <f t="shared" si="187"/>
        <v>1</v>
      </c>
    </row>
    <row r="796" spans="1:29" s="128" customFormat="1" ht="9.75" hidden="1" customHeight="1" x14ac:dyDescent="0.3">
      <c r="A796" s="99">
        <v>46251</v>
      </c>
      <c r="B796" s="59">
        <v>8179710</v>
      </c>
      <c r="C796" s="60" t="s">
        <v>56</v>
      </c>
      <c r="D796" s="60" t="s">
        <v>472</v>
      </c>
      <c r="E796" s="61">
        <v>0.875</v>
      </c>
      <c r="F796" s="60" t="s">
        <v>13</v>
      </c>
      <c r="G796" s="71" t="s">
        <v>15</v>
      </c>
      <c r="H796" s="62">
        <v>46251.879861111112</v>
      </c>
      <c r="I796" s="113" t="str">
        <f t="shared" si="188"/>
        <v>17-08-2026T21:07:00</v>
      </c>
      <c r="J796" s="62">
        <v>46252.07708333333</v>
      </c>
      <c r="K796" s="62"/>
      <c r="L796" s="63">
        <f t="shared" si="189"/>
        <v>0.19722222221753327</v>
      </c>
      <c r="M796" s="64">
        <v>0.20833333333333334</v>
      </c>
      <c r="N796" s="65" t="str">
        <f t="shared" si="190"/>
        <v>00:16:00</v>
      </c>
      <c r="O796" s="66"/>
      <c r="P796" s="124"/>
      <c r="Q796" s="67"/>
      <c r="R796" s="68"/>
      <c r="S796" s="68"/>
      <c r="T796" s="69">
        <f t="shared" si="191"/>
        <v>0</v>
      </c>
      <c r="U796" s="61"/>
      <c r="V796" s="83">
        <v>0</v>
      </c>
      <c r="W796" s="61">
        <f t="shared" si="192"/>
        <v>0</v>
      </c>
      <c r="X796" s="171">
        <v>46251.879861111112</v>
      </c>
      <c r="Y796" s="171">
        <v>46252.07708333333</v>
      </c>
      <c r="Z796" s="168">
        <f t="shared" si="184"/>
        <v>0.19722222221753327</v>
      </c>
      <c r="AA796" s="169">
        <f t="shared" si="185"/>
        <v>0.20833333333333334</v>
      </c>
      <c r="AB796" s="170" t="str">
        <f t="shared" si="186"/>
        <v>00:16:00</v>
      </c>
      <c r="AC796" s="170" t="b">
        <f t="shared" si="187"/>
        <v>1</v>
      </c>
    </row>
    <row r="797" spans="1:29" s="128" customFormat="1" ht="9.75" hidden="1" customHeight="1" x14ac:dyDescent="0.3">
      <c r="A797" s="99">
        <v>46251</v>
      </c>
      <c r="B797" s="59">
        <v>8179680</v>
      </c>
      <c r="C797" s="60" t="s">
        <v>42</v>
      </c>
      <c r="D797" s="60" t="s">
        <v>181</v>
      </c>
      <c r="E797" s="61">
        <v>0.875</v>
      </c>
      <c r="F797" s="60" t="s">
        <v>55</v>
      </c>
      <c r="G797" s="71" t="s">
        <v>13</v>
      </c>
      <c r="H797" s="62">
        <v>0.87083333333333335</v>
      </c>
      <c r="I797" s="113" t="str">
        <f t="shared" si="188"/>
        <v>17-08-2026T20:54:00</v>
      </c>
      <c r="J797" s="62">
        <v>0.9194444444444444</v>
      </c>
      <c r="K797" s="62"/>
      <c r="L797" s="63">
        <f t="shared" si="189"/>
        <v>4.8611111111111049E-2</v>
      </c>
      <c r="M797" s="64">
        <v>6.25E-2</v>
      </c>
      <c r="N797" s="65" t="str">
        <f t="shared" si="190"/>
        <v>00:20:00</v>
      </c>
      <c r="O797" s="66"/>
      <c r="P797" s="124"/>
      <c r="Q797" s="67"/>
      <c r="R797" s="68"/>
      <c r="S797" s="68"/>
      <c r="T797" s="69">
        <f t="shared" si="191"/>
        <v>0</v>
      </c>
      <c r="U797" s="61"/>
      <c r="V797" s="83">
        <v>0</v>
      </c>
      <c r="W797" s="61">
        <f t="shared" si="192"/>
        <v>0</v>
      </c>
      <c r="X797" s="171">
        <v>0.87083333333333335</v>
      </c>
      <c r="Y797" s="171">
        <v>0.9194444444444444</v>
      </c>
      <c r="Z797" s="168">
        <f t="shared" si="184"/>
        <v>4.8611111111111049E-2</v>
      </c>
      <c r="AA797" s="169">
        <f t="shared" si="185"/>
        <v>6.25E-2</v>
      </c>
      <c r="AB797" s="170" t="str">
        <f t="shared" si="186"/>
        <v>00:20:00</v>
      </c>
      <c r="AC797" s="170" t="b">
        <f t="shared" si="187"/>
        <v>1</v>
      </c>
    </row>
    <row r="798" spans="1:29" s="128" customFormat="1" ht="9.75" hidden="1" customHeight="1" x14ac:dyDescent="0.3">
      <c r="A798" s="99">
        <v>46251</v>
      </c>
      <c r="B798" s="59">
        <v>8179629</v>
      </c>
      <c r="C798" s="60" t="s">
        <v>54</v>
      </c>
      <c r="D798" s="60" t="s">
        <v>288</v>
      </c>
      <c r="E798" s="61">
        <v>0.875</v>
      </c>
      <c r="F798" s="60" t="s">
        <v>24</v>
      </c>
      <c r="G798" s="71" t="s">
        <v>13</v>
      </c>
      <c r="H798" s="62">
        <v>0.85763888888888884</v>
      </c>
      <c r="I798" s="113" t="str">
        <f t="shared" si="188"/>
        <v>17-08-2026T20:35:00</v>
      </c>
      <c r="J798" s="62">
        <v>0.92361111111111116</v>
      </c>
      <c r="K798" s="62"/>
      <c r="L798" s="63">
        <f t="shared" si="189"/>
        <v>6.5972222222222321E-2</v>
      </c>
      <c r="M798" s="64">
        <v>8.3333333333333329E-2</v>
      </c>
      <c r="N798" s="65" t="str">
        <f t="shared" si="190"/>
        <v>00:25:00</v>
      </c>
      <c r="O798" s="66"/>
      <c r="P798" s="124"/>
      <c r="Q798" s="67"/>
      <c r="R798" s="68"/>
      <c r="S798" s="68"/>
      <c r="T798" s="69">
        <f t="shared" si="191"/>
        <v>0</v>
      </c>
      <c r="U798" s="61"/>
      <c r="V798" s="83">
        <v>0</v>
      </c>
      <c r="W798" s="61">
        <f t="shared" si="192"/>
        <v>0</v>
      </c>
      <c r="X798" s="171">
        <v>46251.857638888891</v>
      </c>
      <c r="Y798" s="171">
        <v>46251.923611111109</v>
      </c>
      <c r="Z798" s="168">
        <f t="shared" si="184"/>
        <v>6.5972222218988463E-2</v>
      </c>
      <c r="AA798" s="169">
        <f t="shared" si="185"/>
        <v>8.3333333333333329E-2</v>
      </c>
      <c r="AB798" s="170" t="str">
        <f t="shared" si="186"/>
        <v>00:25:00</v>
      </c>
      <c r="AC798" s="170" t="b">
        <f t="shared" si="187"/>
        <v>1</v>
      </c>
    </row>
    <row r="799" spans="1:29" s="128" customFormat="1" ht="9.75" hidden="1" customHeight="1" x14ac:dyDescent="0.3">
      <c r="A799" s="99">
        <v>46251</v>
      </c>
      <c r="B799" s="59">
        <v>8179900</v>
      </c>
      <c r="C799" s="60" t="s">
        <v>20</v>
      </c>
      <c r="D799" s="60" t="s">
        <v>232</v>
      </c>
      <c r="E799" s="61">
        <v>0.95833333333333337</v>
      </c>
      <c r="F799" s="60" t="s">
        <v>21</v>
      </c>
      <c r="G799" s="71" t="s">
        <v>13</v>
      </c>
      <c r="H799" s="62">
        <v>46251.955555555556</v>
      </c>
      <c r="I799" s="113" t="str">
        <f t="shared" si="188"/>
        <v>17-08-2026T22:56:00</v>
      </c>
      <c r="J799" s="62">
        <v>46252.20416666667</v>
      </c>
      <c r="K799" s="62"/>
      <c r="L799" s="63">
        <f t="shared" si="189"/>
        <v>0.24861111111385981</v>
      </c>
      <c r="M799" s="64">
        <v>0.25</v>
      </c>
      <c r="N799" s="65" t="str">
        <f t="shared" si="190"/>
        <v>00:02:00</v>
      </c>
      <c r="O799" s="66"/>
      <c r="P799" s="124"/>
      <c r="Q799" s="67"/>
      <c r="R799" s="68"/>
      <c r="S799" s="68"/>
      <c r="T799" s="69">
        <f t="shared" si="191"/>
        <v>0</v>
      </c>
      <c r="U799" s="61"/>
      <c r="V799" s="83">
        <v>0</v>
      </c>
      <c r="W799" s="61">
        <f t="shared" si="192"/>
        <v>0</v>
      </c>
      <c r="X799" s="171">
        <v>46251.955555555556</v>
      </c>
      <c r="Y799" s="171">
        <v>46252.20416666667</v>
      </c>
      <c r="Z799" s="168">
        <f t="shared" si="184"/>
        <v>0.24861111111385981</v>
      </c>
      <c r="AA799" s="169">
        <f t="shared" si="185"/>
        <v>0.25</v>
      </c>
      <c r="AB799" s="170" t="str">
        <f t="shared" si="186"/>
        <v>00:02:00</v>
      </c>
      <c r="AC799" s="170" t="b">
        <f t="shared" si="187"/>
        <v>1</v>
      </c>
    </row>
    <row r="800" spans="1:29" s="128" customFormat="1" ht="9.75" customHeight="1" x14ac:dyDescent="0.3">
      <c r="A800" s="99">
        <v>46251</v>
      </c>
      <c r="B800" s="59">
        <v>8177743</v>
      </c>
      <c r="C800" s="60" t="s">
        <v>90</v>
      </c>
      <c r="D800" s="60" t="s">
        <v>290</v>
      </c>
      <c r="E800" s="61">
        <v>0.99930555555555556</v>
      </c>
      <c r="F800" s="60" t="s">
        <v>13</v>
      </c>
      <c r="G800" s="71" t="s">
        <v>15</v>
      </c>
      <c r="H800" s="62">
        <v>1.3888888888888889E-3</v>
      </c>
      <c r="I800" s="113" t="str">
        <f t="shared" si="188"/>
        <v>17-08-2026T00:02:00</v>
      </c>
      <c r="J800" s="62">
        <v>0.25</v>
      </c>
      <c r="K800" s="113" t="str">
        <f t="shared" ref="K800:K801" si="193">TEXT(A800,"dd-mm-yyyy")&amp;"T"&amp;TEXT(J800,"hh:mm:ss")</f>
        <v>17-08-2026T06:00:00</v>
      </c>
      <c r="L800" s="63">
        <f t="shared" si="189"/>
        <v>0.24861111111111112</v>
      </c>
      <c r="M800" s="64">
        <v>0.27083333333333331</v>
      </c>
      <c r="N800" s="65" t="str">
        <f t="shared" si="190"/>
        <v>00:32:00</v>
      </c>
      <c r="O800" s="66"/>
      <c r="P800" s="124"/>
      <c r="Q800" s="67" t="s">
        <v>13</v>
      </c>
      <c r="R800" s="68">
        <v>1.5277777777777777E-2</v>
      </c>
      <c r="S800" s="68">
        <v>5.1388888888888887E-2</v>
      </c>
      <c r="T800" s="69">
        <f t="shared" si="191"/>
        <v>3.6111111111111108E-2</v>
      </c>
      <c r="U800" s="61"/>
      <c r="V800" s="83">
        <v>4.1666666666666664E-2</v>
      </c>
      <c r="W800" s="61">
        <f t="shared" si="192"/>
        <v>-5.5555555555555566E-3</v>
      </c>
      <c r="X800" s="171">
        <v>46251.001388888886</v>
      </c>
      <c r="Y800" s="171">
        <v>46251.25</v>
      </c>
      <c r="Z800" s="168">
        <f t="shared" si="184"/>
        <v>0.24861111111385981</v>
      </c>
      <c r="AA800" s="169">
        <f t="shared" si="185"/>
        <v>0.27083333333333331</v>
      </c>
      <c r="AB800" s="170" t="str">
        <f t="shared" si="186"/>
        <v>00:32:00</v>
      </c>
      <c r="AC800" s="170" t="b">
        <f t="shared" si="187"/>
        <v>1</v>
      </c>
    </row>
    <row r="801" spans="1:29" s="127" customFormat="1" ht="9.75" hidden="1" customHeight="1" x14ac:dyDescent="0.3">
      <c r="A801" s="98">
        <v>46251</v>
      </c>
      <c r="B801" s="48">
        <v>8178671</v>
      </c>
      <c r="C801" s="49" t="s">
        <v>90</v>
      </c>
      <c r="D801" s="49" t="s">
        <v>290</v>
      </c>
      <c r="E801" s="50">
        <v>0.99930555555555556</v>
      </c>
      <c r="F801" s="49" t="s">
        <v>15</v>
      </c>
      <c r="G801" s="70" t="s">
        <v>13</v>
      </c>
      <c r="H801" s="51">
        <v>0.43611111111111112</v>
      </c>
      <c r="I801" s="113" t="str">
        <f t="shared" si="188"/>
        <v>17-08-2026T10:28:00</v>
      </c>
      <c r="J801" s="51">
        <v>0.64652777777777781</v>
      </c>
      <c r="K801" s="113" t="str">
        <f t="shared" si="193"/>
        <v>17-08-2026T15:31:00</v>
      </c>
      <c r="L801" s="52">
        <f t="shared" si="189"/>
        <v>0.2104166666666667</v>
      </c>
      <c r="M801" s="53">
        <v>0.20833333333333334</v>
      </c>
      <c r="N801" s="54" t="str">
        <f t="shared" si="190"/>
        <v>-00:03:00</v>
      </c>
      <c r="O801" s="55">
        <v>200</v>
      </c>
      <c r="P801" s="147" t="s">
        <v>598</v>
      </c>
      <c r="Q801" s="56"/>
      <c r="R801" s="57"/>
      <c r="S801" s="57"/>
      <c r="T801" s="58">
        <f t="shared" si="191"/>
        <v>0</v>
      </c>
      <c r="U801" s="50"/>
      <c r="V801" s="74">
        <v>0</v>
      </c>
      <c r="W801" s="50">
        <f t="shared" si="192"/>
        <v>0</v>
      </c>
      <c r="X801" s="171">
        <v>0.43611111111111112</v>
      </c>
      <c r="Y801" s="171">
        <v>0.64652777777777781</v>
      </c>
      <c r="Z801" s="168">
        <f t="shared" si="184"/>
        <v>0.2104166666666667</v>
      </c>
      <c r="AA801" s="169">
        <f t="shared" si="185"/>
        <v>0.20833333333333334</v>
      </c>
      <c r="AB801" s="170" t="str">
        <f t="shared" si="186"/>
        <v>-00:03:00</v>
      </c>
      <c r="AC801" s="170" t="b">
        <f t="shared" si="187"/>
        <v>1</v>
      </c>
    </row>
    <row r="802" spans="1:29" s="128" customFormat="1" ht="9.75" hidden="1" customHeight="1" x14ac:dyDescent="0.3">
      <c r="A802" s="99">
        <v>46251</v>
      </c>
      <c r="B802" s="59">
        <v>8179976</v>
      </c>
      <c r="C802" s="60" t="s">
        <v>52</v>
      </c>
      <c r="D802" s="60" t="s">
        <v>616</v>
      </c>
      <c r="E802" s="61">
        <v>0.99930555555555556</v>
      </c>
      <c r="F802" s="60" t="s">
        <v>15</v>
      </c>
      <c r="G802" s="71" t="s">
        <v>13</v>
      </c>
      <c r="H802" s="62">
        <v>46251.999305555553</v>
      </c>
      <c r="I802" s="113" t="str">
        <f t="shared" si="188"/>
        <v>17-08-2026T23:59:00</v>
      </c>
      <c r="J802" s="62">
        <v>46252.204861111109</v>
      </c>
      <c r="K802" s="62"/>
      <c r="L802" s="63">
        <f t="shared" si="189"/>
        <v>0.20555555555620231</v>
      </c>
      <c r="M802" s="64">
        <v>0.20833333333333334</v>
      </c>
      <c r="N802" s="65" t="str">
        <f t="shared" si="190"/>
        <v>00:04:00</v>
      </c>
      <c r="O802" s="66"/>
      <c r="P802" s="124"/>
      <c r="Q802" s="67"/>
      <c r="R802" s="68"/>
      <c r="S802" s="68"/>
      <c r="T802" s="69">
        <f t="shared" si="191"/>
        <v>0</v>
      </c>
      <c r="U802" s="61"/>
      <c r="V802" s="83">
        <v>0</v>
      </c>
      <c r="W802" s="61">
        <f t="shared" si="192"/>
        <v>0</v>
      </c>
      <c r="X802" s="171">
        <v>46251.999305555553</v>
      </c>
      <c r="Y802" s="171">
        <v>46252.204861111109</v>
      </c>
      <c r="Z802" s="168">
        <f t="shared" si="184"/>
        <v>0.20555555555620231</v>
      </c>
      <c r="AA802" s="169">
        <f t="shared" si="185"/>
        <v>0.20833333333333334</v>
      </c>
      <c r="AB802" s="170" t="str">
        <f t="shared" si="186"/>
        <v>00:04:00</v>
      </c>
      <c r="AC802" s="170" t="b">
        <f t="shared" si="187"/>
        <v>1</v>
      </c>
    </row>
    <row r="803" spans="1:29" s="128" customFormat="1" ht="9.75" hidden="1" customHeight="1" x14ac:dyDescent="0.3">
      <c r="A803" s="99">
        <v>46251</v>
      </c>
      <c r="B803" s="59">
        <v>8179957</v>
      </c>
      <c r="C803" s="60" t="s">
        <v>41</v>
      </c>
      <c r="D803" s="60" t="s">
        <v>299</v>
      </c>
      <c r="E803" s="61">
        <v>0.99930555555555556</v>
      </c>
      <c r="F803" s="60" t="s">
        <v>24</v>
      </c>
      <c r="G803" s="71" t="s">
        <v>13</v>
      </c>
      <c r="H803" s="62">
        <v>46251.993055555555</v>
      </c>
      <c r="I803" s="113" t="str">
        <f t="shared" si="188"/>
        <v>17-08-2026T23:50:00</v>
      </c>
      <c r="J803" s="62">
        <v>46252.064583333333</v>
      </c>
      <c r="K803" s="62"/>
      <c r="L803" s="63">
        <f t="shared" si="189"/>
        <v>7.1527777778101154E-2</v>
      </c>
      <c r="M803" s="64">
        <v>8.3333333333333329E-2</v>
      </c>
      <c r="N803" s="65" t="str">
        <f t="shared" si="190"/>
        <v>00:17:00</v>
      </c>
      <c r="O803" s="66"/>
      <c r="P803" s="124"/>
      <c r="Q803" s="67"/>
      <c r="R803" s="68"/>
      <c r="S803" s="68"/>
      <c r="T803" s="69">
        <f t="shared" si="191"/>
        <v>0</v>
      </c>
      <c r="U803" s="61"/>
      <c r="V803" s="83">
        <v>0</v>
      </c>
      <c r="W803" s="61">
        <f t="shared" si="192"/>
        <v>0</v>
      </c>
      <c r="X803" s="171">
        <v>46251.993055555555</v>
      </c>
      <c r="Y803" s="171">
        <v>46252.064583333333</v>
      </c>
      <c r="Z803" s="168">
        <f t="shared" si="184"/>
        <v>7.1527777778101154E-2</v>
      </c>
      <c r="AA803" s="169">
        <f t="shared" si="185"/>
        <v>8.3333333333333329E-2</v>
      </c>
      <c r="AB803" s="170" t="str">
        <f t="shared" si="186"/>
        <v>00:17:00</v>
      </c>
      <c r="AC803" s="170" t="b">
        <f t="shared" si="187"/>
        <v>1</v>
      </c>
    </row>
    <row r="804" spans="1:29" s="144" customFormat="1" ht="9.75" hidden="1" customHeight="1" x14ac:dyDescent="0.3">
      <c r="A804" s="129">
        <v>46252</v>
      </c>
      <c r="B804" s="130">
        <v>8180058</v>
      </c>
      <c r="C804" s="131" t="s">
        <v>25</v>
      </c>
      <c r="D804" s="131" t="s">
        <v>379</v>
      </c>
      <c r="E804" s="132">
        <v>6.25E-2</v>
      </c>
      <c r="F804" s="131" t="s">
        <v>13</v>
      </c>
      <c r="G804" s="133" t="s">
        <v>26</v>
      </c>
      <c r="H804" s="134">
        <v>6.25E-2</v>
      </c>
      <c r="I804" s="113" t="str">
        <f t="shared" si="188"/>
        <v>18-08-2026T01:30:00</v>
      </c>
      <c r="J804" s="134">
        <v>0.63958333333333328</v>
      </c>
      <c r="K804" s="134"/>
      <c r="L804" s="135">
        <f t="shared" si="189"/>
        <v>0.57708333333333328</v>
      </c>
      <c r="M804" s="136">
        <v>0.41666666666666669</v>
      </c>
      <c r="N804" s="137" t="str">
        <f t="shared" si="190"/>
        <v>-03:51:00</v>
      </c>
      <c r="O804" s="138"/>
      <c r="P804" s="145" t="s">
        <v>125</v>
      </c>
      <c r="Q804" s="140" t="s">
        <v>312</v>
      </c>
      <c r="R804" s="141">
        <v>0.2361111111111111</v>
      </c>
      <c r="S804" s="141">
        <v>0.45277777777777778</v>
      </c>
      <c r="T804" s="142">
        <f t="shared" si="191"/>
        <v>0.21666666666666667</v>
      </c>
      <c r="U804" s="132"/>
      <c r="V804" s="143">
        <v>4.1666666666666664E-2</v>
      </c>
      <c r="W804" s="132">
        <f t="shared" si="192"/>
        <v>0.17500000000000002</v>
      </c>
      <c r="X804" s="171">
        <v>46252.0625</v>
      </c>
      <c r="Y804" s="171">
        <v>46252.63958333333</v>
      </c>
      <c r="Z804" s="168">
        <f t="shared" si="184"/>
        <v>0.57708333332993789</v>
      </c>
      <c r="AA804" s="169">
        <f t="shared" si="185"/>
        <v>0.41666666666666669</v>
      </c>
      <c r="AB804" s="170" t="str">
        <f t="shared" si="186"/>
        <v>-03:51:00</v>
      </c>
      <c r="AC804" s="170" t="b">
        <f t="shared" si="187"/>
        <v>1</v>
      </c>
    </row>
    <row r="805" spans="1:29" s="127" customFormat="1" ht="9.75" hidden="1" customHeight="1" x14ac:dyDescent="0.3">
      <c r="A805" s="98">
        <v>46252</v>
      </c>
      <c r="B805" s="48">
        <v>8180106</v>
      </c>
      <c r="C805" s="49" t="s">
        <v>18</v>
      </c>
      <c r="D805" s="49" t="s">
        <v>389</v>
      </c>
      <c r="E805" s="50">
        <v>8.3333333333333329E-2</v>
      </c>
      <c r="F805" s="49" t="s">
        <v>13</v>
      </c>
      <c r="G805" s="70" t="s">
        <v>19</v>
      </c>
      <c r="H805" s="51">
        <v>8.3333333333333329E-2</v>
      </c>
      <c r="I805" s="113" t="str">
        <f t="shared" si="188"/>
        <v>18-08-2026T02:00:00</v>
      </c>
      <c r="J805" s="51">
        <v>0.54027777777777775</v>
      </c>
      <c r="K805" s="51"/>
      <c r="L805" s="52">
        <f t="shared" si="189"/>
        <v>0.45694444444444443</v>
      </c>
      <c r="M805" s="53">
        <v>0.41666666666666669</v>
      </c>
      <c r="N805" s="54" t="str">
        <f t="shared" si="190"/>
        <v>-00:58:00</v>
      </c>
      <c r="O805" s="55">
        <v>200</v>
      </c>
      <c r="P805" s="147" t="s">
        <v>613</v>
      </c>
      <c r="Q805" s="56" t="s">
        <v>229</v>
      </c>
      <c r="R805" s="57">
        <v>0.3888888888888889</v>
      </c>
      <c r="S805" s="57">
        <v>0.4375</v>
      </c>
      <c r="T805" s="58">
        <f t="shared" si="191"/>
        <v>4.8611111111111105E-2</v>
      </c>
      <c r="U805" s="50" t="s">
        <v>234</v>
      </c>
      <c r="V805" s="74">
        <v>6.25E-2</v>
      </c>
      <c r="W805" s="50">
        <f t="shared" si="192"/>
        <v>-1.3888888888888895E-2</v>
      </c>
      <c r="X805" s="171">
        <v>8.3333333333333329E-2</v>
      </c>
      <c r="Y805" s="171">
        <v>0.54027777777777775</v>
      </c>
      <c r="Z805" s="168">
        <f t="shared" si="184"/>
        <v>0.45694444444444443</v>
      </c>
      <c r="AA805" s="169">
        <f t="shared" si="185"/>
        <v>0.41666666666666669</v>
      </c>
      <c r="AB805" s="170" t="str">
        <f t="shared" si="186"/>
        <v>-00:58:00</v>
      </c>
      <c r="AC805" s="170" t="b">
        <f t="shared" si="187"/>
        <v>1</v>
      </c>
    </row>
    <row r="806" spans="1:29" s="128" customFormat="1" ht="9.75" hidden="1" customHeight="1" x14ac:dyDescent="0.3">
      <c r="A806" s="99">
        <v>46252</v>
      </c>
      <c r="B806" s="59">
        <v>8180094</v>
      </c>
      <c r="C806" s="60" t="s">
        <v>29</v>
      </c>
      <c r="D806" s="60" t="s">
        <v>614</v>
      </c>
      <c r="E806" s="61">
        <v>8.3333333333333329E-2</v>
      </c>
      <c r="F806" s="60" t="s">
        <v>15</v>
      </c>
      <c r="G806" s="71" t="s">
        <v>17</v>
      </c>
      <c r="H806" s="62">
        <v>8.0555555555555561E-2</v>
      </c>
      <c r="I806" s="113" t="str">
        <f t="shared" si="188"/>
        <v>18-08-2026T01:56:00</v>
      </c>
      <c r="J806" s="62">
        <v>0.49236111111111114</v>
      </c>
      <c r="K806" s="62"/>
      <c r="L806" s="63">
        <f t="shared" si="189"/>
        <v>0.41180555555555559</v>
      </c>
      <c r="M806" s="64">
        <v>0.41666666666666669</v>
      </c>
      <c r="N806" s="65" t="str">
        <f t="shared" si="190"/>
        <v>00:07:00</v>
      </c>
      <c r="O806" s="66"/>
      <c r="P806" s="124"/>
      <c r="Q806" s="67"/>
      <c r="R806" s="68"/>
      <c r="S806" s="68"/>
      <c r="T806" s="69">
        <f t="shared" si="191"/>
        <v>0</v>
      </c>
      <c r="U806" s="61" t="s">
        <v>234</v>
      </c>
      <c r="V806" s="83">
        <v>0</v>
      </c>
      <c r="W806" s="61">
        <f t="shared" si="192"/>
        <v>0</v>
      </c>
      <c r="X806" s="171">
        <v>8.0555555555555561E-2</v>
      </c>
      <c r="Y806" s="171">
        <v>0.49236111111111114</v>
      </c>
      <c r="Z806" s="168">
        <f t="shared" si="184"/>
        <v>0.41180555555555559</v>
      </c>
      <c r="AA806" s="169">
        <f t="shared" si="185"/>
        <v>0.41666666666666669</v>
      </c>
      <c r="AB806" s="170" t="str">
        <f t="shared" si="186"/>
        <v>00:07:00</v>
      </c>
      <c r="AC806" s="170" t="b">
        <f t="shared" si="187"/>
        <v>1</v>
      </c>
    </row>
    <row r="807" spans="1:29" ht="9.75" hidden="1" customHeight="1" x14ac:dyDescent="0.3">
      <c r="A807" s="149">
        <v>46251</v>
      </c>
      <c r="B807" s="150" t="s">
        <v>667</v>
      </c>
      <c r="C807" s="151" t="s">
        <v>102</v>
      </c>
      <c r="D807" s="151" t="s">
        <v>384</v>
      </c>
      <c r="E807" s="152">
        <v>0</v>
      </c>
      <c r="F807" s="151"/>
      <c r="G807" s="153"/>
      <c r="H807" s="154">
        <v>0</v>
      </c>
      <c r="I807" s="113" t="str">
        <f t="shared" si="188"/>
        <v>17-08-2026T00:00:00</v>
      </c>
      <c r="J807" s="154">
        <v>0</v>
      </c>
      <c r="K807" s="154"/>
      <c r="L807" s="155">
        <v>0</v>
      </c>
      <c r="M807" s="160">
        <v>0</v>
      </c>
      <c r="N807" s="156">
        <v>0</v>
      </c>
      <c r="O807" s="157"/>
      <c r="P807" s="158" t="s">
        <v>480</v>
      </c>
      <c r="Q807" s="159" t="s">
        <v>480</v>
      </c>
      <c r="R807" s="148" t="s">
        <v>480</v>
      </c>
      <c r="S807" s="148" t="s">
        <v>480</v>
      </c>
      <c r="T807" s="161" t="s">
        <v>480</v>
      </c>
      <c r="U807" s="152" t="s">
        <v>480</v>
      </c>
      <c r="V807" s="146" t="s">
        <v>480</v>
      </c>
      <c r="W807" s="152" t="s">
        <v>480</v>
      </c>
      <c r="X807" s="171" t="s">
        <v>668</v>
      </c>
      <c r="Y807" s="171" t="s">
        <v>668</v>
      </c>
      <c r="Z807" s="168" t="e">
        <f t="shared" si="184"/>
        <v>#VALUE!</v>
      </c>
      <c r="AA807" s="169">
        <f t="shared" si="185"/>
        <v>0</v>
      </c>
      <c r="AB807" s="170" t="e">
        <f t="shared" si="186"/>
        <v>#VALUE!</v>
      </c>
      <c r="AC807" s="170" t="e">
        <f t="shared" si="187"/>
        <v>#VALUE!</v>
      </c>
    </row>
    <row r="808" spans="1:29" s="128" customFormat="1" ht="9.75" hidden="1" customHeight="1" x14ac:dyDescent="0.3">
      <c r="A808" s="99">
        <v>46252</v>
      </c>
      <c r="B808" s="59">
        <v>8180191</v>
      </c>
      <c r="C808" s="60" t="s">
        <v>102</v>
      </c>
      <c r="D808" s="60" t="s">
        <v>384</v>
      </c>
      <c r="E808" s="61">
        <v>0.125</v>
      </c>
      <c r="F808" s="60" t="s">
        <v>23</v>
      </c>
      <c r="G808" s="71" t="s">
        <v>13</v>
      </c>
      <c r="H808" s="62">
        <v>0.12430555555555556</v>
      </c>
      <c r="I808" s="113" t="str">
        <f t="shared" si="188"/>
        <v>18-08-2026T02:59:00</v>
      </c>
      <c r="J808" s="62">
        <v>46253.301388888889</v>
      </c>
      <c r="K808" s="62"/>
      <c r="L808" s="63">
        <f t="shared" ref="L808:L820" si="194">J808-H808</f>
        <v>46253.177083333336</v>
      </c>
      <c r="M808" s="64">
        <v>1.0833333333333333</v>
      </c>
      <c r="N808" s="65" t="str">
        <f t="shared" ref="N808:N820" si="195">IF(M808-L808&gt;0,TEXT(M808-L808,"HH:MM:SS"),TEXT(ABS(M808-L808),"-HH:MM:SS"))</f>
        <v>-02:15:00</v>
      </c>
      <c r="O808" s="66"/>
      <c r="P808" s="124" t="s">
        <v>569</v>
      </c>
      <c r="Q808" s="67" t="s">
        <v>13</v>
      </c>
      <c r="R808" s="68">
        <v>46253.277777777781</v>
      </c>
      <c r="S808" s="68">
        <v>46253.288194444445</v>
      </c>
      <c r="T808" s="69">
        <f t="shared" ref="T808:T820" si="196">S808-R808</f>
        <v>1.0416666664241347E-2</v>
      </c>
      <c r="U808" s="61"/>
      <c r="V808" s="83">
        <v>8.3333333333333329E-2</v>
      </c>
      <c r="W808" s="61">
        <f t="shared" ref="W808:W820" si="197">T808-V808</f>
        <v>-7.2916666669091981E-2</v>
      </c>
      <c r="X808" s="172">
        <v>46252.124305555553</v>
      </c>
      <c r="Y808" s="172">
        <v>46253.301388888889</v>
      </c>
      <c r="Z808" s="173">
        <f t="shared" si="184"/>
        <v>1.1770833333357587</v>
      </c>
      <c r="AA808" s="174">
        <f t="shared" si="185"/>
        <v>1.0833333333333333</v>
      </c>
      <c r="AB808" s="175" t="str">
        <f t="shared" si="186"/>
        <v>-02:15:00</v>
      </c>
      <c r="AC808" s="175" t="b">
        <f t="shared" si="187"/>
        <v>1</v>
      </c>
    </row>
    <row r="809" spans="1:29" s="128" customFormat="1" ht="9.75" hidden="1" customHeight="1" x14ac:dyDescent="0.3">
      <c r="A809" s="99">
        <v>46252</v>
      </c>
      <c r="B809" s="59">
        <v>8180186</v>
      </c>
      <c r="C809" s="60" t="s">
        <v>84</v>
      </c>
      <c r="D809" s="60" t="s">
        <v>301</v>
      </c>
      <c r="E809" s="61">
        <v>0.125</v>
      </c>
      <c r="F809" s="60" t="s">
        <v>13</v>
      </c>
      <c r="G809" s="71" t="s">
        <v>284</v>
      </c>
      <c r="H809" s="62">
        <v>0.12361111111111112</v>
      </c>
      <c r="I809" s="113" t="str">
        <f t="shared" si="188"/>
        <v>18-08-2026T02:58:00</v>
      </c>
      <c r="J809" s="62">
        <v>0.47569444444444442</v>
      </c>
      <c r="K809" s="62"/>
      <c r="L809" s="63">
        <f t="shared" si="194"/>
        <v>0.3520833333333333</v>
      </c>
      <c r="M809" s="64">
        <v>0.35416666666666669</v>
      </c>
      <c r="N809" s="65" t="str">
        <f t="shared" si="195"/>
        <v>00:03:00</v>
      </c>
      <c r="O809" s="66"/>
      <c r="P809" s="124"/>
      <c r="Q809" s="67" t="s">
        <v>174</v>
      </c>
      <c r="R809" s="68">
        <v>0.36805555555555558</v>
      </c>
      <c r="S809" s="68">
        <v>0.42638888888888887</v>
      </c>
      <c r="T809" s="69">
        <f t="shared" si="196"/>
        <v>5.8333333333333293E-2</v>
      </c>
      <c r="U809" s="61"/>
      <c r="V809" s="83">
        <v>6.25E-2</v>
      </c>
      <c r="W809" s="61">
        <f t="shared" si="197"/>
        <v>-4.1666666666667074E-3</v>
      </c>
      <c r="X809" s="171">
        <v>46252.123611111114</v>
      </c>
      <c r="Y809" s="171">
        <v>46252.475694444445</v>
      </c>
      <c r="Z809" s="168">
        <f t="shared" si="184"/>
        <v>0.35208333333139308</v>
      </c>
      <c r="AA809" s="169">
        <f t="shared" si="185"/>
        <v>0.35416666666666669</v>
      </c>
      <c r="AB809" s="170" t="str">
        <f t="shared" si="186"/>
        <v>00:03:00</v>
      </c>
      <c r="AC809" s="170" t="b">
        <f t="shared" si="187"/>
        <v>1</v>
      </c>
    </row>
    <row r="810" spans="1:29" s="128" customFormat="1" ht="9.75" hidden="1" customHeight="1" x14ac:dyDescent="0.3">
      <c r="A810" s="99">
        <v>46252</v>
      </c>
      <c r="B810" s="59">
        <v>8180143</v>
      </c>
      <c r="C810" s="60" t="s">
        <v>57</v>
      </c>
      <c r="D810" s="60" t="s">
        <v>370</v>
      </c>
      <c r="E810" s="61">
        <v>0.125</v>
      </c>
      <c r="F810" s="60" t="s">
        <v>24</v>
      </c>
      <c r="G810" s="71" t="s">
        <v>13</v>
      </c>
      <c r="H810" s="62">
        <v>0.11041666666666666</v>
      </c>
      <c r="I810" s="113" t="str">
        <f t="shared" si="188"/>
        <v>18-08-2026T02:39:00</v>
      </c>
      <c r="J810" s="62">
        <v>0.18333333333333332</v>
      </c>
      <c r="K810" s="62"/>
      <c r="L810" s="63">
        <f t="shared" si="194"/>
        <v>7.2916666666666657E-2</v>
      </c>
      <c r="M810" s="64">
        <v>8.3333333333333329E-2</v>
      </c>
      <c r="N810" s="65" t="str">
        <f t="shared" si="195"/>
        <v>00:15:00</v>
      </c>
      <c r="O810" s="66"/>
      <c r="P810" s="124"/>
      <c r="Q810" s="67"/>
      <c r="R810" s="68"/>
      <c r="S810" s="68"/>
      <c r="T810" s="69">
        <f t="shared" si="196"/>
        <v>0</v>
      </c>
      <c r="U810" s="61" t="s">
        <v>234</v>
      </c>
      <c r="V810" s="83">
        <v>0</v>
      </c>
      <c r="W810" s="61">
        <f t="shared" si="197"/>
        <v>0</v>
      </c>
      <c r="X810" s="171">
        <v>46252.11041666667</v>
      </c>
      <c r="Y810" s="171">
        <v>46252.183333333334</v>
      </c>
      <c r="Z810" s="168">
        <f t="shared" si="184"/>
        <v>7.2916666664241347E-2</v>
      </c>
      <c r="AA810" s="169">
        <f t="shared" si="185"/>
        <v>8.3333333333333329E-2</v>
      </c>
      <c r="AB810" s="170" t="str">
        <f t="shared" si="186"/>
        <v>00:15:00</v>
      </c>
      <c r="AC810" s="170" t="b">
        <f t="shared" si="187"/>
        <v>1</v>
      </c>
    </row>
    <row r="811" spans="1:29" s="128" customFormat="1" ht="9.75" hidden="1" customHeight="1" x14ac:dyDescent="0.3">
      <c r="A811" s="99">
        <v>46252</v>
      </c>
      <c r="B811" s="59">
        <v>8180317</v>
      </c>
      <c r="C811" s="60" t="s">
        <v>54</v>
      </c>
      <c r="D811" s="60" t="s">
        <v>288</v>
      </c>
      <c r="E811" s="61">
        <v>0.16666666666666666</v>
      </c>
      <c r="F811" s="60" t="s">
        <v>13</v>
      </c>
      <c r="G811" s="71" t="s">
        <v>24</v>
      </c>
      <c r="H811" s="62">
        <v>0.16666666666666666</v>
      </c>
      <c r="I811" s="113" t="str">
        <f t="shared" si="188"/>
        <v>18-08-2026T04:00:00</v>
      </c>
      <c r="J811" s="62">
        <v>0.23958333333333334</v>
      </c>
      <c r="K811" s="62"/>
      <c r="L811" s="63">
        <f t="shared" si="194"/>
        <v>7.2916666666666685E-2</v>
      </c>
      <c r="M811" s="64">
        <v>8.3333333333333329E-2</v>
      </c>
      <c r="N811" s="65" t="str">
        <f t="shared" si="195"/>
        <v>00:15:00</v>
      </c>
      <c r="O811" s="66"/>
      <c r="P811" s="124"/>
      <c r="Q811" s="67"/>
      <c r="R811" s="68"/>
      <c r="S811" s="68"/>
      <c r="T811" s="69">
        <f t="shared" si="196"/>
        <v>0</v>
      </c>
      <c r="U811" s="61"/>
      <c r="V811" s="83">
        <v>0</v>
      </c>
      <c r="W811" s="61">
        <f t="shared" si="197"/>
        <v>0</v>
      </c>
      <c r="X811" s="171">
        <v>46252.166666666664</v>
      </c>
      <c r="Y811" s="171">
        <v>46252.239583333336</v>
      </c>
      <c r="Z811" s="168">
        <f t="shared" si="184"/>
        <v>7.2916666671517305E-2</v>
      </c>
      <c r="AA811" s="169">
        <f t="shared" si="185"/>
        <v>8.3333333333333329E-2</v>
      </c>
      <c r="AB811" s="170" t="str">
        <f t="shared" si="186"/>
        <v>00:15:00</v>
      </c>
      <c r="AC811" s="170" t="b">
        <f t="shared" si="187"/>
        <v>1</v>
      </c>
    </row>
    <row r="812" spans="1:29" s="128" customFormat="1" ht="9.75" hidden="1" customHeight="1" x14ac:dyDescent="0.3">
      <c r="A812" s="99">
        <v>46252</v>
      </c>
      <c r="B812" s="59">
        <v>8180324</v>
      </c>
      <c r="C812" s="60" t="s">
        <v>27</v>
      </c>
      <c r="D812" s="60" t="s">
        <v>378</v>
      </c>
      <c r="E812" s="61">
        <v>0.16666666666666666</v>
      </c>
      <c r="F812" s="60" t="s">
        <v>13</v>
      </c>
      <c r="G812" s="71" t="s">
        <v>28</v>
      </c>
      <c r="H812" s="62">
        <v>0.16666666666666666</v>
      </c>
      <c r="I812" s="113" t="str">
        <f t="shared" si="188"/>
        <v>18-08-2026T04:00:00</v>
      </c>
      <c r="J812" s="62">
        <v>0.3298611111111111</v>
      </c>
      <c r="K812" s="62"/>
      <c r="L812" s="63">
        <f t="shared" si="194"/>
        <v>0.16319444444444445</v>
      </c>
      <c r="M812" s="64">
        <v>0.16666666666666666</v>
      </c>
      <c r="N812" s="65" t="str">
        <f t="shared" si="195"/>
        <v>00:05:00</v>
      </c>
      <c r="O812" s="66"/>
      <c r="P812" s="124"/>
      <c r="Q812" s="67"/>
      <c r="R812" s="68"/>
      <c r="S812" s="68"/>
      <c r="T812" s="69">
        <f t="shared" si="196"/>
        <v>0</v>
      </c>
      <c r="U812" s="61"/>
      <c r="V812" s="83">
        <v>0</v>
      </c>
      <c r="W812" s="61">
        <f t="shared" si="197"/>
        <v>0</v>
      </c>
      <c r="X812" s="171">
        <v>46252.166666666664</v>
      </c>
      <c r="Y812" s="171">
        <v>46252.329861111109</v>
      </c>
      <c r="Z812" s="168">
        <f t="shared" si="184"/>
        <v>0.16319444444525288</v>
      </c>
      <c r="AA812" s="169">
        <f t="shared" si="185"/>
        <v>0.16666666666666666</v>
      </c>
      <c r="AB812" s="170" t="str">
        <f t="shared" si="186"/>
        <v>00:05:00</v>
      </c>
      <c r="AC812" s="170" t="b">
        <f t="shared" si="187"/>
        <v>1</v>
      </c>
    </row>
    <row r="813" spans="1:29" s="144" customFormat="1" ht="9.75" hidden="1" customHeight="1" x14ac:dyDescent="0.3">
      <c r="A813" s="129">
        <v>46252</v>
      </c>
      <c r="B813" s="130">
        <v>8180304</v>
      </c>
      <c r="C813" s="131" t="s">
        <v>16</v>
      </c>
      <c r="D813" s="131" t="s">
        <v>285</v>
      </c>
      <c r="E813" s="132">
        <v>0.16666666666666666</v>
      </c>
      <c r="F813" s="131" t="s">
        <v>17</v>
      </c>
      <c r="G813" s="133" t="s">
        <v>15</v>
      </c>
      <c r="H813" s="134">
        <v>0.16527777777777777</v>
      </c>
      <c r="I813" s="113" t="str">
        <f t="shared" si="188"/>
        <v>18-08-2026T03:58:00</v>
      </c>
      <c r="J813" s="134">
        <v>0.71805555555555556</v>
      </c>
      <c r="K813" s="134"/>
      <c r="L813" s="135">
        <f t="shared" si="194"/>
        <v>0.55277777777777781</v>
      </c>
      <c r="M813" s="136">
        <v>0.5</v>
      </c>
      <c r="N813" s="137" t="str">
        <f t="shared" si="195"/>
        <v>-01:16:00</v>
      </c>
      <c r="O813" s="138"/>
      <c r="P813" s="145" t="s">
        <v>125</v>
      </c>
      <c r="Q813" s="140" t="s">
        <v>98</v>
      </c>
      <c r="R813" s="141">
        <v>0.375</v>
      </c>
      <c r="S813" s="141">
        <v>0.52013888888888893</v>
      </c>
      <c r="T813" s="142">
        <f t="shared" si="196"/>
        <v>0.14513888888888893</v>
      </c>
      <c r="U813" s="132"/>
      <c r="V813" s="143">
        <v>8.3333333333333329E-2</v>
      </c>
      <c r="W813" s="132">
        <f t="shared" si="197"/>
        <v>6.18055555555556E-2</v>
      </c>
      <c r="X813" s="171">
        <v>0.16527777777777777</v>
      </c>
      <c r="Y813" s="171">
        <v>0.71805555555555556</v>
      </c>
      <c r="Z813" s="168">
        <f t="shared" si="184"/>
        <v>0.55277777777777781</v>
      </c>
      <c r="AA813" s="169">
        <f t="shared" si="185"/>
        <v>0.5</v>
      </c>
      <c r="AB813" s="170" t="str">
        <f t="shared" si="186"/>
        <v>-01:16:00</v>
      </c>
      <c r="AC813" s="170" t="b">
        <f t="shared" si="187"/>
        <v>1</v>
      </c>
    </row>
    <row r="814" spans="1:29" s="127" customFormat="1" ht="9.75" hidden="1" customHeight="1" x14ac:dyDescent="0.3">
      <c r="A814" s="98">
        <v>46252</v>
      </c>
      <c r="B814" s="48">
        <v>8180260</v>
      </c>
      <c r="C814" s="49" t="s">
        <v>86</v>
      </c>
      <c r="D814" s="49" t="s">
        <v>547</v>
      </c>
      <c r="E814" s="50">
        <v>0.16666666666666666</v>
      </c>
      <c r="F814" s="49" t="s">
        <v>31</v>
      </c>
      <c r="G814" s="70" t="s">
        <v>13</v>
      </c>
      <c r="H814" s="51">
        <v>0.15486111111111112</v>
      </c>
      <c r="I814" s="113" t="str">
        <f t="shared" si="188"/>
        <v>18-08-2026T03:43:00</v>
      </c>
      <c r="J814" s="51">
        <v>0.92847222222222225</v>
      </c>
      <c r="K814" s="51"/>
      <c r="L814" s="52">
        <f t="shared" si="194"/>
        <v>0.77361111111111114</v>
      </c>
      <c r="M814" s="53">
        <v>0.70833333333333337</v>
      </c>
      <c r="N814" s="54" t="str">
        <f t="shared" si="195"/>
        <v>-01:34:00</v>
      </c>
      <c r="O814" s="55">
        <v>400</v>
      </c>
      <c r="P814" s="147" t="s">
        <v>598</v>
      </c>
      <c r="Q814" s="56" t="s">
        <v>13</v>
      </c>
      <c r="R814" s="57">
        <v>0.86736111111111114</v>
      </c>
      <c r="S814" s="57">
        <v>0.92361111111111116</v>
      </c>
      <c r="T814" s="58">
        <f t="shared" si="196"/>
        <v>5.6250000000000022E-2</v>
      </c>
      <c r="U814" s="50"/>
      <c r="V814" s="74">
        <v>8.3333333333333329E-2</v>
      </c>
      <c r="W814" s="50">
        <f t="shared" si="197"/>
        <v>-2.7083333333333307E-2</v>
      </c>
      <c r="X814" s="171">
        <v>46252.154861111114</v>
      </c>
      <c r="Y814" s="171">
        <v>46252.928472222222</v>
      </c>
      <c r="Z814" s="168">
        <f t="shared" si="184"/>
        <v>0.77361111110803904</v>
      </c>
      <c r="AA814" s="169">
        <f t="shared" si="185"/>
        <v>0.70833333333333337</v>
      </c>
      <c r="AB814" s="170" t="str">
        <f t="shared" si="186"/>
        <v>-01:34:00</v>
      </c>
      <c r="AC814" s="170" t="b">
        <f t="shared" si="187"/>
        <v>1</v>
      </c>
    </row>
    <row r="815" spans="1:29" s="127" customFormat="1" ht="9.75" hidden="1" customHeight="1" x14ac:dyDescent="0.3">
      <c r="A815" s="98">
        <v>46252</v>
      </c>
      <c r="B815" s="48">
        <v>8180329</v>
      </c>
      <c r="C815" s="49" t="s">
        <v>83</v>
      </c>
      <c r="D815" s="49" t="s">
        <v>454</v>
      </c>
      <c r="E815" s="50">
        <v>0.16666666666666666</v>
      </c>
      <c r="F815" s="49" t="s">
        <v>13</v>
      </c>
      <c r="G815" s="70" t="s">
        <v>14</v>
      </c>
      <c r="H815" s="51">
        <v>0.16805555555555557</v>
      </c>
      <c r="I815" s="113" t="str">
        <f t="shared" si="188"/>
        <v>18-08-2026T04:02:00</v>
      </c>
      <c r="J815" s="51">
        <v>0.80486111111111114</v>
      </c>
      <c r="K815" s="51"/>
      <c r="L815" s="52">
        <f t="shared" si="194"/>
        <v>0.63680555555555562</v>
      </c>
      <c r="M815" s="53">
        <v>0.54166666666666663</v>
      </c>
      <c r="N815" s="54" t="str">
        <f t="shared" si="195"/>
        <v>-02:17:00</v>
      </c>
      <c r="O815" s="55">
        <v>600</v>
      </c>
      <c r="P815" s="147" t="s">
        <v>639</v>
      </c>
      <c r="Q815" s="56"/>
      <c r="R815" s="57"/>
      <c r="S815" s="57"/>
      <c r="T815" s="58">
        <f t="shared" si="196"/>
        <v>0</v>
      </c>
      <c r="U815" s="50"/>
      <c r="V815" s="74">
        <v>0</v>
      </c>
      <c r="W815" s="50">
        <f t="shared" si="197"/>
        <v>0</v>
      </c>
      <c r="X815" s="171">
        <v>46252.168055555558</v>
      </c>
      <c r="Y815" s="171">
        <v>46252.804861111108</v>
      </c>
      <c r="Z815" s="168">
        <f t="shared" si="184"/>
        <v>0.63680555555038154</v>
      </c>
      <c r="AA815" s="169">
        <f t="shared" si="185"/>
        <v>0.54166666666666663</v>
      </c>
      <c r="AB815" s="170" t="str">
        <f t="shared" si="186"/>
        <v>-02:17:00</v>
      </c>
      <c r="AC815" s="170" t="b">
        <f t="shared" si="187"/>
        <v>1</v>
      </c>
    </row>
    <row r="816" spans="1:29" s="128" customFormat="1" ht="9.75" hidden="1" customHeight="1" x14ac:dyDescent="0.3">
      <c r="A816" s="99">
        <v>46252</v>
      </c>
      <c r="B816" s="59">
        <v>8180509</v>
      </c>
      <c r="C816" s="60" t="s">
        <v>32</v>
      </c>
      <c r="D816" s="60" t="s">
        <v>476</v>
      </c>
      <c r="E816" s="61">
        <v>0.20833333333333334</v>
      </c>
      <c r="F816" s="60" t="s">
        <v>13</v>
      </c>
      <c r="G816" s="71" t="s">
        <v>287</v>
      </c>
      <c r="H816" s="62">
        <v>0.21180555555555555</v>
      </c>
      <c r="I816" s="113" t="str">
        <f t="shared" si="188"/>
        <v>18-08-2026T05:05:00</v>
      </c>
      <c r="J816" s="62">
        <v>0.35069444444444442</v>
      </c>
      <c r="K816" s="62"/>
      <c r="L816" s="63">
        <f t="shared" si="194"/>
        <v>0.13888888888888887</v>
      </c>
      <c r="M816" s="64">
        <v>0.14583333333333334</v>
      </c>
      <c r="N816" s="65" t="str">
        <f t="shared" si="195"/>
        <v>00:10:00</v>
      </c>
      <c r="O816" s="66"/>
      <c r="P816" s="124"/>
      <c r="Q816" s="67"/>
      <c r="R816" s="68"/>
      <c r="S816" s="68"/>
      <c r="T816" s="69">
        <f t="shared" si="196"/>
        <v>0</v>
      </c>
      <c r="U816" s="61"/>
      <c r="V816" s="83">
        <v>0</v>
      </c>
      <c r="W816" s="61">
        <f t="shared" si="197"/>
        <v>0</v>
      </c>
      <c r="X816" s="171">
        <v>46252.211805555555</v>
      </c>
      <c r="Y816" s="171">
        <v>46252.350694444445</v>
      </c>
      <c r="Z816" s="168">
        <f t="shared" si="184"/>
        <v>0.13888888889050577</v>
      </c>
      <c r="AA816" s="169">
        <f t="shared" si="185"/>
        <v>0.14583333333333334</v>
      </c>
      <c r="AB816" s="170" t="str">
        <f t="shared" si="186"/>
        <v>00:10:00</v>
      </c>
      <c r="AC816" s="170" t="b">
        <f t="shared" si="187"/>
        <v>1</v>
      </c>
    </row>
    <row r="817" spans="1:29" s="128" customFormat="1" ht="9.75" hidden="1" customHeight="1" x14ac:dyDescent="0.3">
      <c r="A817" s="99">
        <v>46252</v>
      </c>
      <c r="B817" s="59">
        <v>8180391</v>
      </c>
      <c r="C817" s="60" t="s">
        <v>82</v>
      </c>
      <c r="D817" s="60" t="s">
        <v>333</v>
      </c>
      <c r="E817" s="61">
        <v>0.20833333333333334</v>
      </c>
      <c r="F817" s="60" t="s">
        <v>26</v>
      </c>
      <c r="G817" s="71" t="s">
        <v>13</v>
      </c>
      <c r="H817" s="62">
        <v>0.19027777777777777</v>
      </c>
      <c r="I817" s="113" t="str">
        <f t="shared" si="188"/>
        <v>18-08-2026T04:34:00</v>
      </c>
      <c r="J817" s="62">
        <v>0.61111111111111116</v>
      </c>
      <c r="K817" s="62"/>
      <c r="L817" s="63">
        <f t="shared" si="194"/>
        <v>0.42083333333333339</v>
      </c>
      <c r="M817" s="64">
        <v>0.45833333333333331</v>
      </c>
      <c r="N817" s="65" t="str">
        <f t="shared" si="195"/>
        <v>00:54:00</v>
      </c>
      <c r="O817" s="66"/>
      <c r="P817" s="124"/>
      <c r="Q817" s="67" t="s">
        <v>13</v>
      </c>
      <c r="R817" s="68">
        <v>0.52777777777777779</v>
      </c>
      <c r="S817" s="68">
        <v>0.6069444444444444</v>
      </c>
      <c r="T817" s="69">
        <f t="shared" si="196"/>
        <v>7.9166666666666607E-2</v>
      </c>
      <c r="U817" s="61"/>
      <c r="V817" s="83">
        <v>8.3333333333333329E-2</v>
      </c>
      <c r="W817" s="61">
        <f t="shared" si="197"/>
        <v>-4.1666666666667213E-3</v>
      </c>
      <c r="X817" s="171">
        <v>46252.19027777778</v>
      </c>
      <c r="Y817" s="171">
        <v>46252.611111111109</v>
      </c>
      <c r="Z817" s="168">
        <f t="shared" si="184"/>
        <v>0.42083333332993789</v>
      </c>
      <c r="AA817" s="169">
        <f t="shared" si="185"/>
        <v>0.45833333333333331</v>
      </c>
      <c r="AB817" s="170" t="str">
        <f t="shared" si="186"/>
        <v>00:54:00</v>
      </c>
      <c r="AC817" s="170" t="b">
        <f t="shared" si="187"/>
        <v>1</v>
      </c>
    </row>
    <row r="818" spans="1:29" s="127" customFormat="1" ht="9.75" hidden="1" customHeight="1" x14ac:dyDescent="0.3">
      <c r="A818" s="98">
        <v>46252</v>
      </c>
      <c r="B818" s="48">
        <v>8180631</v>
      </c>
      <c r="C818" s="49" t="s">
        <v>38</v>
      </c>
      <c r="D818" s="49" t="s">
        <v>289</v>
      </c>
      <c r="E818" s="50">
        <v>0.25</v>
      </c>
      <c r="F818" s="49" t="s">
        <v>14</v>
      </c>
      <c r="G818" s="70" t="s">
        <v>13</v>
      </c>
      <c r="H818" s="51">
        <v>0.24652777777777779</v>
      </c>
      <c r="I818" s="113" t="str">
        <f t="shared" si="188"/>
        <v>18-08-2026T05:55:00</v>
      </c>
      <c r="J818" s="51">
        <v>0.81597222222222221</v>
      </c>
      <c r="K818" s="51"/>
      <c r="L818" s="52">
        <f t="shared" si="194"/>
        <v>0.56944444444444442</v>
      </c>
      <c r="M818" s="53">
        <v>0.54166666666666663</v>
      </c>
      <c r="N818" s="54" t="str">
        <f t="shared" si="195"/>
        <v>-00:40:00</v>
      </c>
      <c r="O818" s="55">
        <v>250</v>
      </c>
      <c r="P818" s="147" t="s">
        <v>640</v>
      </c>
      <c r="Q818" s="56"/>
      <c r="R818" s="57"/>
      <c r="S818" s="57"/>
      <c r="T818" s="58">
        <f t="shared" si="196"/>
        <v>0</v>
      </c>
      <c r="U818" s="50"/>
      <c r="V818" s="74">
        <v>0</v>
      </c>
      <c r="W818" s="50">
        <f t="shared" si="197"/>
        <v>0</v>
      </c>
      <c r="X818" s="171">
        <v>46252.246527777781</v>
      </c>
      <c r="Y818" s="171">
        <v>46252.815972222219</v>
      </c>
      <c r="Z818" s="168">
        <f t="shared" si="184"/>
        <v>0.56944444443797693</v>
      </c>
      <c r="AA818" s="169">
        <f t="shared" si="185"/>
        <v>0.54166666666666663</v>
      </c>
      <c r="AB818" s="170" t="str">
        <f t="shared" si="186"/>
        <v>-00:40:00</v>
      </c>
      <c r="AC818" s="170" t="b">
        <f t="shared" si="187"/>
        <v>1</v>
      </c>
    </row>
    <row r="819" spans="1:29" s="128" customFormat="1" ht="9.75" hidden="1" customHeight="1" x14ac:dyDescent="0.3">
      <c r="A819" s="99">
        <v>46252</v>
      </c>
      <c r="B819" s="59">
        <v>8180696</v>
      </c>
      <c r="C819" s="60" t="s">
        <v>89</v>
      </c>
      <c r="D819" s="60" t="s">
        <v>294</v>
      </c>
      <c r="E819" s="61">
        <v>0.25</v>
      </c>
      <c r="F819" s="60" t="s">
        <v>13</v>
      </c>
      <c r="G819" s="71" t="s">
        <v>35</v>
      </c>
      <c r="H819" s="62">
        <v>0.25486111111111109</v>
      </c>
      <c r="I819" s="113" t="str">
        <f t="shared" si="188"/>
        <v>18-08-2026T06:07:00</v>
      </c>
      <c r="J819" s="62">
        <v>0.29166666666666669</v>
      </c>
      <c r="K819" s="62"/>
      <c r="L819" s="63">
        <f t="shared" si="194"/>
        <v>3.6805555555555591E-2</v>
      </c>
      <c r="M819" s="64">
        <v>4.1666666666666664E-2</v>
      </c>
      <c r="N819" s="65" t="str">
        <f t="shared" si="195"/>
        <v>00:07:00</v>
      </c>
      <c r="O819" s="66"/>
      <c r="P819" s="124"/>
      <c r="Q819" s="67"/>
      <c r="R819" s="68"/>
      <c r="S819" s="68"/>
      <c r="T819" s="69">
        <f t="shared" si="196"/>
        <v>0</v>
      </c>
      <c r="U819" s="61"/>
      <c r="V819" s="83">
        <v>0</v>
      </c>
      <c r="W819" s="61">
        <f t="shared" si="197"/>
        <v>0</v>
      </c>
      <c r="X819" s="171">
        <v>46252.254861111112</v>
      </c>
      <c r="Y819" s="171">
        <v>46252.291666666664</v>
      </c>
      <c r="Z819" s="168">
        <f t="shared" si="184"/>
        <v>3.6805555551836733E-2</v>
      </c>
      <c r="AA819" s="169">
        <f t="shared" si="185"/>
        <v>4.1666666666666664E-2</v>
      </c>
      <c r="AB819" s="170" t="str">
        <f t="shared" si="186"/>
        <v>00:07:00</v>
      </c>
      <c r="AC819" s="170" t="b">
        <f t="shared" si="187"/>
        <v>1</v>
      </c>
    </row>
    <row r="820" spans="1:29" s="127" customFormat="1" ht="9.75" hidden="1" customHeight="1" x14ac:dyDescent="0.3">
      <c r="A820" s="98">
        <v>46252</v>
      </c>
      <c r="B820" s="48">
        <v>8180728</v>
      </c>
      <c r="C820" s="49" t="s">
        <v>37</v>
      </c>
      <c r="D820" s="49" t="s">
        <v>578</v>
      </c>
      <c r="E820" s="50">
        <v>0.27083333333333331</v>
      </c>
      <c r="F820" s="49" t="s">
        <v>14</v>
      </c>
      <c r="G820" s="70" t="s">
        <v>13</v>
      </c>
      <c r="H820" s="51">
        <v>0.26874999999999999</v>
      </c>
      <c r="I820" s="113" t="str">
        <f t="shared" si="188"/>
        <v>18-08-2026T06:27:00</v>
      </c>
      <c r="J820" s="51">
        <v>46253.011111111111</v>
      </c>
      <c r="K820" s="51"/>
      <c r="L820" s="52">
        <f t="shared" si="194"/>
        <v>46252.742361111108</v>
      </c>
      <c r="M820" s="53">
        <v>0.625</v>
      </c>
      <c r="N820" s="54" t="str">
        <f t="shared" si="195"/>
        <v>-02:49:00</v>
      </c>
      <c r="O820" s="55">
        <v>400</v>
      </c>
      <c r="P820" s="147" t="s">
        <v>642</v>
      </c>
      <c r="Q820" s="56" t="s">
        <v>126</v>
      </c>
      <c r="R820" s="57">
        <v>0.39583333333333331</v>
      </c>
      <c r="S820" s="57">
        <v>0.49652777777777779</v>
      </c>
      <c r="T820" s="47">
        <f t="shared" si="196"/>
        <v>0.10069444444444448</v>
      </c>
      <c r="U820" s="50"/>
      <c r="V820" s="74">
        <v>6.25E-2</v>
      </c>
      <c r="W820" s="50">
        <f t="shared" si="197"/>
        <v>3.8194444444444475E-2</v>
      </c>
      <c r="X820" s="171">
        <v>46252.268750000003</v>
      </c>
      <c r="Y820" s="171">
        <v>46253.011111111111</v>
      </c>
      <c r="Z820" s="168">
        <f t="shared" si="184"/>
        <v>0.74236111110803904</v>
      </c>
      <c r="AA820" s="169">
        <f t="shared" si="185"/>
        <v>0.625</v>
      </c>
      <c r="AB820" s="170" t="str">
        <f t="shared" si="186"/>
        <v>-02:49:00</v>
      </c>
      <c r="AC820" s="170" t="b">
        <f t="shared" si="187"/>
        <v>1</v>
      </c>
    </row>
    <row r="821" spans="1:29" ht="9.75" hidden="1" customHeight="1" x14ac:dyDescent="0.3">
      <c r="A821" s="149">
        <v>46251</v>
      </c>
      <c r="B821" s="150" t="s">
        <v>687</v>
      </c>
      <c r="C821" s="151" t="s">
        <v>36</v>
      </c>
      <c r="D821" s="151" t="s">
        <v>300</v>
      </c>
      <c r="E821" s="152">
        <v>0</v>
      </c>
      <c r="F821" s="151"/>
      <c r="G821" s="153"/>
      <c r="H821" s="154">
        <v>0</v>
      </c>
      <c r="I821" s="113" t="str">
        <f t="shared" si="188"/>
        <v>17-08-2026T00:00:00</v>
      </c>
      <c r="J821" s="154">
        <v>0</v>
      </c>
      <c r="K821" s="154"/>
      <c r="L821" s="155">
        <v>0</v>
      </c>
      <c r="M821" s="160">
        <v>0</v>
      </c>
      <c r="N821" s="156">
        <v>0</v>
      </c>
      <c r="O821" s="157"/>
      <c r="P821" s="158" t="s">
        <v>480</v>
      </c>
      <c r="Q821" s="159" t="s">
        <v>480</v>
      </c>
      <c r="R821" s="148" t="s">
        <v>480</v>
      </c>
      <c r="S821" s="148" t="s">
        <v>480</v>
      </c>
      <c r="T821" s="161" t="s">
        <v>480</v>
      </c>
      <c r="U821" s="152" t="s">
        <v>480</v>
      </c>
      <c r="V821" s="146" t="s">
        <v>480</v>
      </c>
      <c r="W821" s="152" t="s">
        <v>480</v>
      </c>
      <c r="X821" s="171" t="s">
        <v>668</v>
      </c>
      <c r="Y821" s="171" t="s">
        <v>668</v>
      </c>
      <c r="Z821" s="168" t="e">
        <f t="shared" si="184"/>
        <v>#VALUE!</v>
      </c>
      <c r="AA821" s="169">
        <f t="shared" si="185"/>
        <v>0</v>
      </c>
      <c r="AB821" s="170" t="e">
        <f t="shared" si="186"/>
        <v>#VALUE!</v>
      </c>
      <c r="AC821" s="170" t="e">
        <f t="shared" si="187"/>
        <v>#VALUE!</v>
      </c>
    </row>
    <row r="822" spans="1:29" s="144" customFormat="1" ht="9.75" hidden="1" customHeight="1" x14ac:dyDescent="0.3">
      <c r="A822" s="129">
        <v>46252</v>
      </c>
      <c r="B822" s="130">
        <v>8182275</v>
      </c>
      <c r="C822" s="131" t="s">
        <v>36</v>
      </c>
      <c r="D822" s="131" t="s">
        <v>300</v>
      </c>
      <c r="E822" s="132">
        <v>0.27083333333333331</v>
      </c>
      <c r="F822" s="131" t="s">
        <v>13</v>
      </c>
      <c r="G822" s="133" t="s">
        <v>14</v>
      </c>
      <c r="H822" s="134">
        <v>0.85902777777777772</v>
      </c>
      <c r="I822" s="113" t="str">
        <f t="shared" si="188"/>
        <v>18-08-2026T20:37:00</v>
      </c>
      <c r="J822" s="134">
        <v>46253.587500000001</v>
      </c>
      <c r="K822" s="134"/>
      <c r="L822" s="135">
        <f t="shared" ref="L822:L855" si="198">J822-H822</f>
        <v>46252.728472222225</v>
      </c>
      <c r="M822" s="136">
        <v>0.625</v>
      </c>
      <c r="N822" s="137" t="str">
        <f t="shared" ref="N822:N855" si="199">IF(M822-L822&gt;0,TEXT(M822-L822,"HH:MM:SS"),TEXT(ABS(M822-L822),"-HH:MM:SS"))</f>
        <v>-02:29:00</v>
      </c>
      <c r="O822" s="138"/>
      <c r="P822" s="145" t="s">
        <v>622</v>
      </c>
      <c r="Q822" s="140" t="s">
        <v>15</v>
      </c>
      <c r="R822" s="141">
        <v>46253.09097222222</v>
      </c>
      <c r="S822" s="141">
        <v>46253.261111111111</v>
      </c>
      <c r="T822" s="142">
        <f t="shared" ref="T822:T855" si="200">S822-R822</f>
        <v>0.17013888889050577</v>
      </c>
      <c r="U822" s="132"/>
      <c r="V822" s="143">
        <v>6.25E-2</v>
      </c>
      <c r="W822" s="132">
        <f t="shared" ref="W822:W855" si="201">T822-V822</f>
        <v>0.10763888889050577</v>
      </c>
      <c r="X822" s="171">
        <v>46252.859027777777</v>
      </c>
      <c r="Y822" s="171">
        <v>46253.587500000001</v>
      </c>
      <c r="Z822" s="168">
        <f t="shared" si="184"/>
        <v>0.72847222222480923</v>
      </c>
      <c r="AA822" s="169">
        <f t="shared" si="185"/>
        <v>0.625</v>
      </c>
      <c r="AB822" s="170" t="str">
        <f t="shared" si="186"/>
        <v>-02:29:00</v>
      </c>
      <c r="AC822" s="170" t="b">
        <f t="shared" si="187"/>
        <v>1</v>
      </c>
    </row>
    <row r="823" spans="1:29" s="128" customFormat="1" ht="9.75" hidden="1" customHeight="1" x14ac:dyDescent="0.3">
      <c r="A823" s="99">
        <v>46252</v>
      </c>
      <c r="B823" s="59">
        <v>8181325</v>
      </c>
      <c r="C823" s="60" t="s">
        <v>39</v>
      </c>
      <c r="D823" s="60" t="s">
        <v>392</v>
      </c>
      <c r="E823" s="61">
        <v>0.27083333333333331</v>
      </c>
      <c r="F823" s="60" t="s">
        <v>103</v>
      </c>
      <c r="G823" s="71" t="s">
        <v>13</v>
      </c>
      <c r="H823" s="62">
        <v>46252.527777777781</v>
      </c>
      <c r="I823" s="113" t="str">
        <f t="shared" si="188"/>
        <v>18-08-2026T12:40:00</v>
      </c>
      <c r="J823" s="62">
        <v>46253.082638888889</v>
      </c>
      <c r="K823" s="62"/>
      <c r="L823" s="63">
        <f t="shared" si="198"/>
        <v>0.55486111110803904</v>
      </c>
      <c r="M823" s="64">
        <v>0.70833333333333337</v>
      </c>
      <c r="N823" s="65" t="str">
        <f t="shared" si="199"/>
        <v>03:41:00</v>
      </c>
      <c r="O823" s="66"/>
      <c r="P823" s="124"/>
      <c r="Q823" s="67" t="s">
        <v>13</v>
      </c>
      <c r="R823" s="68">
        <v>46253.049305555556</v>
      </c>
      <c r="S823" s="68">
        <v>46253.072222222225</v>
      </c>
      <c r="T823" s="69">
        <f t="shared" si="200"/>
        <v>2.2916666668606922E-2</v>
      </c>
      <c r="U823" s="61"/>
      <c r="V823" s="83">
        <v>8.3333333333333329E-2</v>
      </c>
      <c r="W823" s="61">
        <f t="shared" si="201"/>
        <v>-6.0416666664726407E-2</v>
      </c>
      <c r="X823" s="171">
        <v>46252.527777777781</v>
      </c>
      <c r="Y823" s="171">
        <v>46253.082638888889</v>
      </c>
      <c r="Z823" s="168">
        <f t="shared" si="184"/>
        <v>0.55486111110803904</v>
      </c>
      <c r="AA823" s="169">
        <f t="shared" si="185"/>
        <v>0.70833333333333337</v>
      </c>
      <c r="AB823" s="170" t="str">
        <f t="shared" si="186"/>
        <v>03:41:00</v>
      </c>
      <c r="AC823" s="170" t="b">
        <f t="shared" si="187"/>
        <v>1</v>
      </c>
    </row>
    <row r="824" spans="1:29" s="127" customFormat="1" ht="9.75" hidden="1" customHeight="1" x14ac:dyDescent="0.3">
      <c r="A824" s="98">
        <v>46252</v>
      </c>
      <c r="B824" s="48">
        <v>8180845</v>
      </c>
      <c r="C824" s="49" t="s">
        <v>56</v>
      </c>
      <c r="D824" s="49" t="s">
        <v>472</v>
      </c>
      <c r="E824" s="50">
        <v>0.3125</v>
      </c>
      <c r="F824" s="49" t="s">
        <v>15</v>
      </c>
      <c r="G824" s="70" t="s">
        <v>13</v>
      </c>
      <c r="H824" s="51">
        <v>0.31111111111111112</v>
      </c>
      <c r="I824" s="113" t="str">
        <f t="shared" si="188"/>
        <v>18-08-2026T07:28:00</v>
      </c>
      <c r="J824" s="51">
        <v>0.86388888888888893</v>
      </c>
      <c r="K824" s="51"/>
      <c r="L824" s="52">
        <f t="shared" si="198"/>
        <v>0.55277777777777781</v>
      </c>
      <c r="M824" s="53">
        <v>0.25</v>
      </c>
      <c r="N824" s="54" t="str">
        <f t="shared" si="199"/>
        <v>-07:16:00</v>
      </c>
      <c r="O824" s="55">
        <f>250*8</f>
        <v>2000</v>
      </c>
      <c r="P824" s="147" t="s">
        <v>643</v>
      </c>
      <c r="Q824" s="56" t="s">
        <v>205</v>
      </c>
      <c r="R824" s="57">
        <v>0.38541666666666669</v>
      </c>
      <c r="S824" s="57">
        <v>0.41666666666666669</v>
      </c>
      <c r="T824" s="58">
        <f t="shared" si="200"/>
        <v>3.125E-2</v>
      </c>
      <c r="U824" s="50"/>
      <c r="V824" s="74">
        <v>4.1666666666666664E-2</v>
      </c>
      <c r="W824" s="50">
        <f t="shared" si="201"/>
        <v>-1.0416666666666664E-2</v>
      </c>
      <c r="X824" s="171">
        <v>46252.311111111114</v>
      </c>
      <c r="Y824" s="171">
        <v>46252.863888888889</v>
      </c>
      <c r="Z824" s="168">
        <f t="shared" si="184"/>
        <v>0.55277777777519077</v>
      </c>
      <c r="AA824" s="169">
        <f t="shared" si="185"/>
        <v>0.25</v>
      </c>
      <c r="AB824" s="170" t="str">
        <f t="shared" si="186"/>
        <v>-07:16:00</v>
      </c>
      <c r="AC824" s="170" t="b">
        <f t="shared" si="187"/>
        <v>1</v>
      </c>
    </row>
    <row r="825" spans="1:29" s="127" customFormat="1" ht="9.75" hidden="1" customHeight="1" x14ac:dyDescent="0.3">
      <c r="A825" s="98">
        <v>46252</v>
      </c>
      <c r="B825" s="48">
        <v>8180802</v>
      </c>
      <c r="C825" s="49" t="s">
        <v>40</v>
      </c>
      <c r="D825" s="49" t="s">
        <v>460</v>
      </c>
      <c r="E825" s="50">
        <v>0.29166666666666669</v>
      </c>
      <c r="F825" s="49" t="s">
        <v>13</v>
      </c>
      <c r="G825" s="70" t="s">
        <v>31</v>
      </c>
      <c r="H825" s="51">
        <v>0.29236111111111113</v>
      </c>
      <c r="I825" s="113" t="str">
        <f t="shared" si="188"/>
        <v>18-08-2026T07:01:00</v>
      </c>
      <c r="J825" s="51">
        <v>0.92500000000000004</v>
      </c>
      <c r="K825" s="51"/>
      <c r="L825" s="52">
        <f t="shared" si="198"/>
        <v>0.63263888888888897</v>
      </c>
      <c r="M825" s="53">
        <v>0.625</v>
      </c>
      <c r="N825" s="54" t="str">
        <f t="shared" si="199"/>
        <v>-00:11:00</v>
      </c>
      <c r="O825" s="55">
        <v>200</v>
      </c>
      <c r="P825" s="147" t="s">
        <v>624</v>
      </c>
      <c r="Q825" s="56"/>
      <c r="R825" s="57"/>
      <c r="S825" s="57"/>
      <c r="T825" s="58">
        <f t="shared" si="200"/>
        <v>0</v>
      </c>
      <c r="U825" s="50"/>
      <c r="V825" s="74">
        <v>0</v>
      </c>
      <c r="W825" s="50">
        <f t="shared" si="201"/>
        <v>0</v>
      </c>
      <c r="X825" s="171">
        <v>46252.292361111111</v>
      </c>
      <c r="Y825" s="171">
        <v>46252.925000000003</v>
      </c>
      <c r="Z825" s="168">
        <f t="shared" si="184"/>
        <v>0.63263888889196096</v>
      </c>
      <c r="AA825" s="169">
        <f t="shared" si="185"/>
        <v>0.625</v>
      </c>
      <c r="AB825" s="170" t="str">
        <f t="shared" si="186"/>
        <v>-00:11:00</v>
      </c>
      <c r="AC825" s="170" t="b">
        <f t="shared" si="187"/>
        <v>1</v>
      </c>
    </row>
    <row r="826" spans="1:29" s="128" customFormat="1" ht="9.75" hidden="1" customHeight="1" x14ac:dyDescent="0.3">
      <c r="A826" s="99">
        <v>46252</v>
      </c>
      <c r="B826" s="59">
        <v>8180846</v>
      </c>
      <c r="C826" s="60" t="s">
        <v>42</v>
      </c>
      <c r="D826" s="60" t="s">
        <v>181</v>
      </c>
      <c r="E826" s="61">
        <v>0.3125</v>
      </c>
      <c r="F826" s="60" t="s">
        <v>13</v>
      </c>
      <c r="G826" s="71" t="s">
        <v>55</v>
      </c>
      <c r="H826" s="62">
        <v>0.31111111111111112</v>
      </c>
      <c r="I826" s="113" t="str">
        <f t="shared" si="188"/>
        <v>18-08-2026T07:28:00</v>
      </c>
      <c r="J826" s="62">
        <v>0.37013888888888891</v>
      </c>
      <c r="K826" s="62"/>
      <c r="L826" s="63">
        <f t="shared" si="198"/>
        <v>5.902777777777779E-2</v>
      </c>
      <c r="M826" s="64">
        <v>6.25E-2</v>
      </c>
      <c r="N826" s="65" t="str">
        <f t="shared" si="199"/>
        <v>00:05:00</v>
      </c>
      <c r="O826" s="66"/>
      <c r="P826" s="124"/>
      <c r="Q826" s="67"/>
      <c r="R826" s="68"/>
      <c r="S826" s="68"/>
      <c r="T826" s="69">
        <f t="shared" si="200"/>
        <v>0</v>
      </c>
      <c r="U826" s="61"/>
      <c r="V826" s="83">
        <v>0</v>
      </c>
      <c r="W826" s="61">
        <f t="shared" si="201"/>
        <v>0</v>
      </c>
      <c r="X826" s="171">
        <v>46252.311111111114</v>
      </c>
      <c r="Y826" s="171">
        <v>46252.370138888888</v>
      </c>
      <c r="Z826" s="168">
        <f t="shared" si="184"/>
        <v>5.9027777773735579E-2</v>
      </c>
      <c r="AA826" s="169">
        <f t="shared" si="185"/>
        <v>6.25E-2</v>
      </c>
      <c r="AB826" s="170" t="str">
        <f t="shared" si="186"/>
        <v>00:05:00</v>
      </c>
      <c r="AC826" s="170" t="b">
        <f t="shared" si="187"/>
        <v>1</v>
      </c>
    </row>
    <row r="827" spans="1:29" s="127" customFormat="1" ht="9.75" hidden="1" customHeight="1" x14ac:dyDescent="0.3">
      <c r="A827" s="98">
        <v>46252</v>
      </c>
      <c r="B827" s="48">
        <v>8180978</v>
      </c>
      <c r="C827" s="49" t="s">
        <v>30</v>
      </c>
      <c r="D827" s="49" t="s">
        <v>286</v>
      </c>
      <c r="E827" s="50">
        <v>0.375</v>
      </c>
      <c r="F827" s="49" t="s">
        <v>13</v>
      </c>
      <c r="G827" s="70" t="s">
        <v>31</v>
      </c>
      <c r="H827" s="51">
        <v>46252.375</v>
      </c>
      <c r="I827" s="113" t="str">
        <f t="shared" si="188"/>
        <v>18-08-2026T09:00:00</v>
      </c>
      <c r="J827" s="51">
        <v>46253.163194444445</v>
      </c>
      <c r="K827" s="51"/>
      <c r="L827" s="52">
        <f t="shared" si="198"/>
        <v>0.78819444444525288</v>
      </c>
      <c r="M827" s="53">
        <v>0.75</v>
      </c>
      <c r="N827" s="54" t="str">
        <f t="shared" si="199"/>
        <v>-00:55:00</v>
      </c>
      <c r="O827" s="55">
        <v>200</v>
      </c>
      <c r="P827" s="147" t="s">
        <v>598</v>
      </c>
      <c r="Q827" s="56" t="s">
        <v>45</v>
      </c>
      <c r="R827" s="57">
        <v>46252.987500000003</v>
      </c>
      <c r="S827" s="57">
        <v>46253.048611111109</v>
      </c>
      <c r="T827" s="58">
        <f t="shared" si="200"/>
        <v>6.1111111106583849E-2</v>
      </c>
      <c r="U827" s="50"/>
      <c r="V827" s="74">
        <v>8.3333333333333329E-2</v>
      </c>
      <c r="W827" s="50">
        <f t="shared" si="201"/>
        <v>-2.222222222674948E-2</v>
      </c>
      <c r="X827" s="171">
        <v>46252.375</v>
      </c>
      <c r="Y827" s="171">
        <v>46253.163194444445</v>
      </c>
      <c r="Z827" s="168">
        <f t="shared" si="184"/>
        <v>0.78819444444525288</v>
      </c>
      <c r="AA827" s="169">
        <f t="shared" si="185"/>
        <v>0.75</v>
      </c>
      <c r="AB827" s="170" t="str">
        <f t="shared" si="186"/>
        <v>-00:55:00</v>
      </c>
      <c r="AC827" s="170" t="b">
        <f t="shared" si="187"/>
        <v>1</v>
      </c>
    </row>
    <row r="828" spans="1:29" s="128" customFormat="1" ht="9.75" hidden="1" customHeight="1" x14ac:dyDescent="0.3">
      <c r="A828" s="99">
        <v>46252</v>
      </c>
      <c r="B828" s="59">
        <v>8180982</v>
      </c>
      <c r="C828" s="60" t="s">
        <v>171</v>
      </c>
      <c r="D828" s="60" t="s">
        <v>296</v>
      </c>
      <c r="E828" s="61">
        <v>0.375</v>
      </c>
      <c r="F828" s="60" t="s">
        <v>13</v>
      </c>
      <c r="G828" s="71" t="s">
        <v>47</v>
      </c>
      <c r="H828" s="62">
        <v>46252.375</v>
      </c>
      <c r="I828" s="113" t="str">
        <f t="shared" si="188"/>
        <v>18-08-2026T09:00:00</v>
      </c>
      <c r="J828" s="62">
        <v>46254.236111111109</v>
      </c>
      <c r="K828" s="62"/>
      <c r="L828" s="63">
        <f t="shared" si="198"/>
        <v>1.8611111111094942</v>
      </c>
      <c r="M828" s="64">
        <v>1.9166666666666667</v>
      </c>
      <c r="N828" s="65" t="str">
        <f t="shared" si="199"/>
        <v>01:20:00</v>
      </c>
      <c r="O828" s="66"/>
      <c r="P828" s="124"/>
      <c r="Q828" s="67" t="s">
        <v>96</v>
      </c>
      <c r="R828" s="68">
        <v>46254.012499999997</v>
      </c>
      <c r="S828" s="68">
        <v>46254.052777777775</v>
      </c>
      <c r="T828" s="69">
        <f t="shared" si="200"/>
        <v>4.0277777778101154E-2</v>
      </c>
      <c r="U828" s="61"/>
      <c r="V828" s="83">
        <v>8.3333333333333329E-2</v>
      </c>
      <c r="W828" s="61">
        <f t="shared" si="201"/>
        <v>-4.3055555555232175E-2</v>
      </c>
      <c r="X828" s="171">
        <v>46252.375</v>
      </c>
      <c r="Y828" s="171">
        <v>46254.236111111109</v>
      </c>
      <c r="Z828" s="168">
        <f t="shared" ref="Z828:Z891" si="202">Y828-X828</f>
        <v>1.8611111111094942</v>
      </c>
      <c r="AA828" s="169">
        <f t="shared" ref="AA828:AA891" si="203">M828</f>
        <v>1.9166666666666667</v>
      </c>
      <c r="AB828" s="170" t="str">
        <f t="shared" ref="AB828:AB891" si="204">IF(AA828-Z828&gt;0,TEXT(AA828-Z828,"HH:MM:SS"),TEXT(ABS(AA828-Z828),"-HH:MM:SS"))</f>
        <v>01:20:00</v>
      </c>
      <c r="AC828" s="170" t="b">
        <f t="shared" ref="AC828:AC891" si="205">AB828=N828</f>
        <v>1</v>
      </c>
    </row>
    <row r="829" spans="1:29" s="128" customFormat="1" ht="9.75" hidden="1" customHeight="1" x14ac:dyDescent="0.3">
      <c r="A829" s="99">
        <v>46252</v>
      </c>
      <c r="B829" s="59">
        <v>8180961</v>
      </c>
      <c r="C829" s="60" t="s">
        <v>48</v>
      </c>
      <c r="D829" s="60" t="s">
        <v>183</v>
      </c>
      <c r="E829" s="61">
        <v>0.375</v>
      </c>
      <c r="F829" s="60" t="s">
        <v>49</v>
      </c>
      <c r="G829" s="71" t="s">
        <v>13</v>
      </c>
      <c r="H829" s="62">
        <v>0.37222222222222223</v>
      </c>
      <c r="I829" s="113" t="str">
        <f t="shared" si="188"/>
        <v>18-08-2026T08:56:00</v>
      </c>
      <c r="J829" s="62">
        <v>0.92152777777777772</v>
      </c>
      <c r="K829" s="62"/>
      <c r="L829" s="63">
        <f t="shared" si="198"/>
        <v>0.54930555555555549</v>
      </c>
      <c r="M829" s="64">
        <v>0.58333333333333337</v>
      </c>
      <c r="N829" s="65" t="str">
        <f t="shared" si="199"/>
        <v>00:49:00</v>
      </c>
      <c r="O829" s="66"/>
      <c r="P829" s="124"/>
      <c r="Q829" s="67" t="s">
        <v>13</v>
      </c>
      <c r="R829" s="68">
        <v>0.8618055555555556</v>
      </c>
      <c r="S829" s="68">
        <v>0.90972222222222221</v>
      </c>
      <c r="T829" s="69">
        <f t="shared" si="200"/>
        <v>4.7916666666666607E-2</v>
      </c>
      <c r="U829" s="61"/>
      <c r="V829" s="83">
        <v>8.3333333333333329E-2</v>
      </c>
      <c r="W829" s="61">
        <f t="shared" si="201"/>
        <v>-3.5416666666666721E-2</v>
      </c>
      <c r="X829" s="171">
        <v>46252.37222222222</v>
      </c>
      <c r="Y829" s="171">
        <v>46252.921527777777</v>
      </c>
      <c r="Z829" s="168">
        <f t="shared" si="202"/>
        <v>0.54930555555620231</v>
      </c>
      <c r="AA829" s="169">
        <f t="shared" si="203"/>
        <v>0.58333333333333337</v>
      </c>
      <c r="AB829" s="170" t="str">
        <f t="shared" si="204"/>
        <v>00:49:00</v>
      </c>
      <c r="AC829" s="170" t="b">
        <f t="shared" si="205"/>
        <v>1</v>
      </c>
    </row>
    <row r="830" spans="1:29" s="127" customFormat="1" ht="9.75" hidden="1" customHeight="1" x14ac:dyDescent="0.3">
      <c r="A830" s="98">
        <v>46252</v>
      </c>
      <c r="B830" s="48">
        <v>8181017</v>
      </c>
      <c r="C830" s="49" t="s">
        <v>50</v>
      </c>
      <c r="D830" s="49" t="s">
        <v>329</v>
      </c>
      <c r="E830" s="50">
        <v>0.41666666666666669</v>
      </c>
      <c r="F830" s="49" t="s">
        <v>31</v>
      </c>
      <c r="G830" s="70" t="s">
        <v>13</v>
      </c>
      <c r="H830" s="51">
        <v>0.40833333333333333</v>
      </c>
      <c r="I830" s="113" t="str">
        <f t="shared" si="188"/>
        <v>18-08-2026T09:48:00</v>
      </c>
      <c r="J830" s="51">
        <v>46253.223611111112</v>
      </c>
      <c r="K830" s="51"/>
      <c r="L830" s="52">
        <f t="shared" si="198"/>
        <v>46252.81527777778</v>
      </c>
      <c r="M830" s="53">
        <v>0.75</v>
      </c>
      <c r="N830" s="54" t="str">
        <f t="shared" si="199"/>
        <v>-01:34:00</v>
      </c>
      <c r="O830" s="55">
        <v>400</v>
      </c>
      <c r="P830" s="147" t="s">
        <v>625</v>
      </c>
      <c r="Q830" s="56" t="s">
        <v>45</v>
      </c>
      <c r="R830" s="57">
        <v>0.56527777777777777</v>
      </c>
      <c r="S830" s="57">
        <v>0.64236111111111116</v>
      </c>
      <c r="T830" s="58">
        <f t="shared" si="200"/>
        <v>7.7083333333333393E-2</v>
      </c>
      <c r="U830" s="50"/>
      <c r="V830" s="74">
        <v>8.3333333333333329E-2</v>
      </c>
      <c r="W830" s="50">
        <f t="shared" si="201"/>
        <v>-6.2499999999999362E-3</v>
      </c>
      <c r="X830" s="171">
        <v>46252.408333333333</v>
      </c>
      <c r="Y830" s="171">
        <v>46253.223611111112</v>
      </c>
      <c r="Z830" s="168">
        <f t="shared" si="202"/>
        <v>0.81527777777955635</v>
      </c>
      <c r="AA830" s="169">
        <f t="shared" si="203"/>
        <v>0.75</v>
      </c>
      <c r="AB830" s="170" t="str">
        <f t="shared" si="204"/>
        <v>-01:34:00</v>
      </c>
      <c r="AC830" s="170" t="b">
        <f t="shared" si="205"/>
        <v>1</v>
      </c>
    </row>
    <row r="831" spans="1:29" s="127" customFormat="1" ht="9.75" hidden="1" customHeight="1" x14ac:dyDescent="0.3">
      <c r="A831" s="98">
        <v>46252</v>
      </c>
      <c r="B831" s="48">
        <v>8181026</v>
      </c>
      <c r="C831" s="49" t="s">
        <v>51</v>
      </c>
      <c r="D831" s="49" t="s">
        <v>295</v>
      </c>
      <c r="E831" s="50">
        <v>0.41666666666666669</v>
      </c>
      <c r="F831" s="49" t="s">
        <v>13</v>
      </c>
      <c r="G831" s="70" t="s">
        <v>49</v>
      </c>
      <c r="H831" s="51">
        <v>0.40486111111111112</v>
      </c>
      <c r="I831" s="113" t="str">
        <f t="shared" si="188"/>
        <v>18-08-2026T09:43:00</v>
      </c>
      <c r="J831" s="51">
        <v>0.90972222222222221</v>
      </c>
      <c r="K831" s="51"/>
      <c r="L831" s="52">
        <f t="shared" si="198"/>
        <v>0.50486111111111109</v>
      </c>
      <c r="M831" s="53">
        <v>0.5</v>
      </c>
      <c r="N831" s="54" t="str">
        <f t="shared" si="199"/>
        <v>-00:07:00</v>
      </c>
      <c r="O831" s="55">
        <v>250</v>
      </c>
      <c r="P831" s="147" t="s">
        <v>598</v>
      </c>
      <c r="Q831" s="56"/>
      <c r="R831" s="57"/>
      <c r="S831" s="57"/>
      <c r="T831" s="58">
        <f t="shared" si="200"/>
        <v>0</v>
      </c>
      <c r="U831" s="50"/>
      <c r="V831" s="74">
        <v>0</v>
      </c>
      <c r="W831" s="50">
        <f t="shared" si="201"/>
        <v>0</v>
      </c>
      <c r="X831" s="171">
        <v>0.40486111111111112</v>
      </c>
      <c r="Y831" s="171">
        <v>0.90972222222222221</v>
      </c>
      <c r="Z831" s="168">
        <f t="shared" si="202"/>
        <v>0.50486111111111109</v>
      </c>
      <c r="AA831" s="169">
        <f t="shared" si="203"/>
        <v>0.5</v>
      </c>
      <c r="AB831" s="170" t="str">
        <f t="shared" si="204"/>
        <v>-00:07:00</v>
      </c>
      <c r="AC831" s="170" t="b">
        <f t="shared" si="205"/>
        <v>1</v>
      </c>
    </row>
    <row r="832" spans="1:29" s="128" customFormat="1" ht="9.75" customHeight="1" x14ac:dyDescent="0.3">
      <c r="A832" s="99">
        <v>46252</v>
      </c>
      <c r="B832" s="59">
        <v>8179989</v>
      </c>
      <c r="C832" s="60" t="s">
        <v>90</v>
      </c>
      <c r="D832" s="60" t="s">
        <v>290</v>
      </c>
      <c r="E832" s="61">
        <v>0.99930555555555556</v>
      </c>
      <c r="F832" s="60" t="s">
        <v>13</v>
      </c>
      <c r="G832" s="71" t="s">
        <v>15</v>
      </c>
      <c r="H832" s="62">
        <v>9.0277777777777769E-3</v>
      </c>
      <c r="I832" s="113" t="str">
        <f t="shared" si="188"/>
        <v>18-08-2026T00:13:00</v>
      </c>
      <c r="J832" s="62">
        <v>0.25694444444444442</v>
      </c>
      <c r="K832" s="113" t="str">
        <f t="shared" ref="K832:K833" si="206">TEXT(A832,"dd-mm-yyyy")&amp;"T"&amp;TEXT(J832,"hh:mm:ss")</f>
        <v>18-08-2026T06:10:00</v>
      </c>
      <c r="L832" s="63">
        <f t="shared" si="198"/>
        <v>0.24791666666666665</v>
      </c>
      <c r="M832" s="64">
        <v>0.27083333333333331</v>
      </c>
      <c r="N832" s="65" t="str">
        <f t="shared" si="199"/>
        <v>00:33:00</v>
      </c>
      <c r="O832" s="66"/>
      <c r="P832" s="124"/>
      <c r="Q832" s="67" t="s">
        <v>13</v>
      </c>
      <c r="R832" s="68">
        <v>9.0277777777777769E-3</v>
      </c>
      <c r="S832" s="68">
        <v>4.8611111111111112E-2</v>
      </c>
      <c r="T832" s="69">
        <f t="shared" si="200"/>
        <v>3.9583333333333331E-2</v>
      </c>
      <c r="U832" s="61"/>
      <c r="V832" s="83">
        <v>8.3333333333333329E-2</v>
      </c>
      <c r="W832" s="61">
        <f t="shared" si="201"/>
        <v>-4.3749999999999997E-2</v>
      </c>
      <c r="X832" s="171">
        <v>46252.009027777778</v>
      </c>
      <c r="Y832" s="171">
        <v>46252.256944444445</v>
      </c>
      <c r="Z832" s="168">
        <f t="shared" si="202"/>
        <v>0.24791666666715173</v>
      </c>
      <c r="AA832" s="169">
        <f t="shared" si="203"/>
        <v>0.27083333333333331</v>
      </c>
      <c r="AB832" s="170" t="str">
        <f t="shared" si="204"/>
        <v>00:33:00</v>
      </c>
      <c r="AC832" s="170" t="b">
        <f t="shared" si="205"/>
        <v>1</v>
      </c>
    </row>
    <row r="833" spans="1:29" s="127" customFormat="1" ht="9.75" hidden="1" customHeight="1" x14ac:dyDescent="0.3">
      <c r="A833" s="98">
        <v>46252</v>
      </c>
      <c r="B833" s="48">
        <v>8181151</v>
      </c>
      <c r="C833" s="49" t="s">
        <v>90</v>
      </c>
      <c r="D833" s="49" t="s">
        <v>290</v>
      </c>
      <c r="E833" s="50">
        <v>0.4375</v>
      </c>
      <c r="F833" s="49" t="s">
        <v>15</v>
      </c>
      <c r="G833" s="70" t="s">
        <v>13</v>
      </c>
      <c r="H833" s="51">
        <v>0.46319444444444446</v>
      </c>
      <c r="I833" s="113" t="str">
        <f t="shared" si="188"/>
        <v>18-08-2026T11:07:00</v>
      </c>
      <c r="J833" s="51">
        <v>0.7006944444444444</v>
      </c>
      <c r="K833" s="113" t="str">
        <f t="shared" si="206"/>
        <v>18-08-2026T16:49:00</v>
      </c>
      <c r="L833" s="52">
        <f t="shared" si="198"/>
        <v>0.23749999999999993</v>
      </c>
      <c r="M833" s="53">
        <v>0.20833333333333334</v>
      </c>
      <c r="N833" s="54" t="str">
        <f t="shared" si="199"/>
        <v>-00:42:00</v>
      </c>
      <c r="O833" s="55">
        <v>200</v>
      </c>
      <c r="P833" s="147" t="s">
        <v>615</v>
      </c>
      <c r="Q833" s="56"/>
      <c r="R833" s="57"/>
      <c r="S833" s="57"/>
      <c r="T833" s="58">
        <f t="shared" si="200"/>
        <v>0</v>
      </c>
      <c r="U833" s="50"/>
      <c r="V833" s="74">
        <v>0</v>
      </c>
      <c r="W833" s="50">
        <f t="shared" si="201"/>
        <v>0</v>
      </c>
      <c r="X833" s="171">
        <v>46252.463194444441</v>
      </c>
      <c r="Y833" s="171">
        <v>46252.700694444444</v>
      </c>
      <c r="Z833" s="168">
        <f t="shared" si="202"/>
        <v>0.23750000000291038</v>
      </c>
      <c r="AA833" s="169">
        <f t="shared" si="203"/>
        <v>0.20833333333333334</v>
      </c>
      <c r="AB833" s="170" t="str">
        <f t="shared" si="204"/>
        <v>-00:42:00</v>
      </c>
      <c r="AC833" s="170" t="b">
        <f t="shared" si="205"/>
        <v>1</v>
      </c>
    </row>
    <row r="834" spans="1:29" s="128" customFormat="1" ht="9.75" hidden="1" customHeight="1" x14ac:dyDescent="0.3">
      <c r="A834" s="99">
        <v>46252</v>
      </c>
      <c r="B834" s="59">
        <v>8181141</v>
      </c>
      <c r="C834" s="60" t="s">
        <v>41</v>
      </c>
      <c r="D834" s="60" t="s">
        <v>299</v>
      </c>
      <c r="E834" s="61">
        <v>0.45833333333333331</v>
      </c>
      <c r="F834" s="60" t="s">
        <v>13</v>
      </c>
      <c r="G834" s="71" t="s">
        <v>24</v>
      </c>
      <c r="H834" s="62">
        <v>0.46111111111111114</v>
      </c>
      <c r="I834" s="113" t="str">
        <f t="shared" si="188"/>
        <v>18-08-2026T11:04:00</v>
      </c>
      <c r="J834" s="62">
        <v>0.53125</v>
      </c>
      <c r="K834" s="62"/>
      <c r="L834" s="63">
        <f t="shared" si="198"/>
        <v>7.0138888888888862E-2</v>
      </c>
      <c r="M834" s="64">
        <v>8.3333333333333329E-2</v>
      </c>
      <c r="N834" s="65" t="str">
        <f t="shared" si="199"/>
        <v>00:19:00</v>
      </c>
      <c r="O834" s="66"/>
      <c r="P834" s="124"/>
      <c r="Q834" s="67"/>
      <c r="R834" s="68"/>
      <c r="S834" s="68"/>
      <c r="T834" s="69">
        <f t="shared" si="200"/>
        <v>0</v>
      </c>
      <c r="U834" s="61"/>
      <c r="V834" s="83">
        <v>0</v>
      </c>
      <c r="W834" s="61">
        <f t="shared" si="201"/>
        <v>0</v>
      </c>
      <c r="X834" s="171">
        <v>46252.461111111108</v>
      </c>
      <c r="Y834" s="171">
        <v>46252.53125</v>
      </c>
      <c r="Z834" s="168">
        <f t="shared" si="202"/>
        <v>7.013888889196096E-2</v>
      </c>
      <c r="AA834" s="169">
        <f t="shared" si="203"/>
        <v>8.3333333333333329E-2</v>
      </c>
      <c r="AB834" s="170" t="str">
        <f t="shared" si="204"/>
        <v>00:19:00</v>
      </c>
      <c r="AC834" s="170" t="b">
        <f t="shared" si="205"/>
        <v>1</v>
      </c>
    </row>
    <row r="835" spans="1:29" s="127" customFormat="1" ht="9.75" hidden="1" customHeight="1" x14ac:dyDescent="0.3">
      <c r="A835" s="98">
        <v>46252</v>
      </c>
      <c r="B835" s="48">
        <v>8181274</v>
      </c>
      <c r="C835" s="49" t="s">
        <v>99</v>
      </c>
      <c r="D835" s="49" t="s">
        <v>582</v>
      </c>
      <c r="E835" s="50">
        <v>0.5</v>
      </c>
      <c r="F835" s="49" t="s">
        <v>13</v>
      </c>
      <c r="G835" s="70" t="s">
        <v>103</v>
      </c>
      <c r="H835" s="51">
        <v>46252.501388888886</v>
      </c>
      <c r="I835" s="113" t="str">
        <f t="shared" si="188"/>
        <v>18-08-2026T12:02:00</v>
      </c>
      <c r="J835" s="51">
        <v>46254.395138888889</v>
      </c>
      <c r="K835" s="51"/>
      <c r="L835" s="52">
        <f t="shared" si="198"/>
        <v>1.8937500000029104</v>
      </c>
      <c r="M835" s="53">
        <v>0.625</v>
      </c>
      <c r="N835" s="54" t="str">
        <f t="shared" si="199"/>
        <v>-06:27:00</v>
      </c>
      <c r="O835" s="55">
        <v>5000</v>
      </c>
      <c r="P835" s="147" t="s">
        <v>621</v>
      </c>
      <c r="Q835" s="56"/>
      <c r="R835" s="57"/>
      <c r="S835" s="57"/>
      <c r="T835" s="58">
        <f t="shared" si="200"/>
        <v>0</v>
      </c>
      <c r="U835" s="50"/>
      <c r="V835" s="74">
        <v>0</v>
      </c>
      <c r="W835" s="50">
        <f t="shared" si="201"/>
        <v>0</v>
      </c>
      <c r="X835" s="171">
        <v>46252.501388888886</v>
      </c>
      <c r="Y835" s="171">
        <v>46254.395138888889</v>
      </c>
      <c r="Z835" s="168">
        <f t="shared" si="202"/>
        <v>1.8937500000029104</v>
      </c>
      <c r="AA835" s="169">
        <f t="shared" si="203"/>
        <v>0.625</v>
      </c>
      <c r="AB835" s="170" t="str">
        <f t="shared" si="204"/>
        <v>-06:27:00</v>
      </c>
      <c r="AC835" s="170" t="b">
        <f t="shared" si="205"/>
        <v>1</v>
      </c>
    </row>
    <row r="836" spans="1:29" s="128" customFormat="1" ht="9.75" hidden="1" customHeight="1" x14ac:dyDescent="0.3">
      <c r="A836" s="99">
        <v>46252</v>
      </c>
      <c r="B836" s="59">
        <v>8181253</v>
      </c>
      <c r="C836" s="60" t="s">
        <v>20</v>
      </c>
      <c r="D836" s="60" t="s">
        <v>232</v>
      </c>
      <c r="E836" s="61">
        <v>0.5</v>
      </c>
      <c r="F836" s="60" t="s">
        <v>13</v>
      </c>
      <c r="G836" s="71" t="s">
        <v>21</v>
      </c>
      <c r="H836" s="62">
        <v>0.49791666666666667</v>
      </c>
      <c r="I836" s="113" t="str">
        <f t="shared" ref="I836:I899" si="207">TEXT(A836,"dd-mm-yyyy")&amp;"T"&amp;TEXT(H836,"hh:mm:ss")</f>
        <v>18-08-2026T11:57:00</v>
      </c>
      <c r="J836" s="62">
        <v>0.74305555555555558</v>
      </c>
      <c r="K836" s="62"/>
      <c r="L836" s="63">
        <f t="shared" si="198"/>
        <v>0.24513888888888891</v>
      </c>
      <c r="M836" s="64">
        <v>0.25</v>
      </c>
      <c r="N836" s="65" t="str">
        <f t="shared" si="199"/>
        <v>00:07:00</v>
      </c>
      <c r="O836" s="66"/>
      <c r="P836" s="124"/>
      <c r="Q836" s="67"/>
      <c r="R836" s="68"/>
      <c r="S836" s="68"/>
      <c r="T836" s="69">
        <f t="shared" si="200"/>
        <v>0</v>
      </c>
      <c r="U836" s="61" t="s">
        <v>234</v>
      </c>
      <c r="V836" s="83">
        <v>0</v>
      </c>
      <c r="W836" s="61">
        <f t="shared" si="201"/>
        <v>0</v>
      </c>
      <c r="X836" s="171">
        <v>46252.497916666667</v>
      </c>
      <c r="Y836" s="171">
        <v>46252.743055555555</v>
      </c>
      <c r="Z836" s="168">
        <f t="shared" si="202"/>
        <v>0.24513888888759539</v>
      </c>
      <c r="AA836" s="169">
        <f t="shared" si="203"/>
        <v>0.25</v>
      </c>
      <c r="AB836" s="170" t="str">
        <f t="shared" si="204"/>
        <v>00:07:00</v>
      </c>
      <c r="AC836" s="170" t="b">
        <f t="shared" si="205"/>
        <v>1</v>
      </c>
    </row>
    <row r="837" spans="1:29" s="128" customFormat="1" ht="9.75" hidden="1" customHeight="1" x14ac:dyDescent="0.3">
      <c r="A837" s="99">
        <v>46252</v>
      </c>
      <c r="B837" s="59">
        <v>8181378</v>
      </c>
      <c r="C837" s="60" t="s">
        <v>52</v>
      </c>
      <c r="D837" s="60" t="s">
        <v>616</v>
      </c>
      <c r="E837" s="61">
        <v>0.54166666666666663</v>
      </c>
      <c r="F837" s="60" t="s">
        <v>13</v>
      </c>
      <c r="G837" s="71" t="s">
        <v>15</v>
      </c>
      <c r="H837" s="62">
        <v>0.54166666666666663</v>
      </c>
      <c r="I837" s="113" t="str">
        <f t="shared" si="207"/>
        <v>18-08-2026T13:00:00</v>
      </c>
      <c r="J837" s="62">
        <v>0.74444444444444446</v>
      </c>
      <c r="K837" s="62"/>
      <c r="L837" s="63">
        <f t="shared" si="198"/>
        <v>0.20277777777777783</v>
      </c>
      <c r="M837" s="64">
        <v>0.20833333333333334</v>
      </c>
      <c r="N837" s="65" t="str">
        <f t="shared" si="199"/>
        <v>00:08:00</v>
      </c>
      <c r="O837" s="66"/>
      <c r="P837" s="124"/>
      <c r="Q837" s="67"/>
      <c r="R837" s="68"/>
      <c r="S837" s="68"/>
      <c r="T837" s="69">
        <f t="shared" si="200"/>
        <v>0</v>
      </c>
      <c r="U837" s="61" t="s">
        <v>234</v>
      </c>
      <c r="V837" s="83">
        <v>0</v>
      </c>
      <c r="W837" s="61">
        <f t="shared" si="201"/>
        <v>0</v>
      </c>
      <c r="X837" s="171">
        <v>46252.541666666664</v>
      </c>
      <c r="Y837" s="171">
        <v>46252.744444444441</v>
      </c>
      <c r="Z837" s="168">
        <f t="shared" si="202"/>
        <v>0.20277777777664596</v>
      </c>
      <c r="AA837" s="169">
        <f t="shared" si="203"/>
        <v>0.20833333333333334</v>
      </c>
      <c r="AB837" s="170" t="str">
        <f t="shared" si="204"/>
        <v>00:08:00</v>
      </c>
      <c r="AC837" s="170" t="b">
        <f t="shared" si="205"/>
        <v>1</v>
      </c>
    </row>
    <row r="838" spans="1:29" s="127" customFormat="1" ht="9.75" hidden="1" customHeight="1" x14ac:dyDescent="0.3">
      <c r="A838" s="98">
        <v>46252</v>
      </c>
      <c r="B838" s="48">
        <v>8181650</v>
      </c>
      <c r="C838" s="49" t="s">
        <v>18</v>
      </c>
      <c r="D838" s="49" t="s">
        <v>389</v>
      </c>
      <c r="E838" s="50">
        <v>0.64583333333333337</v>
      </c>
      <c r="F838" s="49" t="s">
        <v>19</v>
      </c>
      <c r="G838" s="70" t="s">
        <v>13</v>
      </c>
      <c r="H838" s="51">
        <v>46252.643055555556</v>
      </c>
      <c r="I838" s="113" t="str">
        <f t="shared" si="207"/>
        <v>18-08-2026T15:26:00</v>
      </c>
      <c r="J838" s="51">
        <v>46253.156944444447</v>
      </c>
      <c r="K838" s="51"/>
      <c r="L838" s="52">
        <f t="shared" si="198"/>
        <v>0.51388888889050577</v>
      </c>
      <c r="M838" s="53">
        <v>0.4375</v>
      </c>
      <c r="N838" s="54" t="str">
        <f t="shared" si="199"/>
        <v>-01:50:00</v>
      </c>
      <c r="O838" s="55">
        <v>400</v>
      </c>
      <c r="P838" s="147" t="s">
        <v>644</v>
      </c>
      <c r="Q838" s="56" t="s">
        <v>229</v>
      </c>
      <c r="R838" s="57">
        <v>0.75</v>
      </c>
      <c r="S838" s="57">
        <v>0.82291666666666663</v>
      </c>
      <c r="T838" s="58">
        <f t="shared" si="200"/>
        <v>7.291666666666663E-2</v>
      </c>
      <c r="U838" s="50"/>
      <c r="V838" s="74">
        <v>8.3333333333333329E-2</v>
      </c>
      <c r="W838" s="50">
        <f t="shared" si="201"/>
        <v>-1.0416666666666699E-2</v>
      </c>
      <c r="X838" s="171">
        <v>46252.643055555556</v>
      </c>
      <c r="Y838" s="171">
        <v>46253.156944444447</v>
      </c>
      <c r="Z838" s="168">
        <f t="shared" si="202"/>
        <v>0.51388888889050577</v>
      </c>
      <c r="AA838" s="169">
        <f t="shared" si="203"/>
        <v>0.4375</v>
      </c>
      <c r="AB838" s="170" t="str">
        <f t="shared" si="204"/>
        <v>-01:50:00</v>
      </c>
      <c r="AC838" s="170" t="b">
        <f t="shared" si="205"/>
        <v>1</v>
      </c>
    </row>
    <row r="839" spans="1:29" s="128" customFormat="1" ht="9.75" hidden="1" customHeight="1" x14ac:dyDescent="0.3">
      <c r="A839" s="99">
        <v>46252</v>
      </c>
      <c r="B839" s="59">
        <v>8181874</v>
      </c>
      <c r="C839" s="60" t="s">
        <v>57</v>
      </c>
      <c r="D839" s="60" t="s">
        <v>370</v>
      </c>
      <c r="E839" s="61">
        <v>0.70833333333333337</v>
      </c>
      <c r="F839" s="60" t="s">
        <v>13</v>
      </c>
      <c r="G839" s="71" t="s">
        <v>24</v>
      </c>
      <c r="H839" s="62">
        <v>0.71111111111111114</v>
      </c>
      <c r="I839" s="113" t="str">
        <f t="shared" si="207"/>
        <v>18-08-2026T17:04:00</v>
      </c>
      <c r="J839" s="62">
        <v>0.78472222222222221</v>
      </c>
      <c r="K839" s="62"/>
      <c r="L839" s="63">
        <f t="shared" si="198"/>
        <v>7.3611111111111072E-2</v>
      </c>
      <c r="M839" s="64">
        <v>8.3333333333333329E-2</v>
      </c>
      <c r="N839" s="65" t="str">
        <f t="shared" si="199"/>
        <v>00:14:00</v>
      </c>
      <c r="O839" s="66"/>
      <c r="P839" s="124"/>
      <c r="Q839" s="67"/>
      <c r="R839" s="68"/>
      <c r="S839" s="68"/>
      <c r="T839" s="69">
        <f t="shared" si="200"/>
        <v>0</v>
      </c>
      <c r="U839" s="61" t="s">
        <v>234</v>
      </c>
      <c r="V839" s="83">
        <v>0</v>
      </c>
      <c r="W839" s="61">
        <f t="shared" si="201"/>
        <v>0</v>
      </c>
      <c r="X839" s="171">
        <v>46252.711111111108</v>
      </c>
      <c r="Y839" s="171">
        <v>46252.784722222219</v>
      </c>
      <c r="Z839" s="168">
        <f t="shared" si="202"/>
        <v>7.3611111110949423E-2</v>
      </c>
      <c r="AA839" s="169">
        <f t="shared" si="203"/>
        <v>8.3333333333333329E-2</v>
      </c>
      <c r="AB839" s="170" t="str">
        <f t="shared" si="204"/>
        <v>00:14:00</v>
      </c>
      <c r="AC839" s="170" t="b">
        <f t="shared" si="205"/>
        <v>1</v>
      </c>
    </row>
    <row r="840" spans="1:29" s="128" customFormat="1" ht="9.75" hidden="1" customHeight="1" x14ac:dyDescent="0.3">
      <c r="A840" s="99">
        <v>46252</v>
      </c>
      <c r="B840" s="59">
        <v>8181954</v>
      </c>
      <c r="C840" s="60" t="s">
        <v>84</v>
      </c>
      <c r="D840" s="60" t="s">
        <v>301</v>
      </c>
      <c r="E840" s="61">
        <v>0.70833333333333337</v>
      </c>
      <c r="F840" s="60" t="s">
        <v>85</v>
      </c>
      <c r="G840" s="71" t="s">
        <v>13</v>
      </c>
      <c r="H840" s="62">
        <v>46252.745138888888</v>
      </c>
      <c r="I840" s="113" t="str">
        <f t="shared" si="207"/>
        <v>18-08-2026T17:53:00</v>
      </c>
      <c r="J840" s="62">
        <v>46253.050694444442</v>
      </c>
      <c r="K840" s="62"/>
      <c r="L840" s="63">
        <f t="shared" si="198"/>
        <v>0.30555555555474712</v>
      </c>
      <c r="M840" s="64">
        <v>0.33333333333333331</v>
      </c>
      <c r="N840" s="65" t="str">
        <f t="shared" si="199"/>
        <v>00:40:00</v>
      </c>
      <c r="O840" s="66"/>
      <c r="P840" s="124"/>
      <c r="Q840" s="67" t="s">
        <v>174</v>
      </c>
      <c r="R840" s="68">
        <v>0.80833333333333335</v>
      </c>
      <c r="S840" s="68">
        <v>0.81736111111111109</v>
      </c>
      <c r="T840" s="69">
        <f t="shared" si="200"/>
        <v>9.0277777777777457E-3</v>
      </c>
      <c r="U840" s="61"/>
      <c r="V840" s="83">
        <v>4.1666666666666664E-2</v>
      </c>
      <c r="W840" s="61">
        <f t="shared" si="201"/>
        <v>-3.2638888888888919E-2</v>
      </c>
      <c r="X840" s="171">
        <v>46252.745138888888</v>
      </c>
      <c r="Y840" s="171">
        <v>46253.050694444442</v>
      </c>
      <c r="Z840" s="168">
        <f t="shared" si="202"/>
        <v>0.30555555555474712</v>
      </c>
      <c r="AA840" s="169">
        <f t="shared" si="203"/>
        <v>0.33333333333333331</v>
      </c>
      <c r="AB840" s="170" t="str">
        <f t="shared" si="204"/>
        <v>00:40:00</v>
      </c>
      <c r="AC840" s="170" t="b">
        <f t="shared" si="205"/>
        <v>1</v>
      </c>
    </row>
    <row r="841" spans="1:29" s="128" customFormat="1" ht="9.75" hidden="1" customHeight="1" x14ac:dyDescent="0.3">
      <c r="A841" s="99">
        <v>46252</v>
      </c>
      <c r="B841" s="59">
        <v>8181832</v>
      </c>
      <c r="C841" s="60" t="s">
        <v>94</v>
      </c>
      <c r="D841" s="60" t="s">
        <v>293</v>
      </c>
      <c r="E841" s="61">
        <v>0.70833333333333337</v>
      </c>
      <c r="F841" s="60" t="s">
        <v>13</v>
      </c>
      <c r="G841" s="71" t="s">
        <v>23</v>
      </c>
      <c r="H841" s="62">
        <v>46252.700694444444</v>
      </c>
      <c r="I841" s="113" t="str">
        <f t="shared" si="207"/>
        <v>18-08-2026T16:49:00</v>
      </c>
      <c r="J841" s="62">
        <v>46253.822222222225</v>
      </c>
      <c r="K841" s="62"/>
      <c r="L841" s="63">
        <f t="shared" si="198"/>
        <v>1.1215277777810115</v>
      </c>
      <c r="M841" s="64">
        <v>1</v>
      </c>
      <c r="N841" s="65" t="str">
        <f t="shared" si="199"/>
        <v>-02:55:00</v>
      </c>
      <c r="O841" s="66"/>
      <c r="P841" s="124" t="s">
        <v>569</v>
      </c>
      <c r="Q841" s="67"/>
      <c r="R841" s="68"/>
      <c r="S841" s="68"/>
      <c r="T841" s="69">
        <f t="shared" si="200"/>
        <v>0</v>
      </c>
      <c r="U841" s="61"/>
      <c r="V841" s="83">
        <v>0</v>
      </c>
      <c r="W841" s="61">
        <f t="shared" si="201"/>
        <v>0</v>
      </c>
      <c r="X841" s="172">
        <v>46252.700694444444</v>
      </c>
      <c r="Y841" s="172">
        <v>46253.822222222225</v>
      </c>
      <c r="Z841" s="173">
        <f t="shared" si="202"/>
        <v>1.1215277777810115</v>
      </c>
      <c r="AA841" s="174">
        <f t="shared" si="203"/>
        <v>1</v>
      </c>
      <c r="AB841" s="175" t="str">
        <f t="shared" si="204"/>
        <v>-02:55:00</v>
      </c>
      <c r="AC841" s="175" t="b">
        <f t="shared" si="205"/>
        <v>1</v>
      </c>
    </row>
    <row r="842" spans="1:29" s="128" customFormat="1" ht="9.75" hidden="1" customHeight="1" x14ac:dyDescent="0.3">
      <c r="A842" s="99">
        <v>46252</v>
      </c>
      <c r="B842" s="59">
        <v>8181892</v>
      </c>
      <c r="C842" s="60" t="s">
        <v>27</v>
      </c>
      <c r="D842" s="60" t="s">
        <v>378</v>
      </c>
      <c r="E842" s="61">
        <v>0.70833333333333337</v>
      </c>
      <c r="F842" s="60" t="s">
        <v>28</v>
      </c>
      <c r="G842" s="71" t="s">
        <v>13</v>
      </c>
      <c r="H842" s="62">
        <v>0.71666666666666667</v>
      </c>
      <c r="I842" s="113" t="str">
        <f t="shared" si="207"/>
        <v>18-08-2026T17:12:00</v>
      </c>
      <c r="J842" s="62">
        <v>0.88263888888888886</v>
      </c>
      <c r="K842" s="62"/>
      <c r="L842" s="63">
        <f t="shared" si="198"/>
        <v>0.16597222222222219</v>
      </c>
      <c r="M842" s="64">
        <v>0.16666666666666666</v>
      </c>
      <c r="N842" s="65" t="str">
        <f t="shared" si="199"/>
        <v>00:01:00</v>
      </c>
      <c r="O842" s="66"/>
      <c r="P842" s="124"/>
      <c r="Q842" s="67"/>
      <c r="R842" s="68"/>
      <c r="S842" s="68"/>
      <c r="T842" s="69">
        <f t="shared" si="200"/>
        <v>0</v>
      </c>
      <c r="U842" s="61"/>
      <c r="V842" s="83">
        <v>0</v>
      </c>
      <c r="W842" s="61">
        <f t="shared" si="201"/>
        <v>0</v>
      </c>
      <c r="X842" s="171">
        <v>46252.716666666667</v>
      </c>
      <c r="Y842" s="171">
        <v>46252.882638888892</v>
      </c>
      <c r="Z842" s="168">
        <f t="shared" si="202"/>
        <v>0.16597222222480923</v>
      </c>
      <c r="AA842" s="169">
        <f t="shared" si="203"/>
        <v>0.16666666666666666</v>
      </c>
      <c r="AB842" s="170" t="str">
        <f t="shared" si="204"/>
        <v>00:01:00</v>
      </c>
      <c r="AC842" s="170" t="b">
        <f t="shared" si="205"/>
        <v>1</v>
      </c>
    </row>
    <row r="843" spans="1:29" s="128" customFormat="1" ht="9.75" hidden="1" customHeight="1" x14ac:dyDescent="0.3">
      <c r="A843" s="99">
        <v>46252</v>
      </c>
      <c r="B843" s="59">
        <v>8181914</v>
      </c>
      <c r="C843" s="60" t="s">
        <v>89</v>
      </c>
      <c r="D843" s="60" t="s">
        <v>294</v>
      </c>
      <c r="E843" s="61">
        <v>0.75</v>
      </c>
      <c r="F843" s="60" t="s">
        <v>35</v>
      </c>
      <c r="G843" s="71" t="s">
        <v>13</v>
      </c>
      <c r="H843" s="62">
        <v>0.73124999999999996</v>
      </c>
      <c r="I843" s="113" t="str">
        <f t="shared" si="207"/>
        <v>18-08-2026T17:33:00</v>
      </c>
      <c r="J843" s="62">
        <v>0.76041666666666663</v>
      </c>
      <c r="K843" s="62"/>
      <c r="L843" s="63">
        <f t="shared" si="198"/>
        <v>2.9166666666666674E-2</v>
      </c>
      <c r="M843" s="64">
        <v>4.1666666666666664E-2</v>
      </c>
      <c r="N843" s="65" t="str">
        <f t="shared" si="199"/>
        <v>00:18:00</v>
      </c>
      <c r="O843" s="66"/>
      <c r="P843" s="124"/>
      <c r="Q843" s="67"/>
      <c r="R843" s="68"/>
      <c r="S843" s="68"/>
      <c r="T843" s="69">
        <f t="shared" si="200"/>
        <v>0</v>
      </c>
      <c r="U843" s="61"/>
      <c r="V843" s="83">
        <v>0</v>
      </c>
      <c r="W843" s="61">
        <f t="shared" si="201"/>
        <v>0</v>
      </c>
      <c r="X843" s="171">
        <v>46252.731249999997</v>
      </c>
      <c r="Y843" s="171">
        <v>46252.760416666664</v>
      </c>
      <c r="Z843" s="168">
        <f t="shared" si="202"/>
        <v>2.9166666667151731E-2</v>
      </c>
      <c r="AA843" s="169">
        <f t="shared" si="203"/>
        <v>4.1666666666666664E-2</v>
      </c>
      <c r="AB843" s="170" t="str">
        <f t="shared" si="204"/>
        <v>00:18:00</v>
      </c>
      <c r="AC843" s="170" t="b">
        <f t="shared" si="205"/>
        <v>1</v>
      </c>
    </row>
    <row r="844" spans="1:29" s="128" customFormat="1" ht="9.75" hidden="1" customHeight="1" x14ac:dyDescent="0.3">
      <c r="A844" s="99">
        <v>46252</v>
      </c>
      <c r="B844" s="59">
        <v>8182140</v>
      </c>
      <c r="C844" s="60" t="s">
        <v>32</v>
      </c>
      <c r="D844" s="60" t="s">
        <v>476</v>
      </c>
      <c r="E844" s="61">
        <v>0.83333333333333337</v>
      </c>
      <c r="F844" s="60" t="s">
        <v>287</v>
      </c>
      <c r="G844" s="71" t="s">
        <v>13</v>
      </c>
      <c r="H844" s="62">
        <v>0.81666666666666665</v>
      </c>
      <c r="I844" s="113" t="str">
        <f t="shared" si="207"/>
        <v>18-08-2026T19:36:00</v>
      </c>
      <c r="J844" s="62">
        <v>0.95277777777777772</v>
      </c>
      <c r="K844" s="62"/>
      <c r="L844" s="63">
        <f t="shared" si="198"/>
        <v>0.13611111111111107</v>
      </c>
      <c r="M844" s="64">
        <v>0.14583333333333334</v>
      </c>
      <c r="N844" s="65" t="str">
        <f t="shared" si="199"/>
        <v>00:14:00</v>
      </c>
      <c r="O844" s="66"/>
      <c r="P844" s="124"/>
      <c r="Q844" s="67"/>
      <c r="R844" s="68"/>
      <c r="S844" s="68"/>
      <c r="T844" s="69">
        <f t="shared" si="200"/>
        <v>0</v>
      </c>
      <c r="U844" s="61"/>
      <c r="V844" s="83">
        <v>0</v>
      </c>
      <c r="W844" s="61">
        <f t="shared" si="201"/>
        <v>0</v>
      </c>
      <c r="X844" s="171">
        <v>46252.816666666666</v>
      </c>
      <c r="Y844" s="171">
        <v>46252.952777777777</v>
      </c>
      <c r="Z844" s="168">
        <f t="shared" si="202"/>
        <v>0.13611111111094942</v>
      </c>
      <c r="AA844" s="169">
        <f t="shared" si="203"/>
        <v>0.14583333333333334</v>
      </c>
      <c r="AB844" s="170" t="str">
        <f t="shared" si="204"/>
        <v>00:14:00</v>
      </c>
      <c r="AC844" s="170" t="b">
        <f t="shared" si="205"/>
        <v>1</v>
      </c>
    </row>
    <row r="845" spans="1:29" s="128" customFormat="1" ht="9.75" hidden="1" customHeight="1" x14ac:dyDescent="0.3">
      <c r="A845" s="99">
        <v>46252</v>
      </c>
      <c r="B845" s="59">
        <v>8182351</v>
      </c>
      <c r="C845" s="60" t="s">
        <v>42</v>
      </c>
      <c r="D845" s="60" t="s">
        <v>181</v>
      </c>
      <c r="E845" s="61">
        <v>0.875</v>
      </c>
      <c r="F845" s="60" t="s">
        <v>55</v>
      </c>
      <c r="G845" s="71" t="s">
        <v>13</v>
      </c>
      <c r="H845" s="62">
        <v>0.875</v>
      </c>
      <c r="I845" s="113" t="str">
        <f t="shared" si="207"/>
        <v>18-08-2026T21:00:00</v>
      </c>
      <c r="J845" s="62">
        <v>0.92222222222222228</v>
      </c>
      <c r="K845" s="62"/>
      <c r="L845" s="63">
        <f t="shared" si="198"/>
        <v>4.7222222222222276E-2</v>
      </c>
      <c r="M845" s="64">
        <v>6.25E-2</v>
      </c>
      <c r="N845" s="65" t="str">
        <f t="shared" si="199"/>
        <v>00:22:00</v>
      </c>
      <c r="O845" s="66"/>
      <c r="P845" s="124"/>
      <c r="Q845" s="67"/>
      <c r="R845" s="68"/>
      <c r="S845" s="68"/>
      <c r="T845" s="69">
        <f t="shared" si="200"/>
        <v>0</v>
      </c>
      <c r="U845" s="61"/>
      <c r="V845" s="83">
        <v>0</v>
      </c>
      <c r="W845" s="61">
        <f t="shared" si="201"/>
        <v>0</v>
      </c>
      <c r="X845" s="171">
        <v>46252.875</v>
      </c>
      <c r="Y845" s="171">
        <v>46252.922222222223</v>
      </c>
      <c r="Z845" s="168">
        <f t="shared" si="202"/>
        <v>4.7222222223354038E-2</v>
      </c>
      <c r="AA845" s="169">
        <f t="shared" si="203"/>
        <v>6.25E-2</v>
      </c>
      <c r="AB845" s="170" t="str">
        <f t="shared" si="204"/>
        <v>00:22:00</v>
      </c>
      <c r="AC845" s="170" t="b">
        <f t="shared" si="205"/>
        <v>1</v>
      </c>
    </row>
    <row r="846" spans="1:29" s="128" customFormat="1" ht="9.75" hidden="1" customHeight="1" x14ac:dyDescent="0.3">
      <c r="A846" s="99">
        <v>46252</v>
      </c>
      <c r="B846" s="59">
        <v>8182321</v>
      </c>
      <c r="C846" s="60" t="s">
        <v>54</v>
      </c>
      <c r="D846" s="60" t="s">
        <v>288</v>
      </c>
      <c r="E846" s="61">
        <v>0.875</v>
      </c>
      <c r="F846" s="60" t="s">
        <v>24</v>
      </c>
      <c r="G846" s="71" t="s">
        <v>13</v>
      </c>
      <c r="H846" s="62">
        <v>0.86875000000000002</v>
      </c>
      <c r="I846" s="113" t="str">
        <f t="shared" si="207"/>
        <v>18-08-2026T20:51:00</v>
      </c>
      <c r="J846" s="62">
        <v>0.94166666666666665</v>
      </c>
      <c r="K846" s="62"/>
      <c r="L846" s="63">
        <f t="shared" si="198"/>
        <v>7.291666666666663E-2</v>
      </c>
      <c r="M846" s="64">
        <v>8.3333333333333329E-2</v>
      </c>
      <c r="N846" s="65" t="str">
        <f t="shared" si="199"/>
        <v>00:15:00</v>
      </c>
      <c r="O846" s="66"/>
      <c r="P846" s="124"/>
      <c r="Q846" s="67"/>
      <c r="R846" s="68"/>
      <c r="S846" s="68"/>
      <c r="T846" s="69">
        <f t="shared" si="200"/>
        <v>0</v>
      </c>
      <c r="U846" s="61"/>
      <c r="V846" s="83">
        <v>0</v>
      </c>
      <c r="W846" s="61">
        <f t="shared" si="201"/>
        <v>0</v>
      </c>
      <c r="X846" s="171">
        <v>46252.868750000001</v>
      </c>
      <c r="Y846" s="171">
        <v>46252.941666666666</v>
      </c>
      <c r="Z846" s="168">
        <f t="shared" si="202"/>
        <v>7.2916666664241347E-2</v>
      </c>
      <c r="AA846" s="169">
        <f t="shared" si="203"/>
        <v>8.3333333333333329E-2</v>
      </c>
      <c r="AB846" s="170" t="str">
        <f t="shared" si="204"/>
        <v>00:15:00</v>
      </c>
      <c r="AC846" s="170" t="b">
        <f t="shared" si="205"/>
        <v>1</v>
      </c>
    </row>
    <row r="847" spans="1:29" s="128" customFormat="1" ht="9.75" hidden="1" customHeight="1" x14ac:dyDescent="0.3">
      <c r="A847" s="99">
        <v>46252</v>
      </c>
      <c r="B847" s="59">
        <v>8182579</v>
      </c>
      <c r="C847" s="60" t="s">
        <v>20</v>
      </c>
      <c r="D847" s="60" t="s">
        <v>232</v>
      </c>
      <c r="E847" s="61">
        <v>0.95833333333333337</v>
      </c>
      <c r="F847" s="60" t="s">
        <v>21</v>
      </c>
      <c r="G847" s="71" t="s">
        <v>13</v>
      </c>
      <c r="H847" s="62">
        <v>46252.965277777781</v>
      </c>
      <c r="I847" s="113" t="str">
        <f t="shared" si="207"/>
        <v>18-08-2026T23:10:00</v>
      </c>
      <c r="J847" s="62">
        <v>46253.210416666669</v>
      </c>
      <c r="K847" s="62"/>
      <c r="L847" s="63">
        <f t="shared" si="198"/>
        <v>0.24513888888759539</v>
      </c>
      <c r="M847" s="64">
        <v>0.25</v>
      </c>
      <c r="N847" s="65" t="str">
        <f t="shared" si="199"/>
        <v>00:07:00</v>
      </c>
      <c r="O847" s="66"/>
      <c r="P847" s="124"/>
      <c r="Q847" s="67"/>
      <c r="R847" s="68"/>
      <c r="S847" s="68"/>
      <c r="T847" s="69">
        <f t="shared" si="200"/>
        <v>0</v>
      </c>
      <c r="U847" s="61"/>
      <c r="V847" s="83">
        <v>0</v>
      </c>
      <c r="W847" s="61">
        <f t="shared" si="201"/>
        <v>0</v>
      </c>
      <c r="X847" s="171">
        <v>46252.965277777781</v>
      </c>
      <c r="Y847" s="171">
        <v>46253.210416666669</v>
      </c>
      <c r="Z847" s="168">
        <f t="shared" si="202"/>
        <v>0.24513888888759539</v>
      </c>
      <c r="AA847" s="169">
        <f t="shared" si="203"/>
        <v>0.25</v>
      </c>
      <c r="AB847" s="170" t="str">
        <f t="shared" si="204"/>
        <v>00:07:00</v>
      </c>
      <c r="AC847" s="170" t="b">
        <f t="shared" si="205"/>
        <v>1</v>
      </c>
    </row>
    <row r="848" spans="1:29" s="128" customFormat="1" ht="9.75" hidden="1" customHeight="1" x14ac:dyDescent="0.3">
      <c r="A848" s="99">
        <v>46252</v>
      </c>
      <c r="B848" s="59">
        <v>8182541</v>
      </c>
      <c r="C848" s="60" t="s">
        <v>104</v>
      </c>
      <c r="D848" s="60" t="s">
        <v>382</v>
      </c>
      <c r="E848" s="61">
        <v>0.95833333333333337</v>
      </c>
      <c r="F848" s="60" t="s">
        <v>173</v>
      </c>
      <c r="G848" s="71" t="s">
        <v>13</v>
      </c>
      <c r="H848" s="62">
        <v>46252.95416666667</v>
      </c>
      <c r="I848" s="113" t="str">
        <f t="shared" si="207"/>
        <v>18-08-2026T22:54:00</v>
      </c>
      <c r="J848" s="62">
        <v>46254.834027777775</v>
      </c>
      <c r="K848" s="62"/>
      <c r="L848" s="63">
        <f t="shared" si="198"/>
        <v>1.8798611111051287</v>
      </c>
      <c r="M848" s="64">
        <v>1.9166666666666667</v>
      </c>
      <c r="N848" s="65" t="str">
        <f t="shared" si="199"/>
        <v>00:53:00</v>
      </c>
      <c r="O848" s="66"/>
      <c r="P848" s="124"/>
      <c r="Q848" s="67" t="s">
        <v>96</v>
      </c>
      <c r="R848" s="68">
        <v>46253.111805555556</v>
      </c>
      <c r="S848" s="68">
        <v>46253.194444444445</v>
      </c>
      <c r="T848" s="69">
        <f t="shared" si="200"/>
        <v>8.2638888889050577E-2</v>
      </c>
      <c r="U848" s="61"/>
      <c r="V848" s="83">
        <v>8.3333333333333329E-2</v>
      </c>
      <c r="W848" s="61">
        <f t="shared" si="201"/>
        <v>-6.9444444428275187E-4</v>
      </c>
      <c r="X848" s="171">
        <v>46252.95416666667</v>
      </c>
      <c r="Y848" s="171">
        <v>46254.834027777775</v>
      </c>
      <c r="Z848" s="168">
        <f t="shared" si="202"/>
        <v>1.8798611111051287</v>
      </c>
      <c r="AA848" s="169">
        <f t="shared" si="203"/>
        <v>1.9166666666666667</v>
      </c>
      <c r="AB848" s="170" t="str">
        <f t="shared" si="204"/>
        <v>00:53:00</v>
      </c>
      <c r="AC848" s="170" t="b">
        <f t="shared" si="205"/>
        <v>1</v>
      </c>
    </row>
    <row r="849" spans="1:29" s="128" customFormat="1" ht="9.75" hidden="1" customHeight="1" x14ac:dyDescent="0.3">
      <c r="A849" s="99">
        <v>46252</v>
      </c>
      <c r="B849" s="59">
        <v>8182632</v>
      </c>
      <c r="C849" s="60" t="s">
        <v>52</v>
      </c>
      <c r="D849" s="60" t="s">
        <v>616</v>
      </c>
      <c r="E849" s="61">
        <v>0.99930555555555556</v>
      </c>
      <c r="F849" s="60" t="s">
        <v>15</v>
      </c>
      <c r="G849" s="71" t="s">
        <v>13</v>
      </c>
      <c r="H849" s="62">
        <v>46252.998611111114</v>
      </c>
      <c r="I849" s="113" t="str">
        <f t="shared" si="207"/>
        <v>18-08-2026T23:58:00</v>
      </c>
      <c r="J849" s="62">
        <v>46253.203472222223</v>
      </c>
      <c r="K849" s="62"/>
      <c r="L849" s="63">
        <f t="shared" si="198"/>
        <v>0.20486111110949423</v>
      </c>
      <c r="M849" s="64">
        <v>0.20833333333333334</v>
      </c>
      <c r="N849" s="65" t="str">
        <f t="shared" si="199"/>
        <v>00:05:00</v>
      </c>
      <c r="O849" s="66"/>
      <c r="P849" s="124"/>
      <c r="Q849" s="67"/>
      <c r="R849" s="68"/>
      <c r="S849" s="68"/>
      <c r="T849" s="69">
        <f t="shared" si="200"/>
        <v>0</v>
      </c>
      <c r="U849" s="61"/>
      <c r="V849" s="83">
        <v>0</v>
      </c>
      <c r="W849" s="61">
        <f t="shared" si="201"/>
        <v>0</v>
      </c>
      <c r="X849" s="171">
        <v>46252.998611111114</v>
      </c>
      <c r="Y849" s="171">
        <v>46253.203472222223</v>
      </c>
      <c r="Z849" s="168">
        <f t="shared" si="202"/>
        <v>0.20486111110949423</v>
      </c>
      <c r="AA849" s="169">
        <f t="shared" si="203"/>
        <v>0.20833333333333334</v>
      </c>
      <c r="AB849" s="170" t="str">
        <f t="shared" si="204"/>
        <v>00:05:00</v>
      </c>
      <c r="AC849" s="170" t="b">
        <f t="shared" si="205"/>
        <v>1</v>
      </c>
    </row>
    <row r="850" spans="1:29" s="128" customFormat="1" ht="9.75" hidden="1" customHeight="1" x14ac:dyDescent="0.3">
      <c r="A850" s="99">
        <v>46252</v>
      </c>
      <c r="B850" s="59">
        <v>8182634</v>
      </c>
      <c r="C850" s="60" t="s">
        <v>41</v>
      </c>
      <c r="D850" s="60" t="s">
        <v>299</v>
      </c>
      <c r="E850" s="61">
        <v>0.99930555555555556</v>
      </c>
      <c r="F850" s="60" t="s">
        <v>24</v>
      </c>
      <c r="G850" s="71" t="s">
        <v>13</v>
      </c>
      <c r="H850" s="62">
        <v>46252.998611111114</v>
      </c>
      <c r="I850" s="113" t="str">
        <f t="shared" si="207"/>
        <v>18-08-2026T23:58:00</v>
      </c>
      <c r="J850" s="62">
        <v>46253.072916666664</v>
      </c>
      <c r="K850" s="62"/>
      <c r="L850" s="63">
        <f t="shared" si="198"/>
        <v>7.4305555550381541E-2</v>
      </c>
      <c r="M850" s="64">
        <v>8.3333333333333329E-2</v>
      </c>
      <c r="N850" s="65" t="str">
        <f t="shared" si="199"/>
        <v>00:13:00</v>
      </c>
      <c r="O850" s="66"/>
      <c r="P850" s="124"/>
      <c r="Q850" s="67"/>
      <c r="R850" s="68"/>
      <c r="S850" s="68"/>
      <c r="T850" s="69">
        <f t="shared" si="200"/>
        <v>0</v>
      </c>
      <c r="U850" s="61"/>
      <c r="V850" s="83">
        <v>0</v>
      </c>
      <c r="W850" s="61">
        <f t="shared" si="201"/>
        <v>0</v>
      </c>
      <c r="X850" s="171">
        <v>46252.998611111114</v>
      </c>
      <c r="Y850" s="171">
        <v>46253.072916666664</v>
      </c>
      <c r="Z850" s="168">
        <f t="shared" si="202"/>
        <v>7.4305555550381541E-2</v>
      </c>
      <c r="AA850" s="169">
        <f t="shared" si="203"/>
        <v>8.3333333333333329E-2</v>
      </c>
      <c r="AB850" s="170" t="str">
        <f t="shared" si="204"/>
        <v>00:13:00</v>
      </c>
      <c r="AC850" s="170" t="b">
        <f t="shared" si="205"/>
        <v>1</v>
      </c>
    </row>
    <row r="851" spans="1:29" s="128" customFormat="1" ht="9.75" hidden="1" customHeight="1" x14ac:dyDescent="0.3">
      <c r="A851" s="99">
        <v>46252</v>
      </c>
      <c r="B851" s="59">
        <v>8180327</v>
      </c>
      <c r="C851" s="60" t="s">
        <v>307</v>
      </c>
      <c r="D851" s="60" t="s">
        <v>464</v>
      </c>
      <c r="E851" s="61" t="s">
        <v>184</v>
      </c>
      <c r="F851" s="60" t="s">
        <v>13</v>
      </c>
      <c r="G851" s="71" t="s">
        <v>665</v>
      </c>
      <c r="H851" s="62">
        <v>46252.167361111111</v>
      </c>
      <c r="I851" s="113" t="str">
        <f t="shared" si="207"/>
        <v>18-08-2026T04:01:00</v>
      </c>
      <c r="J851" s="62">
        <v>46253.659722222219</v>
      </c>
      <c r="K851" s="62"/>
      <c r="L851" s="63">
        <f t="shared" si="198"/>
        <v>1.492361111108039</v>
      </c>
      <c r="M851" s="64">
        <v>1.5833333333333333</v>
      </c>
      <c r="N851" s="65" t="str">
        <f t="shared" si="199"/>
        <v>02:11:00</v>
      </c>
      <c r="O851" s="66"/>
      <c r="P851" s="124" t="s">
        <v>184</v>
      </c>
      <c r="Q851" s="67"/>
      <c r="R851" s="68"/>
      <c r="S851" s="68"/>
      <c r="T851" s="69">
        <f t="shared" si="200"/>
        <v>0</v>
      </c>
      <c r="U851" s="61"/>
      <c r="V851" s="83">
        <v>0</v>
      </c>
      <c r="W851" s="61">
        <f t="shared" si="201"/>
        <v>0</v>
      </c>
      <c r="X851" s="171">
        <v>46252.167361111111</v>
      </c>
      <c r="Y851" s="171">
        <v>46253.659722222219</v>
      </c>
      <c r="Z851" s="168">
        <f t="shared" si="202"/>
        <v>1.492361111108039</v>
      </c>
      <c r="AA851" s="169">
        <f t="shared" si="203"/>
        <v>1.5833333333333333</v>
      </c>
      <c r="AB851" s="170" t="str">
        <f t="shared" si="204"/>
        <v>02:11:00</v>
      </c>
      <c r="AC851" s="170" t="b">
        <f t="shared" si="205"/>
        <v>1</v>
      </c>
    </row>
    <row r="852" spans="1:29" s="127" customFormat="1" ht="9.75" hidden="1" customHeight="1" x14ac:dyDescent="0.3">
      <c r="A852" s="98">
        <v>46252</v>
      </c>
      <c r="B852" s="48">
        <v>8180984</v>
      </c>
      <c r="C852" s="49" t="s">
        <v>203</v>
      </c>
      <c r="D852" s="49" t="s">
        <v>297</v>
      </c>
      <c r="E852" s="50" t="s">
        <v>184</v>
      </c>
      <c r="F852" s="49" t="s">
        <v>376</v>
      </c>
      <c r="G852" s="70" t="s">
        <v>13</v>
      </c>
      <c r="H852" s="51">
        <v>46252.37777777778</v>
      </c>
      <c r="I852" s="113" t="str">
        <f t="shared" si="207"/>
        <v>18-08-2026T09:04:00</v>
      </c>
      <c r="J852" s="51">
        <v>46254.310416666667</v>
      </c>
      <c r="K852" s="51"/>
      <c r="L852" s="52">
        <f t="shared" si="198"/>
        <v>1.9326388888875954</v>
      </c>
      <c r="M852" s="53">
        <v>1.7916666666666667</v>
      </c>
      <c r="N852" s="54" t="str">
        <f t="shared" si="199"/>
        <v>-03:23:00</v>
      </c>
      <c r="O852" s="55"/>
      <c r="P852" s="147" t="s">
        <v>184</v>
      </c>
      <c r="Q852" s="56" t="s">
        <v>13</v>
      </c>
      <c r="R852" s="57">
        <v>46254.304166666669</v>
      </c>
      <c r="S852" s="57">
        <v>46254.307638888888</v>
      </c>
      <c r="T852" s="58">
        <f t="shared" si="200"/>
        <v>3.4722222189884633E-3</v>
      </c>
      <c r="U852" s="50"/>
      <c r="V852" s="74" t="s">
        <v>393</v>
      </c>
      <c r="W852" s="50" t="e">
        <f t="shared" si="201"/>
        <v>#VALUE!</v>
      </c>
      <c r="X852" s="171">
        <v>46252.37777777778</v>
      </c>
      <c r="Y852" s="171">
        <v>46254.310416666667</v>
      </c>
      <c r="Z852" s="168">
        <f t="shared" si="202"/>
        <v>1.9326388888875954</v>
      </c>
      <c r="AA852" s="169">
        <f t="shared" si="203"/>
        <v>1.7916666666666667</v>
      </c>
      <c r="AB852" s="170" t="str">
        <f t="shared" si="204"/>
        <v>-03:23:00</v>
      </c>
      <c r="AC852" s="170" t="b">
        <f t="shared" si="205"/>
        <v>1</v>
      </c>
    </row>
    <row r="853" spans="1:29" s="144" customFormat="1" ht="9.75" hidden="1" customHeight="1" x14ac:dyDescent="0.3">
      <c r="A853" s="129">
        <v>46253</v>
      </c>
      <c r="B853" s="130">
        <v>8182722</v>
      </c>
      <c r="C853" s="131" t="s">
        <v>82</v>
      </c>
      <c r="D853" s="131" t="s">
        <v>333</v>
      </c>
      <c r="E853" s="132">
        <v>6.25E-2</v>
      </c>
      <c r="F853" s="131" t="s">
        <v>13</v>
      </c>
      <c r="G853" s="133" t="s">
        <v>26</v>
      </c>
      <c r="H853" s="134">
        <v>6.25E-2</v>
      </c>
      <c r="I853" s="113" t="str">
        <f t="shared" si="207"/>
        <v>19-08-2026T01:30:00</v>
      </c>
      <c r="J853" s="134">
        <v>0.52638888888888891</v>
      </c>
      <c r="K853" s="134"/>
      <c r="L853" s="135">
        <f t="shared" si="198"/>
        <v>0.46388888888888891</v>
      </c>
      <c r="M853" s="136">
        <v>0.41666666666666669</v>
      </c>
      <c r="N853" s="137" t="str">
        <f t="shared" si="199"/>
        <v>-01:08:00</v>
      </c>
      <c r="O853" s="138"/>
      <c r="P853" s="145" t="s">
        <v>125</v>
      </c>
      <c r="Q853" s="140" t="s">
        <v>312</v>
      </c>
      <c r="R853" s="141">
        <v>0.25</v>
      </c>
      <c r="S853" s="141">
        <v>0.36805555555555558</v>
      </c>
      <c r="T853" s="142">
        <f t="shared" si="200"/>
        <v>0.11805555555555558</v>
      </c>
      <c r="U853" s="132"/>
      <c r="V853" s="143">
        <v>4.1666666666666664E-2</v>
      </c>
      <c r="W853" s="132">
        <f t="shared" si="201"/>
        <v>7.6388888888888923E-2</v>
      </c>
      <c r="X853" s="171">
        <v>46253.0625</v>
      </c>
      <c r="Y853" s="171">
        <v>46253.526388888888</v>
      </c>
      <c r="Z853" s="168">
        <f t="shared" si="202"/>
        <v>0.46388888888759539</v>
      </c>
      <c r="AA853" s="169">
        <f t="shared" si="203"/>
        <v>0.41666666666666669</v>
      </c>
      <c r="AB853" s="170" t="str">
        <f t="shared" si="204"/>
        <v>-01:08:00</v>
      </c>
      <c r="AC853" s="170" t="b">
        <f t="shared" si="205"/>
        <v>1</v>
      </c>
    </row>
    <row r="854" spans="1:29" s="128" customFormat="1" ht="9.75" hidden="1" customHeight="1" x14ac:dyDescent="0.3">
      <c r="A854" s="99">
        <v>46253</v>
      </c>
      <c r="B854" s="59">
        <v>8182768</v>
      </c>
      <c r="C854" s="60" t="s">
        <v>53</v>
      </c>
      <c r="D854" s="60" t="s">
        <v>298</v>
      </c>
      <c r="E854" s="61">
        <v>8.3333333333333329E-2</v>
      </c>
      <c r="F854" s="60" t="s">
        <v>13</v>
      </c>
      <c r="G854" s="71" t="s">
        <v>19</v>
      </c>
      <c r="H854" s="62">
        <v>8.2638888888888887E-2</v>
      </c>
      <c r="I854" s="113" t="str">
        <f t="shared" si="207"/>
        <v>19-08-2026T01:59:00</v>
      </c>
      <c r="J854" s="62">
        <v>0.49861111111111112</v>
      </c>
      <c r="K854" s="62"/>
      <c r="L854" s="63">
        <f t="shared" si="198"/>
        <v>0.41597222222222224</v>
      </c>
      <c r="M854" s="64">
        <v>0.41666666666666669</v>
      </c>
      <c r="N854" s="65" t="str">
        <f t="shared" si="199"/>
        <v>00:01:00</v>
      </c>
      <c r="O854" s="66"/>
      <c r="P854" s="124"/>
      <c r="Q854" s="67" t="s">
        <v>229</v>
      </c>
      <c r="R854" s="68">
        <v>0.37152777777777779</v>
      </c>
      <c r="S854" s="68">
        <v>0.39930555555555558</v>
      </c>
      <c r="T854" s="69">
        <f t="shared" si="200"/>
        <v>2.777777777777779E-2</v>
      </c>
      <c r="U854" s="61" t="s">
        <v>234</v>
      </c>
      <c r="V854" s="83">
        <v>6.25E-2</v>
      </c>
      <c r="W854" s="61">
        <f t="shared" si="201"/>
        <v>-3.472222222222221E-2</v>
      </c>
      <c r="X854" s="171">
        <v>46253.082638888889</v>
      </c>
      <c r="Y854" s="171">
        <v>46253.498611111114</v>
      </c>
      <c r="Z854" s="168">
        <f t="shared" si="202"/>
        <v>0.41597222222480923</v>
      </c>
      <c r="AA854" s="169">
        <f t="shared" si="203"/>
        <v>0.41666666666666669</v>
      </c>
      <c r="AB854" s="170" t="str">
        <f t="shared" si="204"/>
        <v>00:01:00</v>
      </c>
      <c r="AC854" s="170" t="b">
        <f t="shared" si="205"/>
        <v>1</v>
      </c>
    </row>
    <row r="855" spans="1:29" s="128" customFormat="1" ht="9.75" hidden="1" customHeight="1" x14ac:dyDescent="0.3">
      <c r="A855" s="99">
        <v>46253</v>
      </c>
      <c r="B855" s="59">
        <v>8182756</v>
      </c>
      <c r="C855" s="60" t="s">
        <v>16</v>
      </c>
      <c r="D855" s="60" t="s">
        <v>285</v>
      </c>
      <c r="E855" s="61">
        <v>8.3333333333333329E-2</v>
      </c>
      <c r="F855" s="60" t="s">
        <v>15</v>
      </c>
      <c r="G855" s="71" t="s">
        <v>17</v>
      </c>
      <c r="H855" s="62">
        <v>8.1944444444444445E-2</v>
      </c>
      <c r="I855" s="113" t="str">
        <f t="shared" si="207"/>
        <v>19-08-2026T01:58:00</v>
      </c>
      <c r="J855" s="62">
        <v>0.49027777777777776</v>
      </c>
      <c r="K855" s="62"/>
      <c r="L855" s="63">
        <f t="shared" si="198"/>
        <v>0.40833333333333333</v>
      </c>
      <c r="M855" s="64">
        <v>0.41666666666666669</v>
      </c>
      <c r="N855" s="65" t="str">
        <f t="shared" si="199"/>
        <v>00:12:00</v>
      </c>
      <c r="O855" s="66"/>
      <c r="P855" s="124"/>
      <c r="Q855" s="67"/>
      <c r="R855" s="68"/>
      <c r="S855" s="68"/>
      <c r="T855" s="69">
        <f t="shared" si="200"/>
        <v>0</v>
      </c>
      <c r="U855" s="61"/>
      <c r="V855" s="83">
        <v>0</v>
      </c>
      <c r="W855" s="61">
        <f t="shared" si="201"/>
        <v>0</v>
      </c>
      <c r="X855" s="171">
        <v>8.1944444444444445E-2</v>
      </c>
      <c r="Y855" s="171">
        <v>0.49027777777777776</v>
      </c>
      <c r="Z855" s="168">
        <f t="shared" si="202"/>
        <v>0.40833333333333333</v>
      </c>
      <c r="AA855" s="169">
        <f t="shared" si="203"/>
        <v>0.41666666666666669</v>
      </c>
      <c r="AB855" s="170" t="str">
        <f t="shared" si="204"/>
        <v>00:12:00</v>
      </c>
      <c r="AC855" s="170" t="b">
        <f t="shared" si="205"/>
        <v>1</v>
      </c>
    </row>
    <row r="856" spans="1:29" ht="9.75" hidden="1" customHeight="1" x14ac:dyDescent="0.3">
      <c r="A856" s="149">
        <v>46252</v>
      </c>
      <c r="B856" s="150" t="s">
        <v>667</v>
      </c>
      <c r="C856" s="151" t="s">
        <v>97</v>
      </c>
      <c r="D856" s="151" t="s">
        <v>468</v>
      </c>
      <c r="E856" s="152">
        <v>0</v>
      </c>
      <c r="F856" s="151"/>
      <c r="G856" s="153"/>
      <c r="H856" s="154">
        <v>0</v>
      </c>
      <c r="I856" s="113" t="str">
        <f t="shared" si="207"/>
        <v>18-08-2026T00:00:00</v>
      </c>
      <c r="J856" s="154">
        <v>0</v>
      </c>
      <c r="K856" s="154"/>
      <c r="L856" s="155">
        <v>0</v>
      </c>
      <c r="M856" s="160">
        <v>0</v>
      </c>
      <c r="N856" s="156">
        <v>0</v>
      </c>
      <c r="O856" s="157"/>
      <c r="P856" s="158" t="s">
        <v>480</v>
      </c>
      <c r="Q856" s="159" t="s">
        <v>480</v>
      </c>
      <c r="R856" s="148" t="s">
        <v>480</v>
      </c>
      <c r="S856" s="148" t="s">
        <v>480</v>
      </c>
      <c r="T856" s="161" t="s">
        <v>480</v>
      </c>
      <c r="U856" s="152" t="s">
        <v>480</v>
      </c>
      <c r="V856" s="146" t="s">
        <v>480</v>
      </c>
      <c r="W856" s="152" t="s">
        <v>480</v>
      </c>
      <c r="X856" s="171" t="s">
        <v>668</v>
      </c>
      <c r="Y856" s="171" t="s">
        <v>668</v>
      </c>
      <c r="Z856" s="168" t="e">
        <f t="shared" si="202"/>
        <v>#VALUE!</v>
      </c>
      <c r="AA856" s="169">
        <f t="shared" si="203"/>
        <v>0</v>
      </c>
      <c r="AB856" s="170" t="e">
        <f t="shared" si="204"/>
        <v>#VALUE!</v>
      </c>
      <c r="AC856" s="170" t="e">
        <f t="shared" si="205"/>
        <v>#VALUE!</v>
      </c>
    </row>
    <row r="857" spans="1:29" s="128" customFormat="1" ht="9.75" hidden="1" customHeight="1" x14ac:dyDescent="0.3">
      <c r="A857" s="99">
        <v>46253</v>
      </c>
      <c r="B857" s="59">
        <v>8182829</v>
      </c>
      <c r="C857" s="60" t="s">
        <v>97</v>
      </c>
      <c r="D857" s="60" t="s">
        <v>468</v>
      </c>
      <c r="E857" s="61">
        <v>0.125</v>
      </c>
      <c r="F857" s="60" t="s">
        <v>23</v>
      </c>
      <c r="G857" s="71" t="s">
        <v>13</v>
      </c>
      <c r="H857" s="62">
        <v>0.12013888888888889</v>
      </c>
      <c r="I857" s="113" t="str">
        <f t="shared" si="207"/>
        <v>19-08-2026T02:53:00</v>
      </c>
      <c r="J857" s="62">
        <v>46254.303472222222</v>
      </c>
      <c r="K857" s="62"/>
      <c r="L857" s="63">
        <f t="shared" ref="L857:L888" si="208">J857-H857</f>
        <v>46254.183333333334</v>
      </c>
      <c r="M857" s="64">
        <v>1.0833333333333333</v>
      </c>
      <c r="N857" s="65" t="str">
        <f t="shared" ref="N857:N888" si="209">IF(M857-L857&gt;0,TEXT(M857-L857,"HH:MM:SS"),TEXT(ABS(M857-L857),"-HH:MM:SS"))</f>
        <v>-02:24:00</v>
      </c>
      <c r="O857" s="66"/>
      <c r="P857" s="124" t="s">
        <v>569</v>
      </c>
      <c r="Q857" s="67" t="s">
        <v>13</v>
      </c>
      <c r="R857" s="68">
        <v>46254.265277777777</v>
      </c>
      <c r="S857" s="68">
        <v>46254.286805555559</v>
      </c>
      <c r="T857" s="69">
        <f t="shared" ref="T857:T888" si="210">S857-R857</f>
        <v>2.1527777782466728E-2</v>
      </c>
      <c r="U857" s="61"/>
      <c r="V857" s="83">
        <v>8.3333333333333329E-2</v>
      </c>
      <c r="W857" s="61">
        <f t="shared" ref="W857:W888" si="211">T857-V857</f>
        <v>-6.18055555508666E-2</v>
      </c>
      <c r="X857" s="172">
        <v>46253.120138888888</v>
      </c>
      <c r="Y857" s="172">
        <v>46254.303472222222</v>
      </c>
      <c r="Z857" s="173">
        <f t="shared" si="202"/>
        <v>1.1833333333343035</v>
      </c>
      <c r="AA857" s="174">
        <f t="shared" si="203"/>
        <v>1.0833333333333333</v>
      </c>
      <c r="AB857" s="175" t="str">
        <f t="shared" si="204"/>
        <v>-02:24:00</v>
      </c>
      <c r="AC857" s="175" t="b">
        <f t="shared" si="205"/>
        <v>1</v>
      </c>
    </row>
    <row r="858" spans="1:29" s="128" customFormat="1" ht="9.75" hidden="1" customHeight="1" x14ac:dyDescent="0.3">
      <c r="A858" s="99">
        <v>46253</v>
      </c>
      <c r="B858" s="59">
        <v>8182860</v>
      </c>
      <c r="C858" s="60" t="s">
        <v>87</v>
      </c>
      <c r="D858" s="60" t="s">
        <v>367</v>
      </c>
      <c r="E858" s="61">
        <v>0.125</v>
      </c>
      <c r="F858" s="60" t="s">
        <v>13</v>
      </c>
      <c r="G858" s="71" t="s">
        <v>284</v>
      </c>
      <c r="H858" s="62">
        <v>0.12638888888888888</v>
      </c>
      <c r="I858" s="113" t="str">
        <f t="shared" si="207"/>
        <v>19-08-2026T03:02:00</v>
      </c>
      <c r="J858" s="62">
        <v>0.47916666666666669</v>
      </c>
      <c r="K858" s="62"/>
      <c r="L858" s="63">
        <f t="shared" si="208"/>
        <v>0.3527777777777778</v>
      </c>
      <c r="M858" s="64">
        <v>0.35416666666666669</v>
      </c>
      <c r="N858" s="65" t="str">
        <f t="shared" si="209"/>
        <v>00:02:00</v>
      </c>
      <c r="O858" s="66"/>
      <c r="P858" s="124"/>
      <c r="Q858" s="67" t="s">
        <v>174</v>
      </c>
      <c r="R858" s="68">
        <v>0.3888888888888889</v>
      </c>
      <c r="S858" s="68">
        <v>0.41249999999999998</v>
      </c>
      <c r="T858" s="69">
        <f t="shared" si="210"/>
        <v>2.3611111111111083E-2</v>
      </c>
      <c r="U858" s="61"/>
      <c r="V858" s="83">
        <v>6.25E-2</v>
      </c>
      <c r="W858" s="61">
        <f t="shared" si="211"/>
        <v>-3.8888888888888917E-2</v>
      </c>
      <c r="X858" s="171">
        <v>46253.126388888886</v>
      </c>
      <c r="Y858" s="171">
        <v>46253.479166666664</v>
      </c>
      <c r="Z858" s="168">
        <f t="shared" si="202"/>
        <v>0.35277777777810115</v>
      </c>
      <c r="AA858" s="169">
        <f t="shared" si="203"/>
        <v>0.35416666666666669</v>
      </c>
      <c r="AB858" s="170" t="str">
        <f t="shared" si="204"/>
        <v>00:02:00</v>
      </c>
      <c r="AC858" s="170" t="b">
        <f t="shared" si="205"/>
        <v>1</v>
      </c>
    </row>
    <row r="859" spans="1:29" s="128" customFormat="1" ht="9.75" hidden="1" customHeight="1" x14ac:dyDescent="0.3">
      <c r="A859" s="99">
        <v>46253</v>
      </c>
      <c r="B859" s="59">
        <v>8182820</v>
      </c>
      <c r="C859" s="60" t="s">
        <v>57</v>
      </c>
      <c r="D859" s="60" t="s">
        <v>370</v>
      </c>
      <c r="E859" s="61">
        <v>0.125</v>
      </c>
      <c r="F859" s="60" t="s">
        <v>24</v>
      </c>
      <c r="G859" s="71" t="s">
        <v>13</v>
      </c>
      <c r="H859" s="62">
        <v>0.11805555555555555</v>
      </c>
      <c r="I859" s="113" t="str">
        <f t="shared" si="207"/>
        <v>19-08-2026T02:50:00</v>
      </c>
      <c r="J859" s="62">
        <v>0.18611111111111112</v>
      </c>
      <c r="K859" s="62"/>
      <c r="L859" s="63">
        <f t="shared" si="208"/>
        <v>6.8055555555555564E-2</v>
      </c>
      <c r="M859" s="64">
        <v>8.3333333333333329E-2</v>
      </c>
      <c r="N859" s="65" t="str">
        <f t="shared" si="209"/>
        <v>00:22:00</v>
      </c>
      <c r="O859" s="66"/>
      <c r="P859" s="124"/>
      <c r="Q859" s="67"/>
      <c r="R859" s="68"/>
      <c r="S859" s="68"/>
      <c r="T859" s="69">
        <f t="shared" si="210"/>
        <v>0</v>
      </c>
      <c r="U859" s="61"/>
      <c r="V859" s="83">
        <v>0</v>
      </c>
      <c r="W859" s="61">
        <f t="shared" si="211"/>
        <v>0</v>
      </c>
      <c r="X859" s="171">
        <v>46253.118055555555</v>
      </c>
      <c r="Y859" s="171">
        <v>46253.186111111114</v>
      </c>
      <c r="Z859" s="168">
        <f t="shared" si="202"/>
        <v>6.805555555911269E-2</v>
      </c>
      <c r="AA859" s="169">
        <f t="shared" si="203"/>
        <v>8.3333333333333329E-2</v>
      </c>
      <c r="AB859" s="170" t="str">
        <f t="shared" si="204"/>
        <v>00:22:00</v>
      </c>
      <c r="AC859" s="170" t="b">
        <f t="shared" si="205"/>
        <v>1</v>
      </c>
    </row>
    <row r="860" spans="1:29" s="128" customFormat="1" ht="9.75" hidden="1" customHeight="1" x14ac:dyDescent="0.3">
      <c r="A860" s="99">
        <v>46253</v>
      </c>
      <c r="B860" s="59">
        <v>8183771</v>
      </c>
      <c r="C860" s="60" t="s">
        <v>54</v>
      </c>
      <c r="D860" s="60" t="s">
        <v>288</v>
      </c>
      <c r="E860" s="61">
        <v>0.16666666666666666</v>
      </c>
      <c r="F860" s="60" t="s">
        <v>13</v>
      </c>
      <c r="G860" s="71" t="s">
        <v>24</v>
      </c>
      <c r="H860" s="62">
        <v>0.4513888888888889</v>
      </c>
      <c r="I860" s="113" t="str">
        <f t="shared" si="207"/>
        <v>19-08-2026T10:50:00</v>
      </c>
      <c r="J860" s="62">
        <v>0.53125</v>
      </c>
      <c r="K860" s="62"/>
      <c r="L860" s="63">
        <f t="shared" si="208"/>
        <v>7.9861111111111105E-2</v>
      </c>
      <c r="M860" s="64">
        <v>8.3333333333333329E-2</v>
      </c>
      <c r="N860" s="65" t="str">
        <f t="shared" si="209"/>
        <v>00:05:00</v>
      </c>
      <c r="O860" s="66"/>
      <c r="P860" s="124"/>
      <c r="Q860" s="67"/>
      <c r="R860" s="68"/>
      <c r="S860" s="68"/>
      <c r="T860" s="69">
        <f t="shared" si="210"/>
        <v>0</v>
      </c>
      <c r="U860" s="61" t="s">
        <v>234</v>
      </c>
      <c r="V860" s="83">
        <v>0</v>
      </c>
      <c r="W860" s="61">
        <f t="shared" si="211"/>
        <v>0</v>
      </c>
      <c r="X860" s="171">
        <v>46253.451388888891</v>
      </c>
      <c r="Y860" s="171">
        <v>46253.53125</v>
      </c>
      <c r="Z860" s="168">
        <f t="shared" si="202"/>
        <v>7.9861111109494232E-2</v>
      </c>
      <c r="AA860" s="169">
        <f t="shared" si="203"/>
        <v>8.3333333333333329E-2</v>
      </c>
      <c r="AB860" s="170" t="str">
        <f t="shared" si="204"/>
        <v>00:05:00</v>
      </c>
      <c r="AC860" s="170" t="b">
        <f t="shared" si="205"/>
        <v>1</v>
      </c>
    </row>
    <row r="861" spans="1:29" s="128" customFormat="1" ht="9.75" hidden="1" customHeight="1" x14ac:dyDescent="0.3">
      <c r="A861" s="99">
        <v>46253</v>
      </c>
      <c r="B861" s="59">
        <v>8182996</v>
      </c>
      <c r="C861" s="60" t="s">
        <v>27</v>
      </c>
      <c r="D861" s="60" t="s">
        <v>378</v>
      </c>
      <c r="E861" s="61">
        <v>0.16666666666666666</v>
      </c>
      <c r="F861" s="60" t="s">
        <v>13</v>
      </c>
      <c r="G861" s="71" t="s">
        <v>28</v>
      </c>
      <c r="H861" s="62">
        <v>0.16666666666666666</v>
      </c>
      <c r="I861" s="113" t="str">
        <f t="shared" si="207"/>
        <v>19-08-2026T04:00:00</v>
      </c>
      <c r="J861" s="62">
        <v>0.33055555555555555</v>
      </c>
      <c r="K861" s="62"/>
      <c r="L861" s="63">
        <f t="shared" si="208"/>
        <v>0.16388888888888889</v>
      </c>
      <c r="M861" s="64">
        <v>0.16666666666666666</v>
      </c>
      <c r="N861" s="65" t="str">
        <f t="shared" si="209"/>
        <v>00:04:00</v>
      </c>
      <c r="O861" s="66"/>
      <c r="P861" s="124"/>
      <c r="Q861" s="67"/>
      <c r="R861" s="68"/>
      <c r="S861" s="68"/>
      <c r="T861" s="69">
        <f t="shared" si="210"/>
        <v>0</v>
      </c>
      <c r="U861" s="61"/>
      <c r="V861" s="83">
        <v>0</v>
      </c>
      <c r="W861" s="61">
        <f t="shared" si="211"/>
        <v>0</v>
      </c>
      <c r="X861" s="171">
        <v>46253.166666666664</v>
      </c>
      <c r="Y861" s="171">
        <v>46253.330555555556</v>
      </c>
      <c r="Z861" s="168">
        <f t="shared" si="202"/>
        <v>0.16388888889196096</v>
      </c>
      <c r="AA861" s="169">
        <f t="shared" si="203"/>
        <v>0.16666666666666666</v>
      </c>
      <c r="AB861" s="170" t="str">
        <f t="shared" si="204"/>
        <v>00:04:00</v>
      </c>
      <c r="AC861" s="170" t="b">
        <f t="shared" si="205"/>
        <v>1</v>
      </c>
    </row>
    <row r="862" spans="1:29" s="128" customFormat="1" ht="9.75" hidden="1" customHeight="1" x14ac:dyDescent="0.3">
      <c r="A862" s="99">
        <v>46253</v>
      </c>
      <c r="B862" s="59">
        <v>8182985</v>
      </c>
      <c r="C862" s="60" t="s">
        <v>29</v>
      </c>
      <c r="D862" s="60" t="s">
        <v>614</v>
      </c>
      <c r="E862" s="61">
        <v>0.16666666666666666</v>
      </c>
      <c r="F862" s="60" t="s">
        <v>17</v>
      </c>
      <c r="G862" s="71" t="s">
        <v>15</v>
      </c>
      <c r="H862" s="62">
        <v>0.16527777777777777</v>
      </c>
      <c r="I862" s="113" t="str">
        <f t="shared" si="207"/>
        <v>19-08-2026T03:58:00</v>
      </c>
      <c r="J862" s="62">
        <v>0.65555555555555556</v>
      </c>
      <c r="K862" s="62"/>
      <c r="L862" s="63">
        <f t="shared" si="208"/>
        <v>0.49027777777777781</v>
      </c>
      <c r="M862" s="64">
        <v>0.5</v>
      </c>
      <c r="N862" s="65" t="str">
        <f t="shared" si="209"/>
        <v>00:14:00</v>
      </c>
      <c r="O862" s="66"/>
      <c r="P862" s="124"/>
      <c r="Q862" s="67" t="s">
        <v>98</v>
      </c>
      <c r="R862" s="68">
        <v>0.375</v>
      </c>
      <c r="S862" s="68">
        <v>0.45833333333333331</v>
      </c>
      <c r="T862" s="69">
        <f t="shared" si="210"/>
        <v>8.3333333333333315E-2</v>
      </c>
      <c r="U862" s="61" t="s">
        <v>234</v>
      </c>
      <c r="V862" s="83">
        <v>8.3333333333333329E-2</v>
      </c>
      <c r="W862" s="61">
        <f t="shared" si="211"/>
        <v>0</v>
      </c>
      <c r="X862" s="171">
        <v>0.16527777777777777</v>
      </c>
      <c r="Y862" s="171">
        <v>0.65555555555555556</v>
      </c>
      <c r="Z862" s="168">
        <f t="shared" si="202"/>
        <v>0.49027777777777781</v>
      </c>
      <c r="AA862" s="169">
        <f t="shared" si="203"/>
        <v>0.5</v>
      </c>
      <c r="AB862" s="170" t="str">
        <f t="shared" si="204"/>
        <v>00:14:00</v>
      </c>
      <c r="AC862" s="170" t="b">
        <f t="shared" si="205"/>
        <v>1</v>
      </c>
    </row>
    <row r="863" spans="1:29" s="128" customFormat="1" ht="9.75" hidden="1" customHeight="1" x14ac:dyDescent="0.3">
      <c r="A863" s="99">
        <v>46253</v>
      </c>
      <c r="B863" s="59">
        <v>8182984</v>
      </c>
      <c r="C863" s="60" t="s">
        <v>40</v>
      </c>
      <c r="D863" s="60" t="s">
        <v>460</v>
      </c>
      <c r="E863" s="61">
        <v>0.16666666666666666</v>
      </c>
      <c r="F863" s="60" t="s">
        <v>31</v>
      </c>
      <c r="G863" s="71" t="s">
        <v>13</v>
      </c>
      <c r="H863" s="62">
        <v>0.16527777777777777</v>
      </c>
      <c r="I863" s="113" t="str">
        <f t="shared" si="207"/>
        <v>19-08-2026T03:58:00</v>
      </c>
      <c r="J863" s="62">
        <v>0.85833333333333328</v>
      </c>
      <c r="K863" s="62"/>
      <c r="L863" s="63">
        <f t="shared" si="208"/>
        <v>0.69305555555555554</v>
      </c>
      <c r="M863" s="64">
        <v>0.70833333333333337</v>
      </c>
      <c r="N863" s="65" t="str">
        <f t="shared" si="209"/>
        <v>00:22:00</v>
      </c>
      <c r="O863" s="66">
        <v>200</v>
      </c>
      <c r="P863" s="124" t="s">
        <v>624</v>
      </c>
      <c r="Q863" s="67" t="s">
        <v>13</v>
      </c>
      <c r="R863" s="68">
        <v>0.7944444444444444</v>
      </c>
      <c r="S863" s="68">
        <v>0.85416666666666663</v>
      </c>
      <c r="T863" s="69">
        <f t="shared" si="210"/>
        <v>5.9722222222222232E-2</v>
      </c>
      <c r="U863" s="61"/>
      <c r="V863" s="83">
        <v>8.3333333333333329E-2</v>
      </c>
      <c r="W863" s="61">
        <f t="shared" si="211"/>
        <v>-2.3611111111111097E-2</v>
      </c>
      <c r="X863" s="172">
        <v>46253.165277777778</v>
      </c>
      <c r="Y863" s="172">
        <v>46253.85833333333</v>
      </c>
      <c r="Z863" s="173">
        <f t="shared" si="202"/>
        <v>0.69305555555183673</v>
      </c>
      <c r="AA863" s="174">
        <f t="shared" si="203"/>
        <v>0.70833333333333337</v>
      </c>
      <c r="AB863" s="175" t="str">
        <f t="shared" si="204"/>
        <v>00:22:00</v>
      </c>
      <c r="AC863" s="175" t="b">
        <f t="shared" si="205"/>
        <v>1</v>
      </c>
    </row>
    <row r="864" spans="1:29" s="127" customFormat="1" ht="9.75" hidden="1" customHeight="1" x14ac:dyDescent="0.3">
      <c r="A864" s="98">
        <v>46253</v>
      </c>
      <c r="B864" s="48">
        <v>8183017</v>
      </c>
      <c r="C864" s="49" t="s">
        <v>12</v>
      </c>
      <c r="D864" s="49" t="s">
        <v>586</v>
      </c>
      <c r="E864" s="50">
        <v>0.16666666666666666</v>
      </c>
      <c r="F864" s="49" t="s">
        <v>13</v>
      </c>
      <c r="G864" s="70" t="s">
        <v>14</v>
      </c>
      <c r="H864" s="51">
        <v>0.16944444444444445</v>
      </c>
      <c r="I864" s="113" t="str">
        <f t="shared" si="207"/>
        <v>19-08-2026T04:04:00</v>
      </c>
      <c r="J864" s="51">
        <v>0.83263888888888893</v>
      </c>
      <c r="K864" s="51"/>
      <c r="L864" s="52">
        <f t="shared" si="208"/>
        <v>0.66319444444444442</v>
      </c>
      <c r="M864" s="53">
        <v>0.54166666666666663</v>
      </c>
      <c r="N864" s="54" t="str">
        <f t="shared" si="209"/>
        <v>-02:55:00</v>
      </c>
      <c r="O864" s="55">
        <v>600</v>
      </c>
      <c r="P864" s="147" t="s">
        <v>641</v>
      </c>
      <c r="Q864" s="56"/>
      <c r="R864" s="57"/>
      <c r="S864" s="57"/>
      <c r="T864" s="58">
        <f t="shared" si="210"/>
        <v>0</v>
      </c>
      <c r="U864" s="50"/>
      <c r="V864" s="74">
        <v>0</v>
      </c>
      <c r="W864" s="50">
        <f t="shared" si="211"/>
        <v>0</v>
      </c>
      <c r="X864" s="171">
        <v>46253.169444444444</v>
      </c>
      <c r="Y864" s="171">
        <v>46253.832638888889</v>
      </c>
      <c r="Z864" s="168">
        <f t="shared" si="202"/>
        <v>0.66319444444525288</v>
      </c>
      <c r="AA864" s="169">
        <f t="shared" si="203"/>
        <v>0.54166666666666663</v>
      </c>
      <c r="AB864" s="170" t="str">
        <f t="shared" si="204"/>
        <v>-02:55:00</v>
      </c>
      <c r="AC864" s="170" t="b">
        <f t="shared" si="205"/>
        <v>1</v>
      </c>
    </row>
    <row r="865" spans="1:29" s="128" customFormat="1" ht="9.75" hidden="1" customHeight="1" x14ac:dyDescent="0.3">
      <c r="A865" s="99">
        <v>46253</v>
      </c>
      <c r="B865" s="59">
        <v>8183153</v>
      </c>
      <c r="C865" s="60" t="s">
        <v>32</v>
      </c>
      <c r="D865" s="60" t="s">
        <v>476</v>
      </c>
      <c r="E865" s="61">
        <v>0.20833333333333334</v>
      </c>
      <c r="F865" s="60" t="s">
        <v>13</v>
      </c>
      <c r="G865" s="71" t="s">
        <v>287</v>
      </c>
      <c r="H865" s="62">
        <v>0.20833333333333334</v>
      </c>
      <c r="I865" s="113" t="str">
        <f t="shared" si="207"/>
        <v>19-08-2026T05:00:00</v>
      </c>
      <c r="J865" s="62">
        <v>0.34861111111111109</v>
      </c>
      <c r="K865" s="62"/>
      <c r="L865" s="63">
        <f t="shared" si="208"/>
        <v>0.14027777777777775</v>
      </c>
      <c r="M865" s="64">
        <v>0.14583333333333334</v>
      </c>
      <c r="N865" s="65" t="str">
        <f t="shared" si="209"/>
        <v>00:08:00</v>
      </c>
      <c r="O865" s="66"/>
      <c r="P865" s="124"/>
      <c r="Q865" s="67"/>
      <c r="R865" s="68"/>
      <c r="S865" s="68"/>
      <c r="T865" s="69">
        <f t="shared" si="210"/>
        <v>0</v>
      </c>
      <c r="U865" s="61"/>
      <c r="V865" s="83">
        <v>0</v>
      </c>
      <c r="W865" s="61">
        <f t="shared" si="211"/>
        <v>0</v>
      </c>
      <c r="X865" s="171">
        <v>46253.208333333336</v>
      </c>
      <c r="Y865" s="171">
        <v>46253.348611111112</v>
      </c>
      <c r="Z865" s="168">
        <f t="shared" si="202"/>
        <v>0.14027777777664596</v>
      </c>
      <c r="AA865" s="169">
        <f t="shared" si="203"/>
        <v>0.14583333333333334</v>
      </c>
      <c r="AB865" s="170" t="str">
        <f t="shared" si="204"/>
        <v>00:08:00</v>
      </c>
      <c r="AC865" s="170" t="b">
        <f t="shared" si="205"/>
        <v>1</v>
      </c>
    </row>
    <row r="866" spans="1:29" s="127" customFormat="1" ht="9.75" hidden="1" customHeight="1" x14ac:dyDescent="0.3">
      <c r="A866" s="98">
        <v>46253</v>
      </c>
      <c r="B866" s="48">
        <v>8183071</v>
      </c>
      <c r="C866" s="49" t="s">
        <v>25</v>
      </c>
      <c r="D866" s="49" t="s">
        <v>379</v>
      </c>
      <c r="E866" s="50">
        <v>0.20833333333333334</v>
      </c>
      <c r="F866" s="49" t="s">
        <v>26</v>
      </c>
      <c r="G866" s="70" t="s">
        <v>13</v>
      </c>
      <c r="H866" s="51">
        <v>0.19236111111111112</v>
      </c>
      <c r="I866" s="113" t="str">
        <f t="shared" si="207"/>
        <v>19-08-2026T04:37:00</v>
      </c>
      <c r="J866" s="51">
        <v>46253.651388888888</v>
      </c>
      <c r="K866" s="51"/>
      <c r="L866" s="52">
        <f t="shared" si="208"/>
        <v>46253.459027777775</v>
      </c>
      <c r="M866" s="53">
        <v>0.45833333333333331</v>
      </c>
      <c r="N866" s="54" t="str">
        <f t="shared" si="209"/>
        <v>-00:01:00</v>
      </c>
      <c r="O866" s="55">
        <v>250</v>
      </c>
      <c r="P866" s="147" t="s">
        <v>598</v>
      </c>
      <c r="Q866" s="56" t="s">
        <v>13</v>
      </c>
      <c r="R866" s="57">
        <v>46253.578472222223</v>
      </c>
      <c r="S866" s="57">
        <v>46253.645138888889</v>
      </c>
      <c r="T866" s="58">
        <f t="shared" si="210"/>
        <v>6.6666666665696539E-2</v>
      </c>
      <c r="U866" s="50"/>
      <c r="V866" s="74">
        <v>8.3333333333333329E-2</v>
      </c>
      <c r="W866" s="50">
        <f t="shared" si="211"/>
        <v>-1.666666666763679E-2</v>
      </c>
      <c r="X866" s="171">
        <v>46253.192361111112</v>
      </c>
      <c r="Y866" s="171">
        <v>46253.651388888888</v>
      </c>
      <c r="Z866" s="168">
        <f t="shared" si="202"/>
        <v>0.45902777777519077</v>
      </c>
      <c r="AA866" s="169">
        <f t="shared" si="203"/>
        <v>0.45833333333333331</v>
      </c>
      <c r="AB866" s="170" t="str">
        <f t="shared" si="204"/>
        <v>-00:01:00</v>
      </c>
      <c r="AC866" s="170" t="b">
        <f t="shared" si="205"/>
        <v>1</v>
      </c>
    </row>
    <row r="867" spans="1:29" s="128" customFormat="1" ht="9.75" hidden="1" customHeight="1" x14ac:dyDescent="0.3">
      <c r="A867" s="99">
        <v>46253</v>
      </c>
      <c r="B867" s="59">
        <v>8183328</v>
      </c>
      <c r="C867" s="60" t="s">
        <v>89</v>
      </c>
      <c r="D867" s="60" t="s">
        <v>294</v>
      </c>
      <c r="E867" s="61">
        <v>0.25</v>
      </c>
      <c r="F867" s="60" t="s">
        <v>13</v>
      </c>
      <c r="G867" s="71" t="s">
        <v>35</v>
      </c>
      <c r="H867" s="62">
        <v>0.24861111111111112</v>
      </c>
      <c r="I867" s="113" t="str">
        <f t="shared" si="207"/>
        <v>19-08-2026T05:58:00</v>
      </c>
      <c r="J867" s="62">
        <v>0.28472222222222221</v>
      </c>
      <c r="K867" s="62"/>
      <c r="L867" s="63">
        <f t="shared" si="208"/>
        <v>3.6111111111111094E-2</v>
      </c>
      <c r="M867" s="64">
        <v>4.1666666666666664E-2</v>
      </c>
      <c r="N867" s="65" t="str">
        <f t="shared" si="209"/>
        <v>00:08:00</v>
      </c>
      <c r="O867" s="66"/>
      <c r="P867" s="124"/>
      <c r="Q867" s="67"/>
      <c r="R867" s="68"/>
      <c r="S867" s="68"/>
      <c r="T867" s="69">
        <f t="shared" si="210"/>
        <v>0</v>
      </c>
      <c r="U867" s="61"/>
      <c r="V867" s="83">
        <v>0</v>
      </c>
      <c r="W867" s="61">
        <f t="shared" si="211"/>
        <v>0</v>
      </c>
      <c r="X867" s="171">
        <v>46253.248611111114</v>
      </c>
      <c r="Y867" s="171">
        <v>46253.284722222219</v>
      </c>
      <c r="Z867" s="168">
        <f t="shared" si="202"/>
        <v>3.6111111105128657E-2</v>
      </c>
      <c r="AA867" s="169">
        <f t="shared" si="203"/>
        <v>4.1666666666666664E-2</v>
      </c>
      <c r="AB867" s="170" t="str">
        <f t="shared" si="204"/>
        <v>00:08:00</v>
      </c>
      <c r="AC867" s="170" t="b">
        <f t="shared" si="205"/>
        <v>1</v>
      </c>
    </row>
    <row r="868" spans="1:29" s="128" customFormat="1" ht="9.75" hidden="1" customHeight="1" x14ac:dyDescent="0.3">
      <c r="A868" s="99">
        <v>46253</v>
      </c>
      <c r="B868" s="59">
        <v>8183413</v>
      </c>
      <c r="C868" s="60" t="s">
        <v>83</v>
      </c>
      <c r="D868" s="60" t="s">
        <v>454</v>
      </c>
      <c r="E868" s="61">
        <v>0.27083333333333331</v>
      </c>
      <c r="F868" s="60" t="s">
        <v>14</v>
      </c>
      <c r="G868" s="71" t="s">
        <v>13</v>
      </c>
      <c r="H868" s="62">
        <v>0.26944444444444443</v>
      </c>
      <c r="I868" s="113" t="str">
        <f t="shared" si="207"/>
        <v>19-08-2026T06:28:00</v>
      </c>
      <c r="J868" s="62">
        <v>0.89375000000000004</v>
      </c>
      <c r="K868" s="62"/>
      <c r="L868" s="63">
        <f t="shared" si="208"/>
        <v>0.62430555555555567</v>
      </c>
      <c r="M868" s="64">
        <v>0.625</v>
      </c>
      <c r="N868" s="65" t="str">
        <f t="shared" si="209"/>
        <v>00:01:00</v>
      </c>
      <c r="O868" s="66"/>
      <c r="P868" s="124"/>
      <c r="Q868" s="67" t="s">
        <v>126</v>
      </c>
      <c r="R868" s="68">
        <v>0.38194444444444442</v>
      </c>
      <c r="S868" s="68">
        <v>0.4201388888888889</v>
      </c>
      <c r="T868" s="69">
        <f t="shared" si="210"/>
        <v>3.8194444444444475E-2</v>
      </c>
      <c r="U868" s="61"/>
      <c r="V868" s="83">
        <v>6.25E-2</v>
      </c>
      <c r="W868" s="61">
        <f t="shared" si="211"/>
        <v>-2.4305555555555525E-2</v>
      </c>
      <c r="X868" s="171">
        <v>46253.269444444442</v>
      </c>
      <c r="Y868" s="171">
        <v>46253.893750000003</v>
      </c>
      <c r="Z868" s="168">
        <f t="shared" si="202"/>
        <v>0.62430555556056788</v>
      </c>
      <c r="AA868" s="169">
        <f t="shared" si="203"/>
        <v>0.625</v>
      </c>
      <c r="AB868" s="170" t="str">
        <f t="shared" si="204"/>
        <v>00:01:00</v>
      </c>
      <c r="AC868" s="170" t="b">
        <f t="shared" si="205"/>
        <v>1</v>
      </c>
    </row>
    <row r="869" spans="1:29" s="128" customFormat="1" ht="9.75" hidden="1" customHeight="1" x14ac:dyDescent="0.3">
      <c r="A869" s="99">
        <v>46253</v>
      </c>
      <c r="B869" s="59">
        <v>8185076</v>
      </c>
      <c r="C869" s="60" t="s">
        <v>58</v>
      </c>
      <c r="D869" s="60" t="s">
        <v>591</v>
      </c>
      <c r="E869" s="61">
        <v>0.27083333333333331</v>
      </c>
      <c r="F869" s="60" t="s">
        <v>13</v>
      </c>
      <c r="G869" s="71" t="s">
        <v>14</v>
      </c>
      <c r="H869" s="62">
        <v>46253.876388888886</v>
      </c>
      <c r="I869" s="113" t="str">
        <f t="shared" si="207"/>
        <v>19-08-2026T21:02:00</v>
      </c>
      <c r="J869" s="62">
        <v>46254.480555555558</v>
      </c>
      <c r="K869" s="62"/>
      <c r="L869" s="63">
        <f t="shared" si="208"/>
        <v>0.60416666667151731</v>
      </c>
      <c r="M869" s="64">
        <v>0.625</v>
      </c>
      <c r="N869" s="65" t="str">
        <f t="shared" si="209"/>
        <v>00:30:00</v>
      </c>
      <c r="O869" s="66"/>
      <c r="P869" s="124"/>
      <c r="Q869" s="67" t="s">
        <v>15</v>
      </c>
      <c r="R869" s="68">
        <v>0.10555555555555556</v>
      </c>
      <c r="S869" s="68">
        <v>0.11805555555555555</v>
      </c>
      <c r="T869" s="69">
        <f t="shared" si="210"/>
        <v>1.2499999999999997E-2</v>
      </c>
      <c r="U869" s="61"/>
      <c r="V869" s="83">
        <v>6.25E-2</v>
      </c>
      <c r="W869" s="61">
        <f t="shared" si="211"/>
        <v>-0.05</v>
      </c>
      <c r="X869" s="171">
        <v>46253.876388888886</v>
      </c>
      <c r="Y869" s="171">
        <v>46254.480555555558</v>
      </c>
      <c r="Z869" s="168">
        <f t="shared" si="202"/>
        <v>0.60416666667151731</v>
      </c>
      <c r="AA869" s="169">
        <f t="shared" si="203"/>
        <v>0.625</v>
      </c>
      <c r="AB869" s="170" t="str">
        <f t="shared" si="204"/>
        <v>00:30:00</v>
      </c>
      <c r="AC869" s="170" t="b">
        <f t="shared" si="205"/>
        <v>1</v>
      </c>
    </row>
    <row r="870" spans="1:29" s="127" customFormat="1" ht="9.75" hidden="1" customHeight="1" x14ac:dyDescent="0.3">
      <c r="A870" s="98">
        <v>46253</v>
      </c>
      <c r="B870" s="48">
        <v>8183495</v>
      </c>
      <c r="C870" s="49" t="s">
        <v>44</v>
      </c>
      <c r="D870" s="49" t="s">
        <v>547</v>
      </c>
      <c r="E870" s="50">
        <v>0.29166666666666669</v>
      </c>
      <c r="F870" s="49" t="s">
        <v>13</v>
      </c>
      <c r="G870" s="70" t="s">
        <v>31</v>
      </c>
      <c r="H870" s="51">
        <v>0.29375000000000001</v>
      </c>
      <c r="I870" s="113" t="str">
        <f t="shared" si="207"/>
        <v>19-08-2026T07:03:00</v>
      </c>
      <c r="J870" s="51">
        <v>0.94097222222222221</v>
      </c>
      <c r="K870" s="51"/>
      <c r="L870" s="52">
        <f t="shared" si="208"/>
        <v>0.64722222222222214</v>
      </c>
      <c r="M870" s="53">
        <v>0.625</v>
      </c>
      <c r="N870" s="54" t="str">
        <f t="shared" si="209"/>
        <v>-00:32:00</v>
      </c>
      <c r="O870" s="55">
        <v>200</v>
      </c>
      <c r="P870" s="147" t="s">
        <v>627</v>
      </c>
      <c r="Q870" s="56"/>
      <c r="R870" s="57"/>
      <c r="S870" s="57"/>
      <c r="T870" s="58">
        <f t="shared" si="210"/>
        <v>0</v>
      </c>
      <c r="U870" s="50"/>
      <c r="V870" s="74">
        <v>0</v>
      </c>
      <c r="W870" s="50">
        <f t="shared" si="211"/>
        <v>0</v>
      </c>
      <c r="X870" s="171">
        <v>46253.293749999997</v>
      </c>
      <c r="Y870" s="171">
        <v>46253.940972222219</v>
      </c>
      <c r="Z870" s="168">
        <f t="shared" si="202"/>
        <v>0.64722222222189885</v>
      </c>
      <c r="AA870" s="169">
        <f t="shared" si="203"/>
        <v>0.625</v>
      </c>
      <c r="AB870" s="170" t="str">
        <f t="shared" si="204"/>
        <v>-00:32:00</v>
      </c>
      <c r="AC870" s="170" t="b">
        <f t="shared" si="205"/>
        <v>1</v>
      </c>
    </row>
    <row r="871" spans="1:29" s="128" customFormat="1" ht="9.75" hidden="1" customHeight="1" x14ac:dyDescent="0.3">
      <c r="A871" s="99">
        <v>46253</v>
      </c>
      <c r="B871" s="59">
        <v>8183535</v>
      </c>
      <c r="C871" s="60" t="s">
        <v>42</v>
      </c>
      <c r="D871" s="60" t="s">
        <v>181</v>
      </c>
      <c r="E871" s="61">
        <v>0.3125</v>
      </c>
      <c r="F871" s="60" t="s">
        <v>13</v>
      </c>
      <c r="G871" s="71" t="s">
        <v>55</v>
      </c>
      <c r="H871" s="62">
        <v>0.3125</v>
      </c>
      <c r="I871" s="113" t="str">
        <f t="shared" si="207"/>
        <v>19-08-2026T07:30:00</v>
      </c>
      <c r="J871" s="62">
        <v>0.37291666666666667</v>
      </c>
      <c r="K871" s="62"/>
      <c r="L871" s="63">
        <f t="shared" si="208"/>
        <v>6.0416666666666674E-2</v>
      </c>
      <c r="M871" s="64">
        <v>6.25E-2</v>
      </c>
      <c r="N871" s="65" t="str">
        <f t="shared" si="209"/>
        <v>00:03:00</v>
      </c>
      <c r="O871" s="66"/>
      <c r="P871" s="124"/>
      <c r="Q871" s="67"/>
      <c r="R871" s="68"/>
      <c r="S871" s="68"/>
      <c r="T871" s="69">
        <f t="shared" si="210"/>
        <v>0</v>
      </c>
      <c r="U871" s="61"/>
      <c r="V871" s="83">
        <v>0</v>
      </c>
      <c r="W871" s="61">
        <f t="shared" si="211"/>
        <v>0</v>
      </c>
      <c r="X871" s="171">
        <v>46253.3125</v>
      </c>
      <c r="Y871" s="171">
        <v>46253.372916666667</v>
      </c>
      <c r="Z871" s="168">
        <f t="shared" si="202"/>
        <v>6.0416666667151731E-2</v>
      </c>
      <c r="AA871" s="169">
        <f t="shared" si="203"/>
        <v>6.25E-2</v>
      </c>
      <c r="AB871" s="170" t="str">
        <f t="shared" si="204"/>
        <v>00:03:00</v>
      </c>
      <c r="AC871" s="170" t="b">
        <f t="shared" si="205"/>
        <v>1</v>
      </c>
    </row>
    <row r="872" spans="1:29" s="127" customFormat="1" ht="9.75" hidden="1" customHeight="1" x14ac:dyDescent="0.3">
      <c r="A872" s="98">
        <v>46253</v>
      </c>
      <c r="B872" s="48">
        <v>8183670</v>
      </c>
      <c r="C872" s="49" t="s">
        <v>86</v>
      </c>
      <c r="D872" s="49" t="s">
        <v>618</v>
      </c>
      <c r="E872" s="50">
        <v>0.375</v>
      </c>
      <c r="F872" s="49" t="s">
        <v>13</v>
      </c>
      <c r="G872" s="70" t="s">
        <v>31</v>
      </c>
      <c r="H872" s="51">
        <v>46253.379166666666</v>
      </c>
      <c r="I872" s="113" t="str">
        <f t="shared" si="207"/>
        <v>19-08-2026T09:06:00</v>
      </c>
      <c r="J872" s="51">
        <v>46254.484722222223</v>
      </c>
      <c r="K872" s="51"/>
      <c r="L872" s="52">
        <f t="shared" si="208"/>
        <v>1.1055555555576575</v>
      </c>
      <c r="M872" s="53">
        <v>0.75</v>
      </c>
      <c r="N872" s="54" t="str">
        <f t="shared" si="209"/>
        <v>-08:32:00</v>
      </c>
      <c r="O872" s="55">
        <v>1800</v>
      </c>
      <c r="P872" s="147" t="s">
        <v>620</v>
      </c>
      <c r="Q872" s="56" t="s">
        <v>45</v>
      </c>
      <c r="R872" s="57" t="s">
        <v>480</v>
      </c>
      <c r="S872" s="57" t="s">
        <v>480</v>
      </c>
      <c r="T872" s="58" t="e">
        <f t="shared" si="210"/>
        <v>#VALUE!</v>
      </c>
      <c r="U872" s="50"/>
      <c r="V872" s="74">
        <v>8.3333333333333329E-2</v>
      </c>
      <c r="W872" s="50" t="e">
        <f t="shared" si="211"/>
        <v>#VALUE!</v>
      </c>
      <c r="X872" s="171">
        <v>46253.379166666666</v>
      </c>
      <c r="Y872" s="171">
        <v>46254.484722222223</v>
      </c>
      <c r="Z872" s="168">
        <f t="shared" si="202"/>
        <v>1.1055555555576575</v>
      </c>
      <c r="AA872" s="169">
        <f t="shared" si="203"/>
        <v>0.75</v>
      </c>
      <c r="AB872" s="170" t="str">
        <f t="shared" si="204"/>
        <v>-08:32:00</v>
      </c>
      <c r="AC872" s="170" t="b">
        <f t="shared" si="205"/>
        <v>1</v>
      </c>
    </row>
    <row r="873" spans="1:29" s="128" customFormat="1" ht="9.75" hidden="1" customHeight="1" x14ac:dyDescent="0.3">
      <c r="A873" s="99">
        <v>46253</v>
      </c>
      <c r="B873" s="59">
        <v>8183643</v>
      </c>
      <c r="C873" s="60" t="s">
        <v>51</v>
      </c>
      <c r="D873" s="60" t="s">
        <v>295</v>
      </c>
      <c r="E873" s="61">
        <v>0.375</v>
      </c>
      <c r="F873" s="60" t="s">
        <v>49</v>
      </c>
      <c r="G873" s="71" t="s">
        <v>13</v>
      </c>
      <c r="H873" s="62">
        <v>0.36944444444444446</v>
      </c>
      <c r="I873" s="113" t="str">
        <f t="shared" si="207"/>
        <v>19-08-2026T08:52:00</v>
      </c>
      <c r="J873" s="62">
        <v>0.91319444444444442</v>
      </c>
      <c r="K873" s="62"/>
      <c r="L873" s="63">
        <f t="shared" si="208"/>
        <v>0.54374999999999996</v>
      </c>
      <c r="M873" s="64">
        <v>0.58333333333333337</v>
      </c>
      <c r="N873" s="65" t="str">
        <f t="shared" si="209"/>
        <v>00:57:00</v>
      </c>
      <c r="O873" s="66"/>
      <c r="P873" s="124"/>
      <c r="Q873" s="67" t="s">
        <v>13</v>
      </c>
      <c r="R873" s="68">
        <v>0.8618055555555556</v>
      </c>
      <c r="S873" s="68">
        <v>0.90277777777777779</v>
      </c>
      <c r="T873" s="69">
        <f t="shared" si="210"/>
        <v>4.0972222222222188E-2</v>
      </c>
      <c r="U873" s="61"/>
      <c r="V873" s="83">
        <v>8.3333333333333329E-2</v>
      </c>
      <c r="W873" s="61">
        <f t="shared" si="211"/>
        <v>-4.2361111111111141E-2</v>
      </c>
      <c r="X873" s="171">
        <v>46253.369444444441</v>
      </c>
      <c r="Y873" s="171">
        <v>46253.913194444445</v>
      </c>
      <c r="Z873" s="168">
        <f t="shared" si="202"/>
        <v>0.54375000000436557</v>
      </c>
      <c r="AA873" s="169">
        <f t="shared" si="203"/>
        <v>0.58333333333333337</v>
      </c>
      <c r="AB873" s="170" t="str">
        <f t="shared" si="204"/>
        <v>00:57:00</v>
      </c>
      <c r="AC873" s="170" t="b">
        <f t="shared" si="205"/>
        <v>1</v>
      </c>
    </row>
    <row r="874" spans="1:29" s="128" customFormat="1" ht="9.75" hidden="1" customHeight="1" x14ac:dyDescent="0.3">
      <c r="A874" s="99">
        <v>46253</v>
      </c>
      <c r="B874" s="59">
        <v>8183720</v>
      </c>
      <c r="C874" s="60" t="s">
        <v>48</v>
      </c>
      <c r="D874" s="60" t="s">
        <v>183</v>
      </c>
      <c r="E874" s="61">
        <v>0.41666666666666669</v>
      </c>
      <c r="F874" s="60" t="s">
        <v>13</v>
      </c>
      <c r="G874" s="71" t="s">
        <v>49</v>
      </c>
      <c r="H874" s="62">
        <v>0.41805555555555557</v>
      </c>
      <c r="I874" s="113" t="str">
        <f t="shared" si="207"/>
        <v>19-08-2026T10:02:00</v>
      </c>
      <c r="J874" s="62">
        <v>0.90486111111111112</v>
      </c>
      <c r="K874" s="62"/>
      <c r="L874" s="63">
        <f t="shared" si="208"/>
        <v>0.48680555555555555</v>
      </c>
      <c r="M874" s="64">
        <v>0.5</v>
      </c>
      <c r="N874" s="65" t="str">
        <f t="shared" si="209"/>
        <v>00:19:00</v>
      </c>
      <c r="O874" s="66"/>
      <c r="P874" s="124"/>
      <c r="Q874" s="67"/>
      <c r="R874" s="68"/>
      <c r="S874" s="68"/>
      <c r="T874" s="69">
        <f t="shared" si="210"/>
        <v>0</v>
      </c>
      <c r="U874" s="61" t="s">
        <v>234</v>
      </c>
      <c r="V874" s="83">
        <v>0</v>
      </c>
      <c r="W874" s="61">
        <f t="shared" si="211"/>
        <v>0</v>
      </c>
      <c r="X874" s="171">
        <v>46253.418055555558</v>
      </c>
      <c r="Y874" s="171">
        <v>46253.904861111114</v>
      </c>
      <c r="Z874" s="168">
        <f t="shared" si="202"/>
        <v>0.48680555555620231</v>
      </c>
      <c r="AA874" s="169">
        <f t="shared" si="203"/>
        <v>0.5</v>
      </c>
      <c r="AB874" s="170" t="str">
        <f t="shared" si="204"/>
        <v>00:19:00</v>
      </c>
      <c r="AC874" s="170" t="b">
        <f t="shared" si="205"/>
        <v>1</v>
      </c>
    </row>
    <row r="875" spans="1:29" s="127" customFormat="1" ht="9.75" hidden="1" customHeight="1" x14ac:dyDescent="0.3">
      <c r="A875" s="98">
        <v>46253</v>
      </c>
      <c r="B875" s="48">
        <v>8183945</v>
      </c>
      <c r="C875" s="49" t="s">
        <v>39</v>
      </c>
      <c r="D875" s="49" t="s">
        <v>392</v>
      </c>
      <c r="E875" s="50">
        <v>0.5</v>
      </c>
      <c r="F875" s="49" t="s">
        <v>13</v>
      </c>
      <c r="G875" s="70" t="s">
        <v>103</v>
      </c>
      <c r="H875" s="51">
        <v>46253.5</v>
      </c>
      <c r="I875" s="113" t="str">
        <f t="shared" si="207"/>
        <v>19-08-2026T12:00:00</v>
      </c>
      <c r="J875" s="51">
        <v>46254.393750000003</v>
      </c>
      <c r="K875" s="51"/>
      <c r="L875" s="52">
        <f t="shared" si="208"/>
        <v>0.89375000000291038</v>
      </c>
      <c r="M875" s="53">
        <v>0.625</v>
      </c>
      <c r="N875" s="54" t="str">
        <f t="shared" si="209"/>
        <v>-06:27:00</v>
      </c>
      <c r="O875" s="55">
        <f>250*7</f>
        <v>1750</v>
      </c>
      <c r="P875" s="147" t="s">
        <v>619</v>
      </c>
      <c r="Q875" s="56"/>
      <c r="R875" s="57"/>
      <c r="S875" s="57"/>
      <c r="T875" s="58">
        <f t="shared" si="210"/>
        <v>0</v>
      </c>
      <c r="U875" s="50"/>
      <c r="V875" s="74">
        <v>0</v>
      </c>
      <c r="W875" s="50">
        <f t="shared" si="211"/>
        <v>0</v>
      </c>
      <c r="X875" s="171">
        <v>46253.5</v>
      </c>
      <c r="Y875" s="171">
        <v>46254.393750000003</v>
      </c>
      <c r="Z875" s="168">
        <f t="shared" si="202"/>
        <v>0.89375000000291038</v>
      </c>
      <c r="AA875" s="169">
        <f t="shared" si="203"/>
        <v>0.625</v>
      </c>
      <c r="AB875" s="170" t="str">
        <f t="shared" si="204"/>
        <v>-06:27:00</v>
      </c>
      <c r="AC875" s="170" t="b">
        <f t="shared" si="205"/>
        <v>1</v>
      </c>
    </row>
    <row r="876" spans="1:29" s="128" customFormat="1" ht="9.75" hidden="1" customHeight="1" x14ac:dyDescent="0.3">
      <c r="A876" s="99">
        <v>46253</v>
      </c>
      <c r="B876" s="59">
        <v>8183955</v>
      </c>
      <c r="C876" s="60" t="s">
        <v>20</v>
      </c>
      <c r="D876" s="60" t="s">
        <v>232</v>
      </c>
      <c r="E876" s="61">
        <v>0.5</v>
      </c>
      <c r="F876" s="60" t="s">
        <v>13</v>
      </c>
      <c r="G876" s="71" t="s">
        <v>21</v>
      </c>
      <c r="H876" s="62">
        <v>0.50069444444444444</v>
      </c>
      <c r="I876" s="113" t="str">
        <f t="shared" si="207"/>
        <v>19-08-2026T12:01:00</v>
      </c>
      <c r="J876" s="62">
        <v>0.75</v>
      </c>
      <c r="K876" s="62"/>
      <c r="L876" s="63">
        <f t="shared" si="208"/>
        <v>0.24930555555555556</v>
      </c>
      <c r="M876" s="64">
        <v>0.25</v>
      </c>
      <c r="N876" s="65" t="str">
        <f t="shared" si="209"/>
        <v>00:01:00</v>
      </c>
      <c r="O876" s="66"/>
      <c r="P876" s="124"/>
      <c r="Q876" s="67"/>
      <c r="R876" s="68"/>
      <c r="S876" s="68"/>
      <c r="T876" s="69">
        <f t="shared" si="210"/>
        <v>0</v>
      </c>
      <c r="U876" s="61" t="s">
        <v>234</v>
      </c>
      <c r="V876" s="83">
        <v>0</v>
      </c>
      <c r="W876" s="61">
        <f t="shared" si="211"/>
        <v>0</v>
      </c>
      <c r="X876" s="171">
        <v>46253.500694444447</v>
      </c>
      <c r="Y876" s="171">
        <v>46253.75</v>
      </c>
      <c r="Z876" s="168">
        <f t="shared" si="202"/>
        <v>0.24930555555329192</v>
      </c>
      <c r="AA876" s="169">
        <f t="shared" si="203"/>
        <v>0.25</v>
      </c>
      <c r="AB876" s="170" t="str">
        <f t="shared" si="204"/>
        <v>00:01:00</v>
      </c>
      <c r="AC876" s="170" t="b">
        <f t="shared" si="205"/>
        <v>1</v>
      </c>
    </row>
    <row r="877" spans="1:29" s="127" customFormat="1" ht="9.75" hidden="1" customHeight="1" x14ac:dyDescent="0.3">
      <c r="A877" s="98">
        <v>46253</v>
      </c>
      <c r="B877" s="48">
        <v>8183704</v>
      </c>
      <c r="C877" s="49" t="s">
        <v>56</v>
      </c>
      <c r="D877" s="49" t="s">
        <v>472</v>
      </c>
      <c r="E877" s="50">
        <v>0.54166666666666663</v>
      </c>
      <c r="F877" s="49" t="s">
        <v>13</v>
      </c>
      <c r="G877" s="70" t="s">
        <v>15</v>
      </c>
      <c r="H877" s="51">
        <v>0.41111111111111109</v>
      </c>
      <c r="I877" s="113" t="str">
        <f t="shared" si="207"/>
        <v>19-08-2026T09:52:00</v>
      </c>
      <c r="J877" s="51">
        <v>0.72152777777777777</v>
      </c>
      <c r="K877" s="51"/>
      <c r="L877" s="52">
        <f t="shared" si="208"/>
        <v>0.31041666666666667</v>
      </c>
      <c r="M877" s="53">
        <v>0.20833333333333334</v>
      </c>
      <c r="N877" s="54" t="str">
        <f t="shared" si="209"/>
        <v>-02:27:00</v>
      </c>
      <c r="O877" s="55">
        <v>750</v>
      </c>
      <c r="P877" s="147" t="s">
        <v>598</v>
      </c>
      <c r="Q877" s="56"/>
      <c r="R877" s="57"/>
      <c r="S877" s="57"/>
      <c r="T877" s="58">
        <f t="shared" si="210"/>
        <v>0</v>
      </c>
      <c r="U877" s="50"/>
      <c r="V877" s="74">
        <v>0</v>
      </c>
      <c r="W877" s="50">
        <f t="shared" si="211"/>
        <v>0</v>
      </c>
      <c r="X877" s="171">
        <v>46253.411111111112</v>
      </c>
      <c r="Y877" s="171">
        <v>46253.72152777778</v>
      </c>
      <c r="Z877" s="168">
        <f t="shared" si="202"/>
        <v>0.31041666666715173</v>
      </c>
      <c r="AA877" s="169">
        <f t="shared" si="203"/>
        <v>0.20833333333333334</v>
      </c>
      <c r="AB877" s="170" t="str">
        <f t="shared" si="204"/>
        <v>-02:27:00</v>
      </c>
      <c r="AC877" s="170" t="b">
        <f t="shared" si="205"/>
        <v>1</v>
      </c>
    </row>
    <row r="878" spans="1:29" s="128" customFormat="1" ht="9.75" hidden="1" customHeight="1" x14ac:dyDescent="0.3">
      <c r="A878" s="99">
        <v>46253</v>
      </c>
      <c r="B878" s="59">
        <v>8184335</v>
      </c>
      <c r="C878" s="60" t="s">
        <v>53</v>
      </c>
      <c r="D878" s="60" t="s">
        <v>298</v>
      </c>
      <c r="E878" s="61">
        <v>0.64583333333333337</v>
      </c>
      <c r="F878" s="60" t="s">
        <v>19</v>
      </c>
      <c r="G878" s="71" t="s">
        <v>13</v>
      </c>
      <c r="H878" s="62">
        <v>46253.643750000003</v>
      </c>
      <c r="I878" s="113" t="str">
        <f t="shared" si="207"/>
        <v>19-08-2026T15:27:00</v>
      </c>
      <c r="J878" s="62">
        <v>46254.047222222223</v>
      </c>
      <c r="K878" s="62"/>
      <c r="L878" s="63">
        <f t="shared" si="208"/>
        <v>0.40347222222044365</v>
      </c>
      <c r="M878" s="64">
        <v>0.4375</v>
      </c>
      <c r="N878" s="65" t="str">
        <f t="shared" si="209"/>
        <v>00:49:00</v>
      </c>
      <c r="O878" s="66"/>
      <c r="P878" s="124"/>
      <c r="Q878" s="67" t="s">
        <v>229</v>
      </c>
      <c r="R878" s="68">
        <v>0.75</v>
      </c>
      <c r="S878" s="68">
        <v>0.8125</v>
      </c>
      <c r="T878" s="69">
        <f t="shared" si="210"/>
        <v>6.25E-2</v>
      </c>
      <c r="U878" s="61"/>
      <c r="V878" s="83">
        <v>8.3333333333333329E-2</v>
      </c>
      <c r="W878" s="61">
        <f t="shared" si="211"/>
        <v>-2.0833333333333329E-2</v>
      </c>
      <c r="X878" s="171">
        <v>46253.643750000003</v>
      </c>
      <c r="Y878" s="171">
        <v>46254.047222222223</v>
      </c>
      <c r="Z878" s="168">
        <f t="shared" si="202"/>
        <v>0.40347222222044365</v>
      </c>
      <c r="AA878" s="169">
        <f t="shared" si="203"/>
        <v>0.4375</v>
      </c>
      <c r="AB878" s="170" t="str">
        <f t="shared" si="204"/>
        <v>00:49:00</v>
      </c>
      <c r="AC878" s="170" t="b">
        <f t="shared" si="205"/>
        <v>1</v>
      </c>
    </row>
    <row r="879" spans="1:29" s="128" customFormat="1" ht="9.75" hidden="1" customHeight="1" x14ac:dyDescent="0.3">
      <c r="A879" s="99">
        <v>46253</v>
      </c>
      <c r="B879" s="59">
        <v>8185333</v>
      </c>
      <c r="C879" s="60" t="s">
        <v>57</v>
      </c>
      <c r="D879" s="60" t="s">
        <v>288</v>
      </c>
      <c r="E879" s="61">
        <v>0.70833333333333337</v>
      </c>
      <c r="F879" s="60" t="s">
        <v>13</v>
      </c>
      <c r="G879" s="71" t="s">
        <v>24</v>
      </c>
      <c r="H879" s="62">
        <v>46253.975694444445</v>
      </c>
      <c r="I879" s="113" t="str">
        <f t="shared" si="207"/>
        <v>19-08-2026T23:25:00</v>
      </c>
      <c r="J879" s="62">
        <v>46254.047222222223</v>
      </c>
      <c r="K879" s="62"/>
      <c r="L879" s="63">
        <f t="shared" si="208"/>
        <v>7.1527777778101154E-2</v>
      </c>
      <c r="M879" s="64">
        <v>8.3333333333333329E-2</v>
      </c>
      <c r="N879" s="65" t="str">
        <f t="shared" si="209"/>
        <v>00:17:00</v>
      </c>
      <c r="O879" s="66"/>
      <c r="P879" s="124"/>
      <c r="Q879" s="67"/>
      <c r="R879" s="68"/>
      <c r="S879" s="68"/>
      <c r="T879" s="69">
        <f t="shared" si="210"/>
        <v>0</v>
      </c>
      <c r="U879" s="61" t="s">
        <v>234</v>
      </c>
      <c r="V879" s="83">
        <v>0</v>
      </c>
      <c r="W879" s="61">
        <f t="shared" si="211"/>
        <v>0</v>
      </c>
      <c r="X879" s="171">
        <v>46253.975694444445</v>
      </c>
      <c r="Y879" s="171">
        <v>46254.047222222223</v>
      </c>
      <c r="Z879" s="168">
        <f t="shared" si="202"/>
        <v>7.1527777778101154E-2</v>
      </c>
      <c r="AA879" s="169">
        <f t="shared" si="203"/>
        <v>8.3333333333333329E-2</v>
      </c>
      <c r="AB879" s="170" t="str">
        <f t="shared" si="204"/>
        <v>00:17:00</v>
      </c>
      <c r="AC879" s="170" t="b">
        <f t="shared" si="205"/>
        <v>1</v>
      </c>
    </row>
    <row r="880" spans="1:29" s="128" customFormat="1" ht="9.75" hidden="1" customHeight="1" x14ac:dyDescent="0.3">
      <c r="A880" s="99">
        <v>46253</v>
      </c>
      <c r="B880" s="59">
        <v>8184552</v>
      </c>
      <c r="C880" s="60" t="s">
        <v>41</v>
      </c>
      <c r="D880" s="60" t="s">
        <v>299</v>
      </c>
      <c r="E880" s="61">
        <v>0.70833333333333337</v>
      </c>
      <c r="F880" s="60" t="s">
        <v>13</v>
      </c>
      <c r="G880" s="71" t="s">
        <v>24</v>
      </c>
      <c r="H880" s="62">
        <v>0.71319444444444446</v>
      </c>
      <c r="I880" s="113" t="str">
        <f t="shared" si="207"/>
        <v>19-08-2026T17:07:00</v>
      </c>
      <c r="J880" s="62">
        <v>0.78819444444444442</v>
      </c>
      <c r="K880" s="62"/>
      <c r="L880" s="63">
        <f t="shared" si="208"/>
        <v>7.4999999999999956E-2</v>
      </c>
      <c r="M880" s="64">
        <v>8.3333333333333329E-2</v>
      </c>
      <c r="N880" s="65" t="str">
        <f t="shared" si="209"/>
        <v>00:12:00</v>
      </c>
      <c r="O880" s="66"/>
      <c r="P880" s="124"/>
      <c r="Q880" s="67"/>
      <c r="R880" s="68"/>
      <c r="S880" s="68"/>
      <c r="T880" s="69">
        <f t="shared" si="210"/>
        <v>0</v>
      </c>
      <c r="U880" s="61"/>
      <c r="V880" s="83">
        <v>0</v>
      </c>
      <c r="W880" s="61">
        <f t="shared" si="211"/>
        <v>0</v>
      </c>
      <c r="X880" s="171">
        <v>46253.713194444441</v>
      </c>
      <c r="Y880" s="171">
        <v>46253.788194444445</v>
      </c>
      <c r="Z880" s="168">
        <f t="shared" si="202"/>
        <v>7.5000000004365575E-2</v>
      </c>
      <c r="AA880" s="169">
        <f t="shared" si="203"/>
        <v>8.3333333333333329E-2</v>
      </c>
      <c r="AB880" s="170" t="str">
        <f t="shared" si="204"/>
        <v>00:12:00</v>
      </c>
      <c r="AC880" s="170" t="b">
        <f t="shared" si="205"/>
        <v>1</v>
      </c>
    </row>
    <row r="881" spans="1:29" s="128" customFormat="1" ht="9.75" hidden="1" customHeight="1" x14ac:dyDescent="0.3">
      <c r="A881" s="99">
        <v>46253</v>
      </c>
      <c r="B881" s="59">
        <v>8184569</v>
      </c>
      <c r="C881" s="60" t="s">
        <v>87</v>
      </c>
      <c r="D881" s="60" t="s">
        <v>367</v>
      </c>
      <c r="E881" s="61">
        <v>0.70833333333333337</v>
      </c>
      <c r="F881" s="60" t="s">
        <v>85</v>
      </c>
      <c r="G881" s="71" t="s">
        <v>13</v>
      </c>
      <c r="H881" s="62">
        <v>46253.720138888886</v>
      </c>
      <c r="I881" s="113" t="str">
        <f t="shared" si="207"/>
        <v>19-08-2026T17:17:00</v>
      </c>
      <c r="J881" s="62">
        <v>46254.034722222219</v>
      </c>
      <c r="K881" s="62"/>
      <c r="L881" s="63">
        <f t="shared" si="208"/>
        <v>0.31458333333284827</v>
      </c>
      <c r="M881" s="64">
        <v>0.33333333333333331</v>
      </c>
      <c r="N881" s="65" t="str">
        <f t="shared" si="209"/>
        <v>00:27:00</v>
      </c>
      <c r="O881" s="66"/>
      <c r="P881" s="124"/>
      <c r="Q881" s="67" t="s">
        <v>174</v>
      </c>
      <c r="R881" s="68">
        <v>0.78125</v>
      </c>
      <c r="S881" s="68">
        <v>0.79374999999999996</v>
      </c>
      <c r="T881" s="69">
        <f t="shared" si="210"/>
        <v>1.2499999999999956E-2</v>
      </c>
      <c r="U881" s="61"/>
      <c r="V881" s="83">
        <v>4.1666666666666664E-2</v>
      </c>
      <c r="W881" s="61">
        <f t="shared" si="211"/>
        <v>-2.9166666666666709E-2</v>
      </c>
      <c r="X881" s="171">
        <v>46253.720138888886</v>
      </c>
      <c r="Y881" s="171">
        <v>46254.034722222219</v>
      </c>
      <c r="Z881" s="168">
        <f t="shared" si="202"/>
        <v>0.31458333333284827</v>
      </c>
      <c r="AA881" s="169">
        <f t="shared" si="203"/>
        <v>0.33333333333333331</v>
      </c>
      <c r="AB881" s="170" t="str">
        <f t="shared" si="204"/>
        <v>00:27:00</v>
      </c>
      <c r="AC881" s="170" t="b">
        <f t="shared" si="205"/>
        <v>1</v>
      </c>
    </row>
    <row r="882" spans="1:29" s="128" customFormat="1" ht="9.75" hidden="1" customHeight="1" x14ac:dyDescent="0.3">
      <c r="A882" s="99">
        <v>46253</v>
      </c>
      <c r="B882" s="59">
        <v>8184478</v>
      </c>
      <c r="C882" s="60" t="s">
        <v>102</v>
      </c>
      <c r="D882" s="60" t="s">
        <v>384</v>
      </c>
      <c r="E882" s="61">
        <v>0.70833333333333337</v>
      </c>
      <c r="F882" s="60" t="s">
        <v>13</v>
      </c>
      <c r="G882" s="71" t="s">
        <v>23</v>
      </c>
      <c r="H882" s="62">
        <v>46253.689583333333</v>
      </c>
      <c r="I882" s="113" t="str">
        <f t="shared" si="207"/>
        <v>19-08-2026T16:33:00</v>
      </c>
      <c r="J882" s="62">
        <v>46254.77847222222</v>
      </c>
      <c r="K882" s="62"/>
      <c r="L882" s="63">
        <f t="shared" si="208"/>
        <v>1.0888888888875954</v>
      </c>
      <c r="M882" s="64">
        <v>1</v>
      </c>
      <c r="N882" s="65" t="str">
        <f t="shared" si="209"/>
        <v>-02:08:00</v>
      </c>
      <c r="O882" s="66"/>
      <c r="P882" s="124" t="s">
        <v>569</v>
      </c>
      <c r="Q882" s="67"/>
      <c r="R882" s="68"/>
      <c r="S882" s="68"/>
      <c r="T882" s="69">
        <f t="shared" si="210"/>
        <v>0</v>
      </c>
      <c r="U882" s="61"/>
      <c r="V882" s="83">
        <v>0</v>
      </c>
      <c r="W882" s="61">
        <f t="shared" si="211"/>
        <v>0</v>
      </c>
      <c r="X882" s="172">
        <v>46253.689583333333</v>
      </c>
      <c r="Y882" s="172">
        <v>46254.77847222222</v>
      </c>
      <c r="Z882" s="173">
        <f t="shared" si="202"/>
        <v>1.0888888888875954</v>
      </c>
      <c r="AA882" s="174">
        <f t="shared" si="203"/>
        <v>1</v>
      </c>
      <c r="AB882" s="175" t="str">
        <f t="shared" si="204"/>
        <v>-02:08:00</v>
      </c>
      <c r="AC882" s="175" t="b">
        <f t="shared" si="205"/>
        <v>1</v>
      </c>
    </row>
    <row r="883" spans="1:29" s="128" customFormat="1" ht="9.75" hidden="1" customHeight="1" x14ac:dyDescent="0.3">
      <c r="A883" s="99">
        <v>46253</v>
      </c>
      <c r="B883" s="59">
        <v>8184559</v>
      </c>
      <c r="C883" s="60" t="s">
        <v>27</v>
      </c>
      <c r="D883" s="60" t="s">
        <v>378</v>
      </c>
      <c r="E883" s="61">
        <v>0.70833333333333337</v>
      </c>
      <c r="F883" s="60" t="s">
        <v>28</v>
      </c>
      <c r="G883" s="71" t="s">
        <v>13</v>
      </c>
      <c r="H883" s="62">
        <v>0.71597222222222223</v>
      </c>
      <c r="I883" s="113" t="str">
        <f t="shared" si="207"/>
        <v>19-08-2026T17:11:00</v>
      </c>
      <c r="J883" s="62">
        <v>0.88124999999999998</v>
      </c>
      <c r="K883" s="62"/>
      <c r="L883" s="63">
        <f t="shared" si="208"/>
        <v>0.16527777777777775</v>
      </c>
      <c r="M883" s="64">
        <v>0.16666666666666666</v>
      </c>
      <c r="N883" s="65" t="str">
        <f t="shared" si="209"/>
        <v>00:02:00</v>
      </c>
      <c r="O883" s="66"/>
      <c r="P883" s="124"/>
      <c r="Q883" s="67"/>
      <c r="R883" s="68"/>
      <c r="S883" s="68"/>
      <c r="T883" s="69">
        <f t="shared" si="210"/>
        <v>0</v>
      </c>
      <c r="U883" s="61"/>
      <c r="V883" s="83">
        <v>0</v>
      </c>
      <c r="W883" s="61">
        <f t="shared" si="211"/>
        <v>0</v>
      </c>
      <c r="X883" s="171">
        <v>46253.71597222222</v>
      </c>
      <c r="Y883" s="171">
        <v>46253.881249999999</v>
      </c>
      <c r="Z883" s="168">
        <f t="shared" si="202"/>
        <v>0.16527777777810115</v>
      </c>
      <c r="AA883" s="169">
        <f t="shared" si="203"/>
        <v>0.16666666666666666</v>
      </c>
      <c r="AB883" s="170" t="str">
        <f t="shared" si="204"/>
        <v>00:02:00</v>
      </c>
      <c r="AC883" s="170" t="b">
        <f t="shared" si="205"/>
        <v>1</v>
      </c>
    </row>
    <row r="884" spans="1:29" s="128" customFormat="1" ht="9.75" hidden="1" customHeight="1" x14ac:dyDescent="0.3">
      <c r="A884" s="99">
        <v>46253</v>
      </c>
      <c r="B884" s="59">
        <v>8184594</v>
      </c>
      <c r="C884" s="60" t="s">
        <v>89</v>
      </c>
      <c r="D884" s="60" t="s">
        <v>294</v>
      </c>
      <c r="E884" s="61">
        <v>0.75</v>
      </c>
      <c r="F884" s="60" t="s">
        <v>35</v>
      </c>
      <c r="G884" s="71" t="s">
        <v>13</v>
      </c>
      <c r="H884" s="62">
        <v>0.73263888888888884</v>
      </c>
      <c r="I884" s="113" t="str">
        <f t="shared" si="207"/>
        <v>19-08-2026T17:35:00</v>
      </c>
      <c r="J884" s="62">
        <v>0.76180555555555551</v>
      </c>
      <c r="K884" s="62"/>
      <c r="L884" s="63">
        <f t="shared" si="208"/>
        <v>2.9166666666666674E-2</v>
      </c>
      <c r="M884" s="64">
        <v>4.1666666666666664E-2</v>
      </c>
      <c r="N884" s="65" t="str">
        <f t="shared" si="209"/>
        <v>00:18:00</v>
      </c>
      <c r="O884" s="66"/>
      <c r="P884" s="124"/>
      <c r="Q884" s="67"/>
      <c r="R884" s="68"/>
      <c r="S884" s="68"/>
      <c r="T884" s="69">
        <f t="shared" si="210"/>
        <v>0</v>
      </c>
      <c r="U884" s="61"/>
      <c r="V884" s="83">
        <v>0</v>
      </c>
      <c r="W884" s="61">
        <f t="shared" si="211"/>
        <v>0</v>
      </c>
      <c r="X884" s="171">
        <v>46253.732638888891</v>
      </c>
      <c r="Y884" s="171">
        <v>46253.761805555558</v>
      </c>
      <c r="Z884" s="168">
        <f t="shared" si="202"/>
        <v>2.9166666667151731E-2</v>
      </c>
      <c r="AA884" s="169">
        <f t="shared" si="203"/>
        <v>4.1666666666666664E-2</v>
      </c>
      <c r="AB884" s="170" t="str">
        <f t="shared" si="204"/>
        <v>00:18:00</v>
      </c>
      <c r="AC884" s="170" t="b">
        <f t="shared" si="205"/>
        <v>1</v>
      </c>
    </row>
    <row r="885" spans="1:29" s="128" customFormat="1" ht="9.75" hidden="1" customHeight="1" x14ac:dyDescent="0.3">
      <c r="A885" s="99">
        <v>46253</v>
      </c>
      <c r="B885" s="59">
        <v>8184768</v>
      </c>
      <c r="C885" s="60" t="s">
        <v>32</v>
      </c>
      <c r="D885" s="60" t="s">
        <v>476</v>
      </c>
      <c r="E885" s="61">
        <v>0.83333333333333337</v>
      </c>
      <c r="F885" s="60" t="s">
        <v>287</v>
      </c>
      <c r="G885" s="71" t="s">
        <v>13</v>
      </c>
      <c r="H885" s="62">
        <v>0.78819444444444442</v>
      </c>
      <c r="I885" s="113" t="str">
        <f t="shared" si="207"/>
        <v>19-08-2026T18:55:00</v>
      </c>
      <c r="J885" s="62">
        <v>0.92361111111111116</v>
      </c>
      <c r="K885" s="62"/>
      <c r="L885" s="63">
        <f t="shared" si="208"/>
        <v>0.13541666666666674</v>
      </c>
      <c r="M885" s="64">
        <v>0.14583333333333334</v>
      </c>
      <c r="N885" s="65" t="str">
        <f t="shared" si="209"/>
        <v>00:15:00</v>
      </c>
      <c r="O885" s="66"/>
      <c r="P885" s="124"/>
      <c r="Q885" s="67"/>
      <c r="R885" s="68"/>
      <c r="S885" s="68"/>
      <c r="T885" s="69">
        <f t="shared" si="210"/>
        <v>0</v>
      </c>
      <c r="U885" s="61"/>
      <c r="V885" s="83">
        <v>0</v>
      </c>
      <c r="W885" s="61">
        <f t="shared" si="211"/>
        <v>0</v>
      </c>
      <c r="X885" s="171">
        <v>46253.788194444445</v>
      </c>
      <c r="Y885" s="171">
        <v>46253.923611111109</v>
      </c>
      <c r="Z885" s="168">
        <f t="shared" si="202"/>
        <v>0.13541666666424135</v>
      </c>
      <c r="AA885" s="169">
        <f t="shared" si="203"/>
        <v>0.14583333333333334</v>
      </c>
      <c r="AB885" s="170" t="str">
        <f t="shared" si="204"/>
        <v>00:15:00</v>
      </c>
      <c r="AC885" s="170" t="b">
        <f t="shared" si="205"/>
        <v>1</v>
      </c>
    </row>
    <row r="886" spans="1:29" s="128" customFormat="1" ht="9.75" hidden="1" customHeight="1" x14ac:dyDescent="0.3">
      <c r="A886" s="99">
        <v>46253</v>
      </c>
      <c r="B886" s="59">
        <v>8185040</v>
      </c>
      <c r="C886" s="60" t="s">
        <v>52</v>
      </c>
      <c r="D886" s="60" t="s">
        <v>616</v>
      </c>
      <c r="E886" s="61">
        <v>0.875</v>
      </c>
      <c r="F886" s="60" t="s">
        <v>13</v>
      </c>
      <c r="G886" s="71" t="s">
        <v>15</v>
      </c>
      <c r="H886" s="62">
        <v>46253.868750000001</v>
      </c>
      <c r="I886" s="113" t="str">
        <f t="shared" si="207"/>
        <v>19-08-2026T20:51:00</v>
      </c>
      <c r="J886" s="62">
        <v>46254.072916666664</v>
      </c>
      <c r="K886" s="62"/>
      <c r="L886" s="63">
        <f t="shared" si="208"/>
        <v>0.20416666666278616</v>
      </c>
      <c r="M886" s="64">
        <v>0.20833333333333334</v>
      </c>
      <c r="N886" s="65" t="str">
        <f t="shared" si="209"/>
        <v>00:06:00</v>
      </c>
      <c r="O886" s="66"/>
      <c r="P886" s="124"/>
      <c r="Q886" s="67"/>
      <c r="R886" s="68"/>
      <c r="S886" s="68"/>
      <c r="T886" s="69">
        <f t="shared" si="210"/>
        <v>0</v>
      </c>
      <c r="U886" s="61" t="s">
        <v>234</v>
      </c>
      <c r="V886" s="83">
        <v>0</v>
      </c>
      <c r="W886" s="61">
        <f t="shared" si="211"/>
        <v>0</v>
      </c>
      <c r="X886" s="171">
        <v>46253.868750000001</v>
      </c>
      <c r="Y886" s="171">
        <v>46254.072916666664</v>
      </c>
      <c r="Z886" s="168">
        <f t="shared" si="202"/>
        <v>0.20416666666278616</v>
      </c>
      <c r="AA886" s="169">
        <f t="shared" si="203"/>
        <v>0.20833333333333334</v>
      </c>
      <c r="AB886" s="170" t="str">
        <f t="shared" si="204"/>
        <v>00:06:00</v>
      </c>
      <c r="AC886" s="170" t="b">
        <f t="shared" si="205"/>
        <v>1</v>
      </c>
    </row>
    <row r="887" spans="1:29" s="128" customFormat="1" ht="9.75" hidden="1" customHeight="1" x14ac:dyDescent="0.3">
      <c r="A887" s="99">
        <v>46253</v>
      </c>
      <c r="B887" s="59">
        <v>8185218</v>
      </c>
      <c r="C887" s="60" t="s">
        <v>42</v>
      </c>
      <c r="D887" s="60" t="s">
        <v>181</v>
      </c>
      <c r="E887" s="61">
        <v>0.875</v>
      </c>
      <c r="F887" s="60" t="s">
        <v>55</v>
      </c>
      <c r="G887" s="71" t="s">
        <v>13</v>
      </c>
      <c r="H887" s="62">
        <v>0.92152777777777772</v>
      </c>
      <c r="I887" s="113" t="str">
        <f t="shared" si="207"/>
        <v>19-08-2026T22:07:00</v>
      </c>
      <c r="J887" s="62">
        <v>0.96805555555555556</v>
      </c>
      <c r="K887" s="62"/>
      <c r="L887" s="63">
        <f t="shared" si="208"/>
        <v>4.6527777777777835E-2</v>
      </c>
      <c r="M887" s="64">
        <v>6.25E-2</v>
      </c>
      <c r="N887" s="65" t="str">
        <f t="shared" si="209"/>
        <v>00:23:00</v>
      </c>
      <c r="O887" s="66"/>
      <c r="P887" s="124"/>
      <c r="Q887" s="67"/>
      <c r="R887" s="68"/>
      <c r="S887" s="68"/>
      <c r="T887" s="69">
        <f t="shared" si="210"/>
        <v>0</v>
      </c>
      <c r="U887" s="61"/>
      <c r="V887" s="83">
        <v>0</v>
      </c>
      <c r="W887" s="61">
        <f t="shared" si="211"/>
        <v>0</v>
      </c>
      <c r="X887" s="171">
        <v>46253.921527777777</v>
      </c>
      <c r="Y887" s="171">
        <v>46253.968055555553</v>
      </c>
      <c r="Z887" s="168">
        <f t="shared" si="202"/>
        <v>4.6527777776645962E-2</v>
      </c>
      <c r="AA887" s="169">
        <f t="shared" si="203"/>
        <v>6.25E-2</v>
      </c>
      <c r="AB887" s="170" t="str">
        <f t="shared" si="204"/>
        <v>00:23:00</v>
      </c>
      <c r="AC887" s="170" t="b">
        <f t="shared" si="205"/>
        <v>1</v>
      </c>
    </row>
    <row r="888" spans="1:29" s="128" customFormat="1" ht="9.75" hidden="1" customHeight="1" x14ac:dyDescent="0.3">
      <c r="A888" s="99">
        <v>46253</v>
      </c>
      <c r="B888" s="59">
        <v>8184995</v>
      </c>
      <c r="C888" s="60" t="s">
        <v>54</v>
      </c>
      <c r="D888" s="60" t="s">
        <v>288</v>
      </c>
      <c r="E888" s="61">
        <v>0.875</v>
      </c>
      <c r="F888" s="60" t="s">
        <v>24</v>
      </c>
      <c r="G888" s="71" t="s">
        <v>13</v>
      </c>
      <c r="H888" s="62">
        <v>0.85972222222222228</v>
      </c>
      <c r="I888" s="113" t="str">
        <f t="shared" si="207"/>
        <v>19-08-2026T20:38:00</v>
      </c>
      <c r="J888" s="62">
        <v>0.93125000000000002</v>
      </c>
      <c r="K888" s="62"/>
      <c r="L888" s="63">
        <f t="shared" si="208"/>
        <v>7.1527777777777746E-2</v>
      </c>
      <c r="M888" s="64">
        <v>8.3333333333333329E-2</v>
      </c>
      <c r="N888" s="65" t="str">
        <f t="shared" si="209"/>
        <v>00:17:00</v>
      </c>
      <c r="O888" s="66"/>
      <c r="P888" s="124"/>
      <c r="Q888" s="67"/>
      <c r="R888" s="68"/>
      <c r="S888" s="68"/>
      <c r="T888" s="69">
        <f t="shared" si="210"/>
        <v>0</v>
      </c>
      <c r="U888" s="61"/>
      <c r="V888" s="83">
        <v>0</v>
      </c>
      <c r="W888" s="61">
        <f t="shared" si="211"/>
        <v>0</v>
      </c>
      <c r="X888" s="171">
        <v>46253.859722222223</v>
      </c>
      <c r="Y888" s="171">
        <v>46253.931250000001</v>
      </c>
      <c r="Z888" s="168">
        <f t="shared" si="202"/>
        <v>7.1527777778101154E-2</v>
      </c>
      <c r="AA888" s="169">
        <f t="shared" si="203"/>
        <v>8.3333333333333329E-2</v>
      </c>
      <c r="AB888" s="170" t="str">
        <f t="shared" si="204"/>
        <v>00:17:00</v>
      </c>
      <c r="AC888" s="170" t="b">
        <f t="shared" si="205"/>
        <v>1</v>
      </c>
    </row>
    <row r="889" spans="1:29" s="128" customFormat="1" ht="9.75" hidden="1" customHeight="1" x14ac:dyDescent="0.3">
      <c r="A889" s="99">
        <v>46253</v>
      </c>
      <c r="B889" s="59">
        <v>8185282</v>
      </c>
      <c r="C889" s="60" t="s">
        <v>100</v>
      </c>
      <c r="D889" s="60" t="s">
        <v>391</v>
      </c>
      <c r="E889" s="61">
        <v>0.95833333333333337</v>
      </c>
      <c r="F889" s="60" t="s">
        <v>173</v>
      </c>
      <c r="G889" s="71" t="s">
        <v>13</v>
      </c>
      <c r="H889" s="62">
        <v>46253.951388888891</v>
      </c>
      <c r="I889" s="113" t="str">
        <f t="shared" si="207"/>
        <v>19-08-2026T22:50:00</v>
      </c>
      <c r="J889" s="62">
        <v>46255.824999999997</v>
      </c>
      <c r="K889" s="62"/>
      <c r="L889" s="63">
        <f t="shared" ref="L889:L910" si="212">J889-H889</f>
        <v>1.8736111111065838</v>
      </c>
      <c r="M889" s="64">
        <v>1.9166666666666667</v>
      </c>
      <c r="N889" s="65" t="str">
        <f t="shared" ref="N889:N910" si="213">IF(M889-L889&gt;0,TEXT(M889-L889,"HH:MM:SS"),TEXT(ABS(M889-L889),"-HH:MM:SS"))</f>
        <v>01:02:00</v>
      </c>
      <c r="O889" s="66"/>
      <c r="P889" s="124"/>
      <c r="Q889" s="67" t="s">
        <v>96</v>
      </c>
      <c r="R889" s="68">
        <v>46254.078472222223</v>
      </c>
      <c r="S889" s="68">
        <v>46254.121527777781</v>
      </c>
      <c r="T889" s="69">
        <f t="shared" ref="T889:T910" si="214">S889-R889</f>
        <v>4.3055555557657499E-2</v>
      </c>
      <c r="U889" s="61"/>
      <c r="V889" s="83">
        <v>8.3333333333333329E-2</v>
      </c>
      <c r="W889" s="61">
        <f t="shared" ref="W889:W910" si="215">T889-V889</f>
        <v>-4.027777777567583E-2</v>
      </c>
      <c r="X889" s="171">
        <v>46253.951388888891</v>
      </c>
      <c r="Y889" s="171">
        <v>46255.824999999997</v>
      </c>
      <c r="Z889" s="168">
        <f t="shared" si="202"/>
        <v>1.8736111111065838</v>
      </c>
      <c r="AA889" s="169">
        <f t="shared" si="203"/>
        <v>1.9166666666666667</v>
      </c>
      <c r="AB889" s="170" t="str">
        <f t="shared" si="204"/>
        <v>01:02:00</v>
      </c>
      <c r="AC889" s="170" t="b">
        <f t="shared" si="205"/>
        <v>1</v>
      </c>
    </row>
    <row r="890" spans="1:29" s="128" customFormat="1" ht="9.75" hidden="1" customHeight="1" x14ac:dyDescent="0.3">
      <c r="A890" s="99">
        <v>46253</v>
      </c>
      <c r="B890" s="59">
        <v>8185380</v>
      </c>
      <c r="C890" s="60" t="s">
        <v>56</v>
      </c>
      <c r="D890" s="60" t="s">
        <v>472</v>
      </c>
      <c r="E890" s="61">
        <v>0.99930555555555556</v>
      </c>
      <c r="F890" s="60" t="s">
        <v>15</v>
      </c>
      <c r="G890" s="71" t="s">
        <v>13</v>
      </c>
      <c r="H890" s="62">
        <v>46253.998611111114</v>
      </c>
      <c r="I890" s="113" t="str">
        <f t="shared" si="207"/>
        <v>19-08-2026T23:58:00</v>
      </c>
      <c r="J890" s="62">
        <v>46254.197222222225</v>
      </c>
      <c r="K890" s="62"/>
      <c r="L890" s="63">
        <f t="shared" si="212"/>
        <v>0.19861111111094942</v>
      </c>
      <c r="M890" s="64">
        <v>0.20833333333333334</v>
      </c>
      <c r="N890" s="65" t="str">
        <f t="shared" si="213"/>
        <v>00:14:00</v>
      </c>
      <c r="O890" s="66"/>
      <c r="P890" s="124"/>
      <c r="Q890" s="67"/>
      <c r="R890" s="68"/>
      <c r="S890" s="68"/>
      <c r="T890" s="69">
        <f t="shared" si="214"/>
        <v>0</v>
      </c>
      <c r="U890" s="61"/>
      <c r="V890" s="83">
        <v>0</v>
      </c>
      <c r="W890" s="61">
        <f t="shared" si="215"/>
        <v>0</v>
      </c>
      <c r="X890" s="171">
        <v>46253.998611111114</v>
      </c>
      <c r="Y890" s="171">
        <v>46254.197222222225</v>
      </c>
      <c r="Z890" s="168">
        <f t="shared" si="202"/>
        <v>0.19861111111094942</v>
      </c>
      <c r="AA890" s="169">
        <f t="shared" si="203"/>
        <v>0.20833333333333334</v>
      </c>
      <c r="AB890" s="170" t="str">
        <f t="shared" si="204"/>
        <v>00:14:00</v>
      </c>
      <c r="AC890" s="170" t="b">
        <f t="shared" si="205"/>
        <v>1</v>
      </c>
    </row>
    <row r="891" spans="1:29" s="127" customFormat="1" ht="9.75" customHeight="1" x14ac:dyDescent="0.3">
      <c r="A891" s="98">
        <v>46253</v>
      </c>
      <c r="B891" s="48">
        <v>8182641</v>
      </c>
      <c r="C891" s="49" t="s">
        <v>90</v>
      </c>
      <c r="D891" s="49" t="s">
        <v>290</v>
      </c>
      <c r="E891" s="50">
        <v>0.99930555555555556</v>
      </c>
      <c r="F891" s="49" t="s">
        <v>13</v>
      </c>
      <c r="G891" s="70" t="s">
        <v>15</v>
      </c>
      <c r="H891" s="51">
        <v>1.3888888888888889E-3</v>
      </c>
      <c r="I891" s="113" t="str">
        <f t="shared" si="207"/>
        <v>19-08-2026T00:02:00</v>
      </c>
      <c r="J891" s="51">
        <v>0.28541666666666665</v>
      </c>
      <c r="K891" s="113" t="str">
        <f t="shared" ref="K891:K892" si="216">TEXT(A891,"dd-mm-yyyy")&amp;"T"&amp;TEXT(J891,"hh:mm:ss")</f>
        <v>19-08-2026T06:51:00</v>
      </c>
      <c r="L891" s="52">
        <f t="shared" si="212"/>
        <v>0.28402777777777777</v>
      </c>
      <c r="M891" s="53">
        <v>0.27083333333333331</v>
      </c>
      <c r="N891" s="54" t="str">
        <f t="shared" si="213"/>
        <v>-00:19:00</v>
      </c>
      <c r="O891" s="55">
        <v>200</v>
      </c>
      <c r="P891" s="147" t="s">
        <v>598</v>
      </c>
      <c r="Q891" s="56" t="s">
        <v>13</v>
      </c>
      <c r="R891" s="57">
        <v>2.2222222222222223E-2</v>
      </c>
      <c r="S891" s="57">
        <v>6.25E-2</v>
      </c>
      <c r="T891" s="58">
        <f t="shared" si="214"/>
        <v>4.0277777777777773E-2</v>
      </c>
      <c r="U891" s="50"/>
      <c r="V891" s="74">
        <v>4.1666666666666664E-2</v>
      </c>
      <c r="W891" s="50">
        <f t="shared" si="215"/>
        <v>-1.3888888888888909E-3</v>
      </c>
      <c r="X891" s="171">
        <v>46253.001388888886</v>
      </c>
      <c r="Y891" s="171">
        <v>46253.285416666666</v>
      </c>
      <c r="Z891" s="168">
        <f t="shared" si="202"/>
        <v>0.28402777777955635</v>
      </c>
      <c r="AA891" s="169">
        <f t="shared" si="203"/>
        <v>0.27083333333333331</v>
      </c>
      <c r="AB891" s="170" t="str">
        <f t="shared" si="204"/>
        <v>-00:19:00</v>
      </c>
      <c r="AC891" s="170" t="b">
        <f t="shared" si="205"/>
        <v>1</v>
      </c>
    </row>
    <row r="892" spans="1:29" s="128" customFormat="1" ht="9.75" customHeight="1" x14ac:dyDescent="0.3">
      <c r="A892" s="99">
        <v>46253</v>
      </c>
      <c r="B892" s="59">
        <v>8183740</v>
      </c>
      <c r="C892" s="60" t="s">
        <v>90</v>
      </c>
      <c r="D892" s="60" t="s">
        <v>290</v>
      </c>
      <c r="E892" s="61" t="s">
        <v>405</v>
      </c>
      <c r="F892" s="60" t="s">
        <v>15</v>
      </c>
      <c r="G892" s="71" t="s">
        <v>13</v>
      </c>
      <c r="H892" s="62">
        <v>0.43194444444444446</v>
      </c>
      <c r="I892" s="113" t="str">
        <f t="shared" si="207"/>
        <v>19-08-2026T10:22:00</v>
      </c>
      <c r="J892" s="62">
        <v>0.66736111111111107</v>
      </c>
      <c r="K892" s="113" t="str">
        <f t="shared" si="216"/>
        <v>19-08-2026T16:01:00</v>
      </c>
      <c r="L892" s="63">
        <f t="shared" si="212"/>
        <v>0.23541666666666661</v>
      </c>
      <c r="M892" s="64">
        <v>0.29166666666666669</v>
      </c>
      <c r="N892" s="65" t="str">
        <f t="shared" si="213"/>
        <v>01:21:00</v>
      </c>
      <c r="O892" s="66"/>
      <c r="P892" s="124" t="s">
        <v>184</v>
      </c>
      <c r="Q892" s="67" t="s">
        <v>205</v>
      </c>
      <c r="R892" s="68">
        <v>0.5180555555555556</v>
      </c>
      <c r="S892" s="68">
        <v>0.53125</v>
      </c>
      <c r="T892" s="69">
        <f t="shared" si="214"/>
        <v>1.3194444444444398E-2</v>
      </c>
      <c r="U892" s="61"/>
      <c r="V892" s="83" t="s">
        <v>393</v>
      </c>
      <c r="W892" s="61" t="e">
        <f t="shared" si="215"/>
        <v>#VALUE!</v>
      </c>
      <c r="X892" s="171">
        <v>46253.431944444441</v>
      </c>
      <c r="Y892" s="171">
        <v>46253.667361111111</v>
      </c>
      <c r="Z892" s="168">
        <f t="shared" ref="Z892:Z956" si="217">Y892-X892</f>
        <v>0.23541666667006211</v>
      </c>
      <c r="AA892" s="169">
        <f t="shared" ref="AA892:AA956" si="218">M892</f>
        <v>0.29166666666666669</v>
      </c>
      <c r="AB892" s="170" t="str">
        <f t="shared" ref="AB892:AB956" si="219">IF(AA892-Z892&gt;0,TEXT(AA892-Z892,"HH:MM:SS"),TEXT(ABS(AA892-Z892),"-HH:MM:SS"))</f>
        <v>01:21:00</v>
      </c>
      <c r="AC892" s="170" t="b">
        <f t="shared" ref="AC892:AC956" si="220">AB892=N892</f>
        <v>1</v>
      </c>
    </row>
    <row r="893" spans="1:29" s="127" customFormat="1" ht="9.75" hidden="1" customHeight="1" x14ac:dyDescent="0.3">
      <c r="A893" s="98">
        <v>46253</v>
      </c>
      <c r="B893" s="48">
        <v>8183736</v>
      </c>
      <c r="C893" s="49" t="s">
        <v>30</v>
      </c>
      <c r="D893" s="49" t="s">
        <v>286</v>
      </c>
      <c r="E893" s="50">
        <v>0.41666666666666669</v>
      </c>
      <c r="F893" s="70" t="s">
        <v>31</v>
      </c>
      <c r="G893" s="49" t="s">
        <v>13</v>
      </c>
      <c r="H893" s="51">
        <v>46253.428472222222</v>
      </c>
      <c r="I893" s="113" t="str">
        <f t="shared" si="207"/>
        <v>19-08-2026T10:17:00</v>
      </c>
      <c r="J893" s="51">
        <v>46254.632638888892</v>
      </c>
      <c r="K893" s="51"/>
      <c r="L893" s="52">
        <f t="shared" si="212"/>
        <v>1.2041666666700621</v>
      </c>
      <c r="M893" s="53">
        <v>0.70833333333333337</v>
      </c>
      <c r="N893" s="54" t="str">
        <f t="shared" si="213"/>
        <v>-11:54:00</v>
      </c>
      <c r="O893" s="55">
        <f>200*12</f>
        <v>2400</v>
      </c>
      <c r="P893" s="147" t="s">
        <v>648</v>
      </c>
      <c r="Q893" s="56"/>
      <c r="R893" s="57"/>
      <c r="S893" s="57"/>
      <c r="T893" s="58">
        <f t="shared" si="214"/>
        <v>0</v>
      </c>
      <c r="U893" s="50"/>
      <c r="V893" s="74">
        <v>8.3333333333333329E-2</v>
      </c>
      <c r="W893" s="50">
        <f t="shared" si="215"/>
        <v>-8.3333333333333329E-2</v>
      </c>
      <c r="X893" s="171">
        <v>46253.428472222222</v>
      </c>
      <c r="Y893" s="171">
        <v>46254.632638888892</v>
      </c>
      <c r="Z893" s="168">
        <f t="shared" si="217"/>
        <v>1.2041666666700621</v>
      </c>
      <c r="AA893" s="169">
        <f t="shared" si="218"/>
        <v>0.70833333333333337</v>
      </c>
      <c r="AB893" s="170" t="str">
        <f t="shared" si="219"/>
        <v>-11:54:00</v>
      </c>
      <c r="AC893" s="170" t="b">
        <f t="shared" si="220"/>
        <v>1</v>
      </c>
    </row>
    <row r="894" spans="1:29" s="144" customFormat="1" ht="9.75" hidden="1" customHeight="1" x14ac:dyDescent="0.3">
      <c r="A894" s="129">
        <v>46254</v>
      </c>
      <c r="B894" s="130">
        <v>8185481</v>
      </c>
      <c r="C894" s="131" t="s">
        <v>25</v>
      </c>
      <c r="D894" s="131" t="s">
        <v>477</v>
      </c>
      <c r="E894" s="132">
        <v>6.25E-2</v>
      </c>
      <c r="F894" s="131" t="s">
        <v>13</v>
      </c>
      <c r="G894" s="133" t="s">
        <v>26</v>
      </c>
      <c r="H894" s="134">
        <v>7.7083333333333337E-2</v>
      </c>
      <c r="I894" s="113" t="str">
        <f t="shared" si="207"/>
        <v>20-08-2026T01:51:00</v>
      </c>
      <c r="J894" s="134">
        <v>0.54236111111111107</v>
      </c>
      <c r="K894" s="134"/>
      <c r="L894" s="135">
        <f t="shared" si="212"/>
        <v>0.46527777777777773</v>
      </c>
      <c r="M894" s="136">
        <v>0.41666666666666669</v>
      </c>
      <c r="N894" s="137" t="str">
        <f t="shared" si="213"/>
        <v>-01:10:00</v>
      </c>
      <c r="O894" s="138"/>
      <c r="P894" s="145" t="s">
        <v>125</v>
      </c>
      <c r="Q894" s="140" t="s">
        <v>312</v>
      </c>
      <c r="R894" s="141">
        <v>0.27083333333333331</v>
      </c>
      <c r="S894" s="141">
        <v>0.37638888888888888</v>
      </c>
      <c r="T894" s="142">
        <f t="shared" si="214"/>
        <v>0.10555555555555557</v>
      </c>
      <c r="U894" s="132"/>
      <c r="V894" s="143">
        <v>4.1666666666666664E-2</v>
      </c>
      <c r="W894" s="132">
        <f t="shared" si="215"/>
        <v>6.3888888888888912E-2</v>
      </c>
      <c r="X894" s="171">
        <v>46254.07708333333</v>
      </c>
      <c r="Y894" s="171">
        <v>46254.542361111111</v>
      </c>
      <c r="Z894" s="168">
        <f t="shared" si="217"/>
        <v>0.46527777778101154</v>
      </c>
      <c r="AA894" s="169">
        <f t="shared" si="218"/>
        <v>0.41666666666666669</v>
      </c>
      <c r="AB894" s="170" t="str">
        <f t="shared" si="219"/>
        <v>-01:10:00</v>
      </c>
      <c r="AC894" s="170" t="b">
        <f t="shared" si="220"/>
        <v>1</v>
      </c>
    </row>
    <row r="895" spans="1:29" s="128" customFormat="1" ht="9.75" hidden="1" customHeight="1" x14ac:dyDescent="0.3">
      <c r="A895" s="99">
        <v>46254</v>
      </c>
      <c r="B895" s="59">
        <v>8185515</v>
      </c>
      <c r="C895" s="60" t="s">
        <v>18</v>
      </c>
      <c r="D895" s="60" t="s">
        <v>389</v>
      </c>
      <c r="E895" s="61">
        <v>8.3333333333333329E-2</v>
      </c>
      <c r="F895" s="60" t="s">
        <v>13</v>
      </c>
      <c r="G895" s="71" t="s">
        <v>19</v>
      </c>
      <c r="H895" s="62">
        <v>8.3333333333333329E-2</v>
      </c>
      <c r="I895" s="113" t="str">
        <f t="shared" si="207"/>
        <v>20-08-2026T02:00:00</v>
      </c>
      <c r="J895" s="62">
        <v>0.48472222222222222</v>
      </c>
      <c r="K895" s="62"/>
      <c r="L895" s="63">
        <f t="shared" si="212"/>
        <v>0.40138888888888891</v>
      </c>
      <c r="M895" s="64">
        <v>0.41666666666666669</v>
      </c>
      <c r="N895" s="65" t="str">
        <f t="shared" si="213"/>
        <v>00:22:00</v>
      </c>
      <c r="O895" s="66"/>
      <c r="P895" s="124"/>
      <c r="Q895" s="67" t="s">
        <v>229</v>
      </c>
      <c r="R895" s="68">
        <v>0.35416666666666669</v>
      </c>
      <c r="S895" s="68">
        <v>0.38541666666666669</v>
      </c>
      <c r="T895" s="69">
        <f t="shared" si="214"/>
        <v>3.125E-2</v>
      </c>
      <c r="U895" s="61"/>
      <c r="V895" s="83">
        <v>6.25E-2</v>
      </c>
      <c r="W895" s="61">
        <f t="shared" si="215"/>
        <v>-3.125E-2</v>
      </c>
      <c r="X895" s="171">
        <v>46254.083333333336</v>
      </c>
      <c r="Y895" s="171">
        <v>46254.484722222223</v>
      </c>
      <c r="Z895" s="168">
        <f t="shared" si="217"/>
        <v>0.40138888888759539</v>
      </c>
      <c r="AA895" s="169">
        <f t="shared" si="218"/>
        <v>0.41666666666666669</v>
      </c>
      <c r="AB895" s="170" t="str">
        <f t="shared" si="219"/>
        <v>00:22:00</v>
      </c>
      <c r="AC895" s="170" t="b">
        <f t="shared" si="220"/>
        <v>1</v>
      </c>
    </row>
    <row r="896" spans="1:29" s="128" customFormat="1" ht="9.75" hidden="1" customHeight="1" x14ac:dyDescent="0.3">
      <c r="A896" s="99">
        <v>46254</v>
      </c>
      <c r="B896" s="59">
        <v>8185503</v>
      </c>
      <c r="C896" s="60" t="s">
        <v>29</v>
      </c>
      <c r="D896" s="60" t="s">
        <v>373</v>
      </c>
      <c r="E896" s="61">
        <v>8.3333333333333329E-2</v>
      </c>
      <c r="F896" s="60" t="s">
        <v>15</v>
      </c>
      <c r="G896" s="71" t="s">
        <v>17</v>
      </c>
      <c r="H896" s="62">
        <v>8.2638888888888887E-2</v>
      </c>
      <c r="I896" s="113" t="str">
        <f t="shared" si="207"/>
        <v>20-08-2026T01:59:00</v>
      </c>
      <c r="J896" s="62">
        <v>0.49375000000000002</v>
      </c>
      <c r="K896" s="62"/>
      <c r="L896" s="63">
        <f t="shared" si="212"/>
        <v>0.41111111111111115</v>
      </c>
      <c r="M896" s="64">
        <v>0.41666666666666669</v>
      </c>
      <c r="N896" s="65" t="str">
        <f t="shared" si="213"/>
        <v>00:08:00</v>
      </c>
      <c r="O896" s="66"/>
      <c r="P896" s="124"/>
      <c r="Q896" s="67"/>
      <c r="R896" s="68"/>
      <c r="S896" s="68"/>
      <c r="T896" s="69">
        <f t="shared" si="214"/>
        <v>0</v>
      </c>
      <c r="U896" s="61" t="s">
        <v>234</v>
      </c>
      <c r="V896" s="83">
        <v>0</v>
      </c>
      <c r="W896" s="61">
        <f t="shared" si="215"/>
        <v>0</v>
      </c>
      <c r="X896" s="171">
        <v>8.2638888888888887E-2</v>
      </c>
      <c r="Y896" s="171">
        <v>0.49375000000000002</v>
      </c>
      <c r="Z896" s="168">
        <f t="shared" si="217"/>
        <v>0.41111111111111115</v>
      </c>
      <c r="AA896" s="169">
        <f t="shared" si="218"/>
        <v>0.41666666666666669</v>
      </c>
      <c r="AB896" s="170" t="str">
        <f t="shared" si="219"/>
        <v>00:08:00</v>
      </c>
      <c r="AC896" s="170" t="b">
        <f t="shared" si="220"/>
        <v>1</v>
      </c>
    </row>
    <row r="897" spans="1:29" s="128" customFormat="1" ht="9.75" hidden="1" customHeight="1" x14ac:dyDescent="0.3">
      <c r="A897" s="99">
        <v>46254</v>
      </c>
      <c r="B897" s="59">
        <v>8185616</v>
      </c>
      <c r="C897" s="60" t="s">
        <v>94</v>
      </c>
      <c r="D897" s="60" t="s">
        <v>293</v>
      </c>
      <c r="E897" s="61">
        <v>0.125</v>
      </c>
      <c r="F897" s="60" t="s">
        <v>23</v>
      </c>
      <c r="G897" s="71" t="s">
        <v>13</v>
      </c>
      <c r="H897" s="62">
        <v>0.12986111111111112</v>
      </c>
      <c r="I897" s="113" t="str">
        <f t="shared" si="207"/>
        <v>20-08-2026T03:07:00</v>
      </c>
      <c r="J897" s="62">
        <v>46255.301388888889</v>
      </c>
      <c r="K897" s="62"/>
      <c r="L897" s="63">
        <f t="shared" si="212"/>
        <v>46255.171527777777</v>
      </c>
      <c r="M897" s="64">
        <v>1.0833333333333333</v>
      </c>
      <c r="N897" s="65" t="str">
        <f t="shared" si="213"/>
        <v>-02:07:00</v>
      </c>
      <c r="O897" s="66"/>
      <c r="P897" s="124" t="s">
        <v>569</v>
      </c>
      <c r="Q897" s="67" t="s">
        <v>13</v>
      </c>
      <c r="R897" s="68">
        <v>46255.234027777777</v>
      </c>
      <c r="S897" s="68">
        <v>46255.288194444445</v>
      </c>
      <c r="T897" s="69">
        <f t="shared" si="214"/>
        <v>5.4166666668606922E-2</v>
      </c>
      <c r="U897" s="61"/>
      <c r="V897" s="83">
        <v>8.3333333333333329E-2</v>
      </c>
      <c r="W897" s="61">
        <f t="shared" si="215"/>
        <v>-2.9166666664726407E-2</v>
      </c>
      <c r="X897" s="172">
        <v>46254.129861111112</v>
      </c>
      <c r="Y897" s="172">
        <v>46255.301388888889</v>
      </c>
      <c r="Z897" s="173">
        <f t="shared" si="217"/>
        <v>1.171527777776646</v>
      </c>
      <c r="AA897" s="174">
        <f t="shared" si="218"/>
        <v>1.0833333333333333</v>
      </c>
      <c r="AB897" s="175" t="str">
        <f t="shared" si="219"/>
        <v>-02:07:00</v>
      </c>
      <c r="AC897" s="175" t="b">
        <f t="shared" si="220"/>
        <v>1</v>
      </c>
    </row>
    <row r="898" spans="1:29" s="128" customFormat="1" ht="9.75" hidden="1" customHeight="1" x14ac:dyDescent="0.3">
      <c r="A898" s="99">
        <v>46254</v>
      </c>
      <c r="B898" s="59">
        <v>8185598</v>
      </c>
      <c r="C898" s="60" t="s">
        <v>84</v>
      </c>
      <c r="D898" s="60" t="s">
        <v>301</v>
      </c>
      <c r="E898" s="61">
        <v>0.125</v>
      </c>
      <c r="F898" s="60" t="s">
        <v>13</v>
      </c>
      <c r="G898" s="71" t="s">
        <v>284</v>
      </c>
      <c r="H898" s="62">
        <v>0.12430555555555556</v>
      </c>
      <c r="I898" s="113" t="str">
        <f t="shared" si="207"/>
        <v>20-08-2026T02:59:00</v>
      </c>
      <c r="J898" s="62">
        <v>0.47638888888888886</v>
      </c>
      <c r="K898" s="62"/>
      <c r="L898" s="63">
        <f t="shared" si="212"/>
        <v>0.3520833333333333</v>
      </c>
      <c r="M898" s="64">
        <v>0.35416666666666669</v>
      </c>
      <c r="N898" s="65" t="str">
        <f t="shared" si="213"/>
        <v>00:03:00</v>
      </c>
      <c r="O898" s="66"/>
      <c r="P898" s="124"/>
      <c r="Q898" s="67" t="s">
        <v>174</v>
      </c>
      <c r="R898" s="68">
        <v>0.3611111111111111</v>
      </c>
      <c r="S898" s="68">
        <v>0.40277777777777779</v>
      </c>
      <c r="T898" s="69">
        <f t="shared" si="214"/>
        <v>4.1666666666666685E-2</v>
      </c>
      <c r="U898" s="61"/>
      <c r="V898" s="83">
        <v>6.25E-2</v>
      </c>
      <c r="W898" s="61">
        <f t="shared" si="215"/>
        <v>-2.0833333333333315E-2</v>
      </c>
      <c r="X898" s="171">
        <v>46254.124305555553</v>
      </c>
      <c r="Y898" s="171">
        <v>46254.476388888892</v>
      </c>
      <c r="Z898" s="168">
        <f t="shared" si="217"/>
        <v>0.35208333333866904</v>
      </c>
      <c r="AA898" s="169">
        <f t="shared" si="218"/>
        <v>0.35416666666666669</v>
      </c>
      <c r="AB898" s="170" t="str">
        <f t="shared" si="219"/>
        <v>00:03:00</v>
      </c>
      <c r="AC898" s="170" t="b">
        <f t="shared" si="220"/>
        <v>1</v>
      </c>
    </row>
    <row r="899" spans="1:29" s="128" customFormat="1" ht="9.75" hidden="1" customHeight="1" x14ac:dyDescent="0.3">
      <c r="A899" s="99">
        <v>46254</v>
      </c>
      <c r="B899" s="59">
        <v>8185901</v>
      </c>
      <c r="C899" s="60" t="s">
        <v>57</v>
      </c>
      <c r="D899" s="60" t="s">
        <v>288</v>
      </c>
      <c r="E899" s="61">
        <v>0.125</v>
      </c>
      <c r="F899" s="60" t="s">
        <v>24</v>
      </c>
      <c r="G899" s="71" t="s">
        <v>13</v>
      </c>
      <c r="H899" s="62">
        <v>0.21111111111111111</v>
      </c>
      <c r="I899" s="113" t="str">
        <f t="shared" si="207"/>
        <v>20-08-2026T05:04:00</v>
      </c>
      <c r="J899" s="62">
        <v>0.28402777777777777</v>
      </c>
      <c r="K899" s="62"/>
      <c r="L899" s="63">
        <f t="shared" si="212"/>
        <v>7.2916666666666657E-2</v>
      </c>
      <c r="M899" s="64">
        <v>8.3333333333333329E-2</v>
      </c>
      <c r="N899" s="65" t="str">
        <f t="shared" si="213"/>
        <v>00:15:00</v>
      </c>
      <c r="O899" s="66"/>
      <c r="P899" s="124"/>
      <c r="Q899" s="67"/>
      <c r="R899" s="68"/>
      <c r="S899" s="68"/>
      <c r="T899" s="69">
        <f t="shared" si="214"/>
        <v>0</v>
      </c>
      <c r="U899" s="61"/>
      <c r="V899" s="83">
        <v>0</v>
      </c>
      <c r="W899" s="61">
        <f t="shared" si="215"/>
        <v>0</v>
      </c>
      <c r="X899" s="171">
        <v>46254.211111111108</v>
      </c>
      <c r="Y899" s="171">
        <v>46254.28402777778</v>
      </c>
      <c r="Z899" s="168">
        <f t="shared" si="217"/>
        <v>7.2916666671517305E-2</v>
      </c>
      <c r="AA899" s="169">
        <f t="shared" si="218"/>
        <v>8.3333333333333329E-2</v>
      </c>
      <c r="AB899" s="170" t="str">
        <f t="shared" si="219"/>
        <v>00:15:00</v>
      </c>
      <c r="AC899" s="170" t="b">
        <f t="shared" si="220"/>
        <v>1</v>
      </c>
    </row>
    <row r="900" spans="1:29" s="128" customFormat="1" ht="9.75" hidden="1" customHeight="1" x14ac:dyDescent="0.3">
      <c r="A900" s="99">
        <v>46254</v>
      </c>
      <c r="B900" s="59">
        <v>8185568</v>
      </c>
      <c r="C900" s="60" t="s">
        <v>41</v>
      </c>
      <c r="D900" s="60" t="s">
        <v>299</v>
      </c>
      <c r="E900" s="61">
        <v>0.125</v>
      </c>
      <c r="F900" s="60" t="s">
        <v>24</v>
      </c>
      <c r="G900" s="71" t="s">
        <v>13</v>
      </c>
      <c r="H900" s="62">
        <v>0.11874999999999999</v>
      </c>
      <c r="I900" s="113" t="str">
        <f t="shared" ref="I900:I963" si="221">TEXT(A900,"dd-mm-yyyy")&amp;"T"&amp;TEXT(H900,"hh:mm:ss")</f>
        <v>20-08-2026T02:51:00</v>
      </c>
      <c r="J900" s="62">
        <v>0.18124999999999999</v>
      </c>
      <c r="K900" s="62"/>
      <c r="L900" s="63">
        <f t="shared" si="212"/>
        <v>6.25E-2</v>
      </c>
      <c r="M900" s="64">
        <v>8.3333333333333329E-2</v>
      </c>
      <c r="N900" s="65" t="str">
        <f t="shared" si="213"/>
        <v>00:30:00</v>
      </c>
      <c r="O900" s="66"/>
      <c r="P900" s="124"/>
      <c r="Q900" s="67"/>
      <c r="R900" s="68"/>
      <c r="S900" s="68"/>
      <c r="T900" s="69">
        <f t="shared" si="214"/>
        <v>0</v>
      </c>
      <c r="U900" s="61"/>
      <c r="V900" s="83">
        <v>0</v>
      </c>
      <c r="W900" s="61">
        <f t="shared" si="215"/>
        <v>0</v>
      </c>
      <c r="X900" s="171">
        <v>46254.118750000001</v>
      </c>
      <c r="Y900" s="171">
        <v>46254.181250000001</v>
      </c>
      <c r="Z900" s="168">
        <f t="shared" si="217"/>
        <v>6.25E-2</v>
      </c>
      <c r="AA900" s="169">
        <f t="shared" si="218"/>
        <v>8.3333333333333329E-2</v>
      </c>
      <c r="AB900" s="170" t="str">
        <f t="shared" si="219"/>
        <v>00:30:00</v>
      </c>
      <c r="AC900" s="170" t="b">
        <f t="shared" si="220"/>
        <v>1</v>
      </c>
    </row>
    <row r="901" spans="1:29" s="128" customFormat="1" ht="9.75" hidden="1" customHeight="1" x14ac:dyDescent="0.3">
      <c r="A901" s="99">
        <v>46254</v>
      </c>
      <c r="B901" s="59">
        <v>8185778</v>
      </c>
      <c r="C901" s="60" t="s">
        <v>54</v>
      </c>
      <c r="D901" s="60" t="s">
        <v>288</v>
      </c>
      <c r="E901" s="61">
        <v>0.16666666666666666</v>
      </c>
      <c r="F901" s="60" t="s">
        <v>13</v>
      </c>
      <c r="G901" s="71" t="s">
        <v>24</v>
      </c>
      <c r="H901" s="62">
        <v>0.18333333333333332</v>
      </c>
      <c r="I901" s="113" t="str">
        <f t="shared" si="221"/>
        <v>20-08-2026T04:24:00</v>
      </c>
      <c r="J901" s="62">
        <v>0.25694444444444442</v>
      </c>
      <c r="K901" s="62"/>
      <c r="L901" s="63">
        <f t="shared" si="212"/>
        <v>7.3611111111111099E-2</v>
      </c>
      <c r="M901" s="64">
        <v>8.3333333333333329E-2</v>
      </c>
      <c r="N901" s="65" t="str">
        <f t="shared" si="213"/>
        <v>00:14:00</v>
      </c>
      <c r="O901" s="66"/>
      <c r="P901" s="124"/>
      <c r="Q901" s="67"/>
      <c r="R901" s="68"/>
      <c r="S901" s="68"/>
      <c r="T901" s="69">
        <f t="shared" si="214"/>
        <v>0</v>
      </c>
      <c r="U901" s="61" t="s">
        <v>234</v>
      </c>
      <c r="V901" s="83">
        <v>0</v>
      </c>
      <c r="W901" s="61">
        <f t="shared" si="215"/>
        <v>0</v>
      </c>
      <c r="X901" s="171">
        <v>46254.183333333334</v>
      </c>
      <c r="Y901" s="171">
        <v>46254.256944444445</v>
      </c>
      <c r="Z901" s="168">
        <f t="shared" si="217"/>
        <v>7.3611111110949423E-2</v>
      </c>
      <c r="AA901" s="169">
        <f t="shared" si="218"/>
        <v>8.3333333333333329E-2</v>
      </c>
      <c r="AB901" s="170" t="str">
        <f t="shared" si="219"/>
        <v>00:14:00</v>
      </c>
      <c r="AC901" s="170" t="b">
        <f t="shared" si="220"/>
        <v>1</v>
      </c>
    </row>
    <row r="902" spans="1:29" s="128" customFormat="1" ht="9.75" hidden="1" customHeight="1" x14ac:dyDescent="0.3">
      <c r="A902" s="99">
        <v>46254</v>
      </c>
      <c r="B902" s="59">
        <v>8185732</v>
      </c>
      <c r="C902" s="60" t="s">
        <v>27</v>
      </c>
      <c r="D902" s="60" t="s">
        <v>378</v>
      </c>
      <c r="E902" s="61">
        <v>0.16666666666666666</v>
      </c>
      <c r="F902" s="60" t="s">
        <v>13</v>
      </c>
      <c r="G902" s="71" t="s">
        <v>28</v>
      </c>
      <c r="H902" s="62">
        <v>0.16666666666666666</v>
      </c>
      <c r="I902" s="113" t="str">
        <f t="shared" si="221"/>
        <v>20-08-2026T04:00:00</v>
      </c>
      <c r="J902" s="62">
        <v>0.33333333333333331</v>
      </c>
      <c r="K902" s="62"/>
      <c r="L902" s="63">
        <f t="shared" si="212"/>
        <v>0.16666666666666666</v>
      </c>
      <c r="M902" s="64">
        <v>0.16666666666666666</v>
      </c>
      <c r="N902" s="65" t="str">
        <f t="shared" si="213"/>
        <v>-00:00:00</v>
      </c>
      <c r="O902" s="66"/>
      <c r="P902" s="124"/>
      <c r="Q902" s="67"/>
      <c r="R902" s="68"/>
      <c r="S902" s="68"/>
      <c r="T902" s="69">
        <f t="shared" si="214"/>
        <v>0</v>
      </c>
      <c r="U902" s="61" t="s">
        <v>234</v>
      </c>
      <c r="V902" s="83">
        <v>0</v>
      </c>
      <c r="W902" s="61">
        <f t="shared" si="215"/>
        <v>0</v>
      </c>
      <c r="X902" s="171">
        <v>46254.166666666664</v>
      </c>
      <c r="Y902" s="171">
        <v>46254.333333333336</v>
      </c>
      <c r="Z902" s="168">
        <f t="shared" si="217"/>
        <v>0.16666666667151731</v>
      </c>
      <c r="AA902" s="169">
        <f t="shared" si="218"/>
        <v>0.16666666666666666</v>
      </c>
      <c r="AB902" s="170" t="str">
        <f t="shared" si="219"/>
        <v>-00:00:00</v>
      </c>
      <c r="AC902" s="170" t="b">
        <f t="shared" si="220"/>
        <v>1</v>
      </c>
    </row>
    <row r="903" spans="1:29" s="128" customFormat="1" ht="9.75" hidden="1" customHeight="1" x14ac:dyDescent="0.3">
      <c r="A903" s="99">
        <v>46254</v>
      </c>
      <c r="B903" s="59">
        <v>8185734</v>
      </c>
      <c r="C903" s="60" t="s">
        <v>16</v>
      </c>
      <c r="D903" s="60" t="s">
        <v>285</v>
      </c>
      <c r="E903" s="61">
        <v>0.16666666666666666</v>
      </c>
      <c r="F903" s="60" t="s">
        <v>17</v>
      </c>
      <c r="G903" s="71" t="s">
        <v>15</v>
      </c>
      <c r="H903" s="62">
        <v>0.16666666666666666</v>
      </c>
      <c r="I903" s="113" t="str">
        <f t="shared" si="221"/>
        <v>20-08-2026T04:00:00</v>
      </c>
      <c r="J903" s="62">
        <v>0.65625</v>
      </c>
      <c r="K903" s="62"/>
      <c r="L903" s="63">
        <f t="shared" si="212"/>
        <v>0.48958333333333337</v>
      </c>
      <c r="M903" s="64">
        <v>0.5</v>
      </c>
      <c r="N903" s="65" t="str">
        <f t="shared" si="213"/>
        <v>00:15:00</v>
      </c>
      <c r="O903" s="66"/>
      <c r="P903" s="124"/>
      <c r="Q903" s="67" t="s">
        <v>98</v>
      </c>
      <c r="R903" s="68">
        <v>0.375</v>
      </c>
      <c r="S903" s="68">
        <v>0.45694444444444443</v>
      </c>
      <c r="T903" s="69">
        <f t="shared" si="214"/>
        <v>8.1944444444444431E-2</v>
      </c>
      <c r="U903" s="61" t="s">
        <v>234</v>
      </c>
      <c r="V903" s="83">
        <v>8.3333333333333329E-2</v>
      </c>
      <c r="W903" s="61">
        <f t="shared" si="215"/>
        <v>-1.3888888888888978E-3</v>
      </c>
      <c r="X903" s="171">
        <v>0.16666666666666666</v>
      </c>
      <c r="Y903" s="171">
        <v>0.65625</v>
      </c>
      <c r="Z903" s="168">
        <f t="shared" si="217"/>
        <v>0.48958333333333337</v>
      </c>
      <c r="AA903" s="169">
        <f t="shared" si="218"/>
        <v>0.5</v>
      </c>
      <c r="AB903" s="170" t="str">
        <f t="shared" si="219"/>
        <v>00:15:00</v>
      </c>
      <c r="AC903" s="170" t="b">
        <f t="shared" si="220"/>
        <v>1</v>
      </c>
    </row>
    <row r="904" spans="1:29" s="127" customFormat="1" ht="9.75" hidden="1" customHeight="1" x14ac:dyDescent="0.3">
      <c r="A904" s="98">
        <v>46254</v>
      </c>
      <c r="B904" s="48">
        <v>8185703</v>
      </c>
      <c r="C904" s="49" t="s">
        <v>44</v>
      </c>
      <c r="D904" s="49" t="s">
        <v>547</v>
      </c>
      <c r="E904" s="50">
        <v>0.16666666666666666</v>
      </c>
      <c r="F904" s="49" t="s">
        <v>31</v>
      </c>
      <c r="G904" s="70" t="s">
        <v>13</v>
      </c>
      <c r="H904" s="51">
        <v>0.16319444444444445</v>
      </c>
      <c r="I904" s="113" t="str">
        <f t="shared" si="221"/>
        <v>20-08-2026T03:55:00</v>
      </c>
      <c r="J904" s="51">
        <v>0.93958333333333333</v>
      </c>
      <c r="K904" s="51"/>
      <c r="L904" s="52">
        <f t="shared" si="212"/>
        <v>0.77638888888888891</v>
      </c>
      <c r="M904" s="53">
        <v>0.70833333333333337</v>
      </c>
      <c r="N904" s="54" t="str">
        <f t="shared" si="213"/>
        <v>-01:38:00</v>
      </c>
      <c r="O904" s="55">
        <v>400</v>
      </c>
      <c r="P904" s="147" t="s">
        <v>645</v>
      </c>
      <c r="Q904" s="56" t="s">
        <v>13</v>
      </c>
      <c r="R904" s="57">
        <v>0.88263888888888886</v>
      </c>
      <c r="S904" s="57">
        <v>0.93055555555555558</v>
      </c>
      <c r="T904" s="58">
        <f t="shared" si="214"/>
        <v>4.7916666666666718E-2</v>
      </c>
      <c r="U904" s="50"/>
      <c r="V904" s="74">
        <v>8.3333333333333329E-2</v>
      </c>
      <c r="W904" s="50">
        <f t="shared" si="215"/>
        <v>-3.541666666666661E-2</v>
      </c>
      <c r="X904" s="171">
        <v>46254.163194444445</v>
      </c>
      <c r="Y904" s="171">
        <v>46254.939583333333</v>
      </c>
      <c r="Z904" s="168">
        <f t="shared" si="217"/>
        <v>0.77638888888759539</v>
      </c>
      <c r="AA904" s="169">
        <f t="shared" si="218"/>
        <v>0.70833333333333337</v>
      </c>
      <c r="AB904" s="170" t="str">
        <f t="shared" si="219"/>
        <v>-01:38:00</v>
      </c>
      <c r="AC904" s="170" t="b">
        <f t="shared" si="220"/>
        <v>1</v>
      </c>
    </row>
    <row r="905" spans="1:29" s="127" customFormat="1" ht="9.75" hidden="1" customHeight="1" x14ac:dyDescent="0.3">
      <c r="A905" s="98">
        <v>46254</v>
      </c>
      <c r="B905" s="48">
        <v>8185737</v>
      </c>
      <c r="C905" s="49" t="s">
        <v>37</v>
      </c>
      <c r="D905" s="49" t="s">
        <v>466</v>
      </c>
      <c r="E905" s="50">
        <v>0.16666666666666666</v>
      </c>
      <c r="F905" s="49" t="s">
        <v>13</v>
      </c>
      <c r="G905" s="70" t="s">
        <v>14</v>
      </c>
      <c r="H905" s="51">
        <v>0.1673611111111111</v>
      </c>
      <c r="I905" s="113" t="str">
        <f t="shared" si="221"/>
        <v>20-08-2026T04:01:00</v>
      </c>
      <c r="J905" s="51">
        <v>0.73472222222222228</v>
      </c>
      <c r="K905" s="51"/>
      <c r="L905" s="52">
        <f t="shared" si="212"/>
        <v>0.5673611111111112</v>
      </c>
      <c r="M905" s="53">
        <v>0.54166666666666663</v>
      </c>
      <c r="N905" s="54" t="str">
        <f t="shared" si="213"/>
        <v>-00:37:00</v>
      </c>
      <c r="O905" s="55">
        <v>200</v>
      </c>
      <c r="P905" s="147" t="s">
        <v>631</v>
      </c>
      <c r="Q905" s="56"/>
      <c r="R905" s="57"/>
      <c r="S905" s="57"/>
      <c r="T905" s="58">
        <f t="shared" si="214"/>
        <v>0</v>
      </c>
      <c r="U905" s="50"/>
      <c r="V905" s="74">
        <v>0</v>
      </c>
      <c r="W905" s="50">
        <f t="shared" si="215"/>
        <v>0</v>
      </c>
      <c r="X905" s="171">
        <v>46254.167361111111</v>
      </c>
      <c r="Y905" s="171">
        <v>46254.734722222223</v>
      </c>
      <c r="Z905" s="168">
        <f t="shared" si="217"/>
        <v>0.56736111111240461</v>
      </c>
      <c r="AA905" s="169">
        <f t="shared" si="218"/>
        <v>0.54166666666666663</v>
      </c>
      <c r="AB905" s="170" t="str">
        <f t="shared" si="219"/>
        <v>-00:37:00</v>
      </c>
      <c r="AC905" s="170" t="b">
        <f t="shared" si="220"/>
        <v>1</v>
      </c>
    </row>
    <row r="906" spans="1:29" s="128" customFormat="1" ht="9.75" hidden="1" customHeight="1" x14ac:dyDescent="0.3">
      <c r="A906" s="99">
        <v>46254</v>
      </c>
      <c r="B906" s="59">
        <v>8185895</v>
      </c>
      <c r="C906" s="60" t="s">
        <v>32</v>
      </c>
      <c r="D906" s="60" t="s">
        <v>476</v>
      </c>
      <c r="E906" s="61">
        <v>0.20833333333333334</v>
      </c>
      <c r="F906" s="60" t="s">
        <v>13</v>
      </c>
      <c r="G906" s="71" t="s">
        <v>287</v>
      </c>
      <c r="H906" s="62">
        <v>0.21041666666666667</v>
      </c>
      <c r="I906" s="113" t="str">
        <f t="shared" si="221"/>
        <v>20-08-2026T05:03:00</v>
      </c>
      <c r="J906" s="62">
        <v>0.35069444444444442</v>
      </c>
      <c r="K906" s="62"/>
      <c r="L906" s="63">
        <f t="shared" si="212"/>
        <v>0.14027777777777775</v>
      </c>
      <c r="M906" s="64">
        <v>0.14583333333333334</v>
      </c>
      <c r="N906" s="65" t="str">
        <f t="shared" si="213"/>
        <v>00:08:00</v>
      </c>
      <c r="O906" s="66"/>
      <c r="P906" s="124"/>
      <c r="Q906" s="67"/>
      <c r="R906" s="68"/>
      <c r="S906" s="68"/>
      <c r="T906" s="69">
        <f t="shared" si="214"/>
        <v>0</v>
      </c>
      <c r="U906" s="61"/>
      <c r="V906" s="83">
        <v>0</v>
      </c>
      <c r="W906" s="61">
        <f t="shared" si="215"/>
        <v>0</v>
      </c>
      <c r="X906" s="171">
        <v>46254.210416666669</v>
      </c>
      <c r="Y906" s="171">
        <v>46254.350694444445</v>
      </c>
      <c r="Z906" s="168">
        <f t="shared" si="217"/>
        <v>0.14027777777664596</v>
      </c>
      <c r="AA906" s="169">
        <f t="shared" si="218"/>
        <v>0.14583333333333334</v>
      </c>
      <c r="AB906" s="170" t="str">
        <f t="shared" si="219"/>
        <v>00:08:00</v>
      </c>
      <c r="AC906" s="170" t="b">
        <f t="shared" si="220"/>
        <v>1</v>
      </c>
    </row>
    <row r="907" spans="1:29" s="128" customFormat="1" ht="9.75" hidden="1" customHeight="1" x14ac:dyDescent="0.3">
      <c r="A907" s="99">
        <v>46254</v>
      </c>
      <c r="B907" s="59">
        <v>8185798</v>
      </c>
      <c r="C907" s="60" t="s">
        <v>82</v>
      </c>
      <c r="D907" s="60" t="s">
        <v>333</v>
      </c>
      <c r="E907" s="61">
        <v>0.20833333333333334</v>
      </c>
      <c r="F907" s="60" t="s">
        <v>26</v>
      </c>
      <c r="G907" s="71" t="s">
        <v>13</v>
      </c>
      <c r="H907" s="62">
        <v>0.18888888888888888</v>
      </c>
      <c r="I907" s="113" t="str">
        <f t="shared" si="221"/>
        <v>20-08-2026T04:32:00</v>
      </c>
      <c r="J907" s="62">
        <v>0.62638888888888888</v>
      </c>
      <c r="K907" s="62"/>
      <c r="L907" s="63">
        <f t="shared" si="212"/>
        <v>0.4375</v>
      </c>
      <c r="M907" s="64">
        <v>0.45833333333333331</v>
      </c>
      <c r="N907" s="65" t="str">
        <f t="shared" si="213"/>
        <v>00:30:00</v>
      </c>
      <c r="O907" s="66"/>
      <c r="P907" s="124"/>
      <c r="Q907" s="67" t="s">
        <v>13</v>
      </c>
      <c r="R907" s="68">
        <v>0.55138888888888893</v>
      </c>
      <c r="S907" s="68">
        <v>0.59375</v>
      </c>
      <c r="T907" s="69">
        <f t="shared" si="214"/>
        <v>4.2361111111111072E-2</v>
      </c>
      <c r="U907" s="61"/>
      <c r="V907" s="83">
        <v>8.3333333333333329E-2</v>
      </c>
      <c r="W907" s="61">
        <f t="shared" si="215"/>
        <v>-4.0972222222222257E-2</v>
      </c>
      <c r="X907" s="171">
        <v>46254.188888888886</v>
      </c>
      <c r="Y907" s="171">
        <v>46254.626388888886</v>
      </c>
      <c r="Z907" s="168">
        <f t="shared" si="217"/>
        <v>0.4375</v>
      </c>
      <c r="AA907" s="169">
        <f t="shared" si="218"/>
        <v>0.45833333333333331</v>
      </c>
      <c r="AB907" s="170" t="str">
        <f t="shared" si="219"/>
        <v>00:30:00</v>
      </c>
      <c r="AC907" s="170" t="b">
        <f t="shared" si="220"/>
        <v>1</v>
      </c>
    </row>
    <row r="908" spans="1:29" s="128" customFormat="1" ht="9.75" hidden="1" customHeight="1" x14ac:dyDescent="0.3">
      <c r="A908" s="99">
        <v>46254</v>
      </c>
      <c r="B908" s="59">
        <v>8186034</v>
      </c>
      <c r="C908" s="60" t="s">
        <v>36</v>
      </c>
      <c r="D908" s="60" t="s">
        <v>300</v>
      </c>
      <c r="E908" s="61">
        <v>0.25</v>
      </c>
      <c r="F908" s="60" t="s">
        <v>14</v>
      </c>
      <c r="G908" s="71" t="s">
        <v>13</v>
      </c>
      <c r="H908" s="62">
        <v>0.24722222222222223</v>
      </c>
      <c r="I908" s="113" t="str">
        <f t="shared" si="221"/>
        <v>20-08-2026T05:56:00</v>
      </c>
      <c r="J908" s="62">
        <v>0.7680555555555556</v>
      </c>
      <c r="K908" s="62"/>
      <c r="L908" s="63">
        <f t="shared" si="212"/>
        <v>0.52083333333333337</v>
      </c>
      <c r="M908" s="64">
        <v>0.54166666666666663</v>
      </c>
      <c r="N908" s="65" t="str">
        <f t="shared" si="213"/>
        <v>00:30:00</v>
      </c>
      <c r="O908" s="66"/>
      <c r="P908" s="124"/>
      <c r="Q908" s="67"/>
      <c r="R908" s="68"/>
      <c r="S908" s="68"/>
      <c r="T908" s="69">
        <f t="shared" si="214"/>
        <v>0</v>
      </c>
      <c r="U908" s="61"/>
      <c r="V908" s="83">
        <v>0</v>
      </c>
      <c r="W908" s="61">
        <f t="shared" si="215"/>
        <v>0</v>
      </c>
      <c r="X908" s="171">
        <v>46254.24722222222</v>
      </c>
      <c r="Y908" s="171">
        <v>46254.768055555556</v>
      </c>
      <c r="Z908" s="168">
        <f t="shared" si="217"/>
        <v>0.52083333333575865</v>
      </c>
      <c r="AA908" s="169">
        <f t="shared" si="218"/>
        <v>0.54166666666666663</v>
      </c>
      <c r="AB908" s="170" t="str">
        <f t="shared" si="219"/>
        <v>00:30:00</v>
      </c>
      <c r="AC908" s="170" t="b">
        <f t="shared" si="220"/>
        <v>1</v>
      </c>
    </row>
    <row r="909" spans="1:29" s="128" customFormat="1" ht="9.75" hidden="1" customHeight="1" x14ac:dyDescent="0.3">
      <c r="A909" s="99">
        <v>46254</v>
      </c>
      <c r="B909" s="59">
        <v>8186090</v>
      </c>
      <c r="C909" s="60" t="s">
        <v>89</v>
      </c>
      <c r="D909" s="60" t="s">
        <v>294</v>
      </c>
      <c r="E909" s="61">
        <v>0.25</v>
      </c>
      <c r="F909" s="60" t="s">
        <v>13</v>
      </c>
      <c r="G909" s="71" t="s">
        <v>35</v>
      </c>
      <c r="H909" s="62">
        <v>0.25416666666666665</v>
      </c>
      <c r="I909" s="113" t="str">
        <f t="shared" si="221"/>
        <v>20-08-2026T06:06:00</v>
      </c>
      <c r="J909" s="62">
        <v>0.29166666666666669</v>
      </c>
      <c r="K909" s="62"/>
      <c r="L909" s="63">
        <f t="shared" si="212"/>
        <v>3.7500000000000033E-2</v>
      </c>
      <c r="M909" s="64">
        <v>4.1666666666666664E-2</v>
      </c>
      <c r="N909" s="65" t="str">
        <f t="shared" si="213"/>
        <v>00:06:00</v>
      </c>
      <c r="O909" s="66"/>
      <c r="P909" s="124"/>
      <c r="Q909" s="67"/>
      <c r="R909" s="68"/>
      <c r="S909" s="68"/>
      <c r="T909" s="69">
        <f t="shared" si="214"/>
        <v>0</v>
      </c>
      <c r="U909" s="61" t="s">
        <v>234</v>
      </c>
      <c r="V909" s="83">
        <v>0</v>
      </c>
      <c r="W909" s="61">
        <f t="shared" si="215"/>
        <v>0</v>
      </c>
      <c r="X909" s="171">
        <v>46254.254166666666</v>
      </c>
      <c r="Y909" s="171">
        <v>46254.291666666664</v>
      </c>
      <c r="Z909" s="168">
        <f t="shared" si="217"/>
        <v>3.7499999998544808E-2</v>
      </c>
      <c r="AA909" s="169">
        <f t="shared" si="218"/>
        <v>4.1666666666666664E-2</v>
      </c>
      <c r="AB909" s="170" t="str">
        <f t="shared" si="219"/>
        <v>00:06:00</v>
      </c>
      <c r="AC909" s="170" t="b">
        <f t="shared" si="220"/>
        <v>1</v>
      </c>
    </row>
    <row r="910" spans="1:29" s="127" customFormat="1" ht="9.75" hidden="1" customHeight="1" x14ac:dyDescent="0.3">
      <c r="A910" s="98">
        <v>46254</v>
      </c>
      <c r="B910" s="48">
        <v>8186151</v>
      </c>
      <c r="C910" s="49" t="s">
        <v>12</v>
      </c>
      <c r="D910" s="49" t="s">
        <v>586</v>
      </c>
      <c r="E910" s="50">
        <v>0.27083333333333331</v>
      </c>
      <c r="F910" s="49" t="s">
        <v>14</v>
      </c>
      <c r="G910" s="70" t="s">
        <v>13</v>
      </c>
      <c r="H910" s="51">
        <v>0.27083333333333331</v>
      </c>
      <c r="I910" s="113" t="str">
        <f t="shared" si="221"/>
        <v>20-08-2026T06:30:00</v>
      </c>
      <c r="J910" s="51">
        <v>0.95694444444444449</v>
      </c>
      <c r="K910" s="51"/>
      <c r="L910" s="52">
        <f t="shared" si="212"/>
        <v>0.68611111111111112</v>
      </c>
      <c r="M910" s="53">
        <v>0.625</v>
      </c>
      <c r="N910" s="54" t="str">
        <f t="shared" si="213"/>
        <v>-01:28:00</v>
      </c>
      <c r="O910" s="55">
        <v>400</v>
      </c>
      <c r="P910" s="147" t="s">
        <v>598</v>
      </c>
      <c r="Q910" s="56" t="s">
        <v>126</v>
      </c>
      <c r="R910" s="57">
        <v>0.40972222222222221</v>
      </c>
      <c r="S910" s="57">
        <v>0.4284722222222222</v>
      </c>
      <c r="T910" s="58">
        <f t="shared" si="214"/>
        <v>1.8749999999999989E-2</v>
      </c>
      <c r="U910" s="50"/>
      <c r="V910" s="74">
        <v>6.25E-2</v>
      </c>
      <c r="W910" s="50">
        <f t="shared" si="215"/>
        <v>-4.3750000000000011E-2</v>
      </c>
      <c r="X910" s="171">
        <v>46254.270833333336</v>
      </c>
      <c r="Y910" s="171">
        <v>46254.956944444442</v>
      </c>
      <c r="Z910" s="168">
        <f t="shared" si="217"/>
        <v>0.68611111110658385</v>
      </c>
      <c r="AA910" s="169">
        <f t="shared" si="218"/>
        <v>0.625</v>
      </c>
      <c r="AB910" s="170" t="str">
        <f t="shared" si="219"/>
        <v>-01:28:00</v>
      </c>
      <c r="AC910" s="170" t="b">
        <f t="shared" si="220"/>
        <v>1</v>
      </c>
    </row>
    <row r="911" spans="1:29" ht="9.75" hidden="1" customHeight="1" x14ac:dyDescent="0.3">
      <c r="A911" s="149">
        <v>46252</v>
      </c>
      <c r="B911" s="150" t="s">
        <v>687</v>
      </c>
      <c r="C911" s="151" t="s">
        <v>34</v>
      </c>
      <c r="D911" s="151" t="s">
        <v>390</v>
      </c>
      <c r="E911" s="152">
        <v>0</v>
      </c>
      <c r="F911" s="151"/>
      <c r="G911" s="153"/>
      <c r="H911" s="154">
        <v>0</v>
      </c>
      <c r="I911" s="113" t="str">
        <f t="shared" si="221"/>
        <v>18-08-2026T00:00:00</v>
      </c>
      <c r="J911" s="154">
        <v>0</v>
      </c>
      <c r="K911" s="154"/>
      <c r="L911" s="155">
        <v>0</v>
      </c>
      <c r="M911" s="160">
        <v>0</v>
      </c>
      <c r="N911" s="156">
        <v>0</v>
      </c>
      <c r="O911" s="157"/>
      <c r="P911" s="158" t="s">
        <v>480</v>
      </c>
      <c r="Q911" s="159" t="s">
        <v>480</v>
      </c>
      <c r="R911" s="148" t="s">
        <v>480</v>
      </c>
      <c r="S911" s="148" t="s">
        <v>480</v>
      </c>
      <c r="T911" s="161" t="s">
        <v>480</v>
      </c>
      <c r="U911" s="152" t="s">
        <v>480</v>
      </c>
      <c r="V911" s="146" t="s">
        <v>480</v>
      </c>
      <c r="W911" s="152" t="s">
        <v>480</v>
      </c>
      <c r="X911" s="171" t="s">
        <v>668</v>
      </c>
      <c r="Y911" s="171" t="s">
        <v>668</v>
      </c>
      <c r="Z911" s="168" t="e">
        <f t="shared" si="217"/>
        <v>#VALUE!</v>
      </c>
      <c r="AA911" s="169">
        <f t="shared" si="218"/>
        <v>0</v>
      </c>
      <c r="AB911" s="170" t="e">
        <f t="shared" si="219"/>
        <v>#VALUE!</v>
      </c>
      <c r="AC911" s="170" t="e">
        <f t="shared" si="220"/>
        <v>#VALUE!</v>
      </c>
    </row>
    <row r="912" spans="1:29" s="127" customFormat="1" ht="9.75" hidden="1" customHeight="1" x14ac:dyDescent="0.3">
      <c r="A912" s="98">
        <v>46254</v>
      </c>
      <c r="B912" s="48">
        <v>8186220</v>
      </c>
      <c r="C912" s="49" t="s">
        <v>34</v>
      </c>
      <c r="D912" s="49" t="s">
        <v>379</v>
      </c>
      <c r="E912" s="50">
        <v>0.29166666666666669</v>
      </c>
      <c r="F912" s="49" t="s">
        <v>13</v>
      </c>
      <c r="G912" s="70" t="s">
        <v>103</v>
      </c>
      <c r="H912" s="51">
        <v>46254.291666666664</v>
      </c>
      <c r="I912" s="113" t="str">
        <f t="shared" si="221"/>
        <v>20-08-2026T07:00:00</v>
      </c>
      <c r="J912" s="51">
        <v>46255.034722222219</v>
      </c>
      <c r="K912" s="51"/>
      <c r="L912" s="52">
        <f>J912-H912</f>
        <v>0.74305555555474712</v>
      </c>
      <c r="M912" s="53">
        <v>0.625</v>
      </c>
      <c r="N912" s="54" t="str">
        <f>IF(M912-L912&gt;0,TEXT(M912-L912,"HH:MM:SS"),TEXT(ABS(M912-L912),"-HH:MM:SS"))</f>
        <v>-02:50:00</v>
      </c>
      <c r="O912" s="55">
        <v>750</v>
      </c>
      <c r="P912" s="147" t="s">
        <v>780</v>
      </c>
      <c r="Q912" s="56"/>
      <c r="R912" s="57"/>
      <c r="S912" s="57"/>
      <c r="T912" s="58">
        <f>S912-R912</f>
        <v>0</v>
      </c>
      <c r="U912" s="50"/>
      <c r="V912" s="74">
        <v>0</v>
      </c>
      <c r="W912" s="50">
        <f>T912-V912</f>
        <v>0</v>
      </c>
      <c r="X912" s="171">
        <v>46254.291666666664</v>
      </c>
      <c r="Y912" s="171">
        <v>46255.034722222219</v>
      </c>
      <c r="Z912" s="168">
        <f t="shared" si="217"/>
        <v>0.74305555555474712</v>
      </c>
      <c r="AA912" s="169">
        <f t="shared" si="218"/>
        <v>0.625</v>
      </c>
      <c r="AB912" s="170" t="str">
        <f t="shared" si="219"/>
        <v>-02:50:00</v>
      </c>
      <c r="AC912" s="170" t="b">
        <f t="shared" si="220"/>
        <v>1</v>
      </c>
    </row>
    <row r="913" spans="1:30" s="128" customFormat="1" ht="9.75" hidden="1" customHeight="1" x14ac:dyDescent="0.3">
      <c r="A913" s="99">
        <v>46254</v>
      </c>
      <c r="B913" s="59">
        <v>8186264</v>
      </c>
      <c r="C913" s="60" t="s">
        <v>52</v>
      </c>
      <c r="D913" s="60" t="s">
        <v>616</v>
      </c>
      <c r="E913" s="61">
        <v>0.3125</v>
      </c>
      <c r="F913" s="60" t="s">
        <v>15</v>
      </c>
      <c r="G913" s="71" t="s">
        <v>13</v>
      </c>
      <c r="H913" s="62">
        <v>0.31041666666666667</v>
      </c>
      <c r="I913" s="113" t="str">
        <f t="shared" si="221"/>
        <v>20-08-2026T07:27:00</v>
      </c>
      <c r="J913" s="62">
        <v>0.55208333333333337</v>
      </c>
      <c r="K913" s="62"/>
      <c r="L913" s="63">
        <f>J913-H913</f>
        <v>0.2416666666666667</v>
      </c>
      <c r="M913" s="64">
        <v>0.25</v>
      </c>
      <c r="N913" s="65" t="str">
        <f>IF(M913-L913&gt;0,TEXT(M913-L913,"HH:MM:SS"),TEXT(ABS(M913-L913),"-HH:MM:SS"))</f>
        <v>00:12:00</v>
      </c>
      <c r="O913" s="66"/>
      <c r="P913" s="124"/>
      <c r="Q913" s="67" t="s">
        <v>205</v>
      </c>
      <c r="R913" s="68">
        <v>0.38819444444444445</v>
      </c>
      <c r="S913" s="68">
        <v>0.42708333333333331</v>
      </c>
      <c r="T913" s="69">
        <f>S913-R913</f>
        <v>3.8888888888888862E-2</v>
      </c>
      <c r="U913" s="61"/>
      <c r="V913" s="83">
        <v>4.1666666666666664E-2</v>
      </c>
      <c r="W913" s="61">
        <f>T913-V913</f>
        <v>-2.7777777777778026E-3</v>
      </c>
      <c r="X913" s="171">
        <v>46254.310416666667</v>
      </c>
      <c r="Y913" s="171">
        <v>46254.552083333336</v>
      </c>
      <c r="Z913" s="168">
        <f t="shared" si="217"/>
        <v>0.24166666666860692</v>
      </c>
      <c r="AA913" s="169">
        <f t="shared" si="218"/>
        <v>0.25</v>
      </c>
      <c r="AB913" s="170" t="str">
        <f t="shared" si="219"/>
        <v>00:12:00</v>
      </c>
      <c r="AC913" s="170" t="b">
        <f t="shared" si="220"/>
        <v>1</v>
      </c>
    </row>
    <row r="914" spans="1:30" s="128" customFormat="1" ht="9.75" hidden="1" customHeight="1" x14ac:dyDescent="0.3">
      <c r="A914" s="99">
        <v>46254</v>
      </c>
      <c r="B914" s="59">
        <v>8186215</v>
      </c>
      <c r="C914" s="60" t="s">
        <v>50</v>
      </c>
      <c r="D914" s="60" t="s">
        <v>329</v>
      </c>
      <c r="E914" s="61">
        <v>0.29166666666666669</v>
      </c>
      <c r="F914" s="60" t="s">
        <v>13</v>
      </c>
      <c r="G914" s="71" t="s">
        <v>31</v>
      </c>
      <c r="H914" s="62">
        <v>0.29166666666666669</v>
      </c>
      <c r="I914" s="113" t="str">
        <f t="shared" si="221"/>
        <v>20-08-2026T07:00:00</v>
      </c>
      <c r="J914" s="62">
        <v>0.90208333333333335</v>
      </c>
      <c r="K914" s="62"/>
      <c r="L914" s="63">
        <f>J914-H914</f>
        <v>0.61041666666666661</v>
      </c>
      <c r="M914" s="64">
        <v>0.625</v>
      </c>
      <c r="N914" s="65" t="str">
        <f>IF(M914-L914&gt;0,TEXT(M914-L914,"HH:MM:SS"),TEXT(ABS(M914-L914),"-HH:MM:SS"))</f>
        <v>00:21:00</v>
      </c>
      <c r="O914" s="66"/>
      <c r="P914" s="124" t="s">
        <v>646</v>
      </c>
      <c r="Q914" s="67"/>
      <c r="R914" s="68"/>
      <c r="S914" s="68"/>
      <c r="T914" s="69">
        <f>S914-R914</f>
        <v>0</v>
      </c>
      <c r="U914" s="61"/>
      <c r="V914" s="83">
        <v>0</v>
      </c>
      <c r="W914" s="61">
        <f>T914-V914</f>
        <v>0</v>
      </c>
      <c r="X914" s="172">
        <v>46254.291666666664</v>
      </c>
      <c r="Y914" s="172">
        <v>46254.902083333334</v>
      </c>
      <c r="Z914" s="173">
        <f t="shared" si="217"/>
        <v>0.61041666667006211</v>
      </c>
      <c r="AA914" s="174">
        <f t="shared" si="218"/>
        <v>0.625</v>
      </c>
      <c r="AB914" s="175" t="str">
        <f t="shared" si="219"/>
        <v>00:21:00</v>
      </c>
      <c r="AC914" s="175" t="b">
        <f t="shared" si="220"/>
        <v>1</v>
      </c>
    </row>
    <row r="915" spans="1:30" s="128" customFormat="1" ht="9.75" hidden="1" customHeight="1" x14ac:dyDescent="0.3">
      <c r="A915" s="99">
        <v>46254</v>
      </c>
      <c r="B915" s="59">
        <v>8186270</v>
      </c>
      <c r="C915" s="60" t="s">
        <v>42</v>
      </c>
      <c r="D915" s="60" t="s">
        <v>181</v>
      </c>
      <c r="E915" s="61">
        <v>0.3125</v>
      </c>
      <c r="F915" s="60" t="s">
        <v>13</v>
      </c>
      <c r="G915" s="71" t="s">
        <v>55</v>
      </c>
      <c r="H915" s="62">
        <v>0.31111111111111112</v>
      </c>
      <c r="I915" s="113" t="str">
        <f t="shared" si="221"/>
        <v>20-08-2026T07:28:00</v>
      </c>
      <c r="J915" s="62">
        <v>0.37083333333333335</v>
      </c>
      <c r="K915" s="62"/>
      <c r="L915" s="63">
        <f>J915-H915</f>
        <v>5.9722222222222232E-2</v>
      </c>
      <c r="M915" s="64">
        <v>6.25E-2</v>
      </c>
      <c r="N915" s="65" t="str">
        <f>IF(M915-L915&gt;0,TEXT(M915-L915,"HH:MM:SS"),TEXT(ABS(M915-L915),"-HH:MM:SS"))</f>
        <v>00:04:00</v>
      </c>
      <c r="O915" s="66"/>
      <c r="P915" s="124"/>
      <c r="Q915" s="67"/>
      <c r="R915" s="68"/>
      <c r="S915" s="68"/>
      <c r="T915" s="69">
        <f>S915-R915</f>
        <v>0</v>
      </c>
      <c r="U915" s="61"/>
      <c r="V915" s="83">
        <v>0</v>
      </c>
      <c r="W915" s="61">
        <f>T915-V915</f>
        <v>0</v>
      </c>
      <c r="X915" s="171">
        <v>46254.311111111114</v>
      </c>
      <c r="Y915" s="171">
        <v>46254.370833333334</v>
      </c>
      <c r="Z915" s="168">
        <f t="shared" si="217"/>
        <v>5.9722222220443655E-2</v>
      </c>
      <c r="AA915" s="169">
        <f t="shared" si="218"/>
        <v>6.25E-2</v>
      </c>
      <c r="AB915" s="170" t="str">
        <f t="shared" si="219"/>
        <v>00:04:00</v>
      </c>
      <c r="AC915" s="170" t="b">
        <f t="shared" si="220"/>
        <v>1</v>
      </c>
    </row>
    <row r="916" spans="1:30" s="128" customFormat="1" ht="9.75" hidden="1" customHeight="1" x14ac:dyDescent="0.3">
      <c r="A916" s="99">
        <v>46254</v>
      </c>
      <c r="B916" s="59">
        <v>8186387</v>
      </c>
      <c r="C916" s="60" t="s">
        <v>40</v>
      </c>
      <c r="D916" s="60" t="s">
        <v>460</v>
      </c>
      <c r="E916" s="61">
        <v>0.375</v>
      </c>
      <c r="F916" s="60" t="s">
        <v>13</v>
      </c>
      <c r="G916" s="71" t="s">
        <v>31</v>
      </c>
      <c r="H916" s="62">
        <v>46254.37222222222</v>
      </c>
      <c r="I916" s="113" t="str">
        <f t="shared" si="221"/>
        <v>20-08-2026T08:56:00</v>
      </c>
      <c r="J916" s="62">
        <v>46255.104861111111</v>
      </c>
      <c r="K916" s="62"/>
      <c r="L916" s="63">
        <f>J916-H916</f>
        <v>0.73263888889050577</v>
      </c>
      <c r="M916" s="64">
        <v>0.75</v>
      </c>
      <c r="N916" s="65" t="str">
        <f>IF(M916-L916&gt;0,TEXT(M916-L916,"HH:MM:SS"),TEXT(ABS(M916-L916),"-HH:MM:SS"))</f>
        <v>00:25:00</v>
      </c>
      <c r="O916" s="66"/>
      <c r="P916" s="124" t="s">
        <v>647</v>
      </c>
      <c r="Q916" s="67" t="s">
        <v>45</v>
      </c>
      <c r="R916" s="68">
        <v>0.91388888888888886</v>
      </c>
      <c r="S916" s="68">
        <v>0.97916666666666663</v>
      </c>
      <c r="T916" s="69">
        <f>S916-R916</f>
        <v>6.5277777777777768E-2</v>
      </c>
      <c r="U916" s="61"/>
      <c r="V916" s="83">
        <v>8.3333333333333329E-2</v>
      </c>
      <c r="W916" s="61">
        <f>T916-V916</f>
        <v>-1.8055555555555561E-2</v>
      </c>
      <c r="X916" s="172">
        <v>46254.37222222222</v>
      </c>
      <c r="Y916" s="172">
        <v>46255.104861111111</v>
      </c>
      <c r="Z916" s="173">
        <f t="shared" si="217"/>
        <v>0.73263888889050577</v>
      </c>
      <c r="AA916" s="174">
        <f t="shared" si="218"/>
        <v>0.75</v>
      </c>
      <c r="AB916" s="175" t="str">
        <f t="shared" si="219"/>
        <v>00:25:00</v>
      </c>
      <c r="AC916" s="175" t="b">
        <f t="shared" si="220"/>
        <v>1</v>
      </c>
    </row>
    <row r="917" spans="1:30" ht="9.75" hidden="1" customHeight="1" x14ac:dyDescent="0.3">
      <c r="A917" s="149">
        <v>46252</v>
      </c>
      <c r="B917" s="150" t="s">
        <v>687</v>
      </c>
      <c r="C917" s="151" t="s">
        <v>46</v>
      </c>
      <c r="D917" s="151" t="s">
        <v>374</v>
      </c>
      <c r="E917" s="152">
        <v>0</v>
      </c>
      <c r="F917" s="151"/>
      <c r="G917" s="153"/>
      <c r="H917" s="154">
        <v>0</v>
      </c>
      <c r="I917" s="113" t="str">
        <f t="shared" si="221"/>
        <v>18-08-2026T00:00:00</v>
      </c>
      <c r="J917" s="154">
        <v>0</v>
      </c>
      <c r="K917" s="154"/>
      <c r="L917" s="155">
        <v>0</v>
      </c>
      <c r="M917" s="160">
        <v>0</v>
      </c>
      <c r="N917" s="156">
        <v>0</v>
      </c>
      <c r="O917" s="157"/>
      <c r="P917" s="158" t="s">
        <v>480</v>
      </c>
      <c r="Q917" s="159" t="s">
        <v>480</v>
      </c>
      <c r="R917" s="148" t="s">
        <v>480</v>
      </c>
      <c r="S917" s="148" t="s">
        <v>480</v>
      </c>
      <c r="T917" s="161" t="s">
        <v>480</v>
      </c>
      <c r="U917" s="152" t="s">
        <v>480</v>
      </c>
      <c r="V917" s="146" t="s">
        <v>480</v>
      </c>
      <c r="W917" s="152" t="s">
        <v>480</v>
      </c>
      <c r="X917" s="171" t="s">
        <v>668</v>
      </c>
      <c r="Y917" s="171" t="s">
        <v>668</v>
      </c>
      <c r="Z917" s="168" t="e">
        <f t="shared" si="217"/>
        <v>#VALUE!</v>
      </c>
      <c r="AA917" s="169">
        <f t="shared" si="218"/>
        <v>0</v>
      </c>
      <c r="AB917" s="170" t="e">
        <f t="shared" si="219"/>
        <v>#VALUE!</v>
      </c>
      <c r="AC917" s="170" t="e">
        <f t="shared" si="220"/>
        <v>#VALUE!</v>
      </c>
    </row>
    <row r="918" spans="1:30" s="128" customFormat="1" ht="9.75" hidden="1" customHeight="1" x14ac:dyDescent="0.3">
      <c r="A918" s="99">
        <v>46254</v>
      </c>
      <c r="B918" s="59">
        <v>8186402</v>
      </c>
      <c r="C918" s="60" t="s">
        <v>46</v>
      </c>
      <c r="D918" s="60" t="s">
        <v>374</v>
      </c>
      <c r="E918" s="61">
        <v>0.375</v>
      </c>
      <c r="F918" s="60" t="s">
        <v>13</v>
      </c>
      <c r="G918" s="71" t="s">
        <v>47</v>
      </c>
      <c r="H918" s="62">
        <v>46254.374305555553</v>
      </c>
      <c r="I918" s="113" t="str">
        <f t="shared" si="221"/>
        <v>20-08-2026T08:59:00</v>
      </c>
      <c r="J918" s="62">
        <v>46256.243055555555</v>
      </c>
      <c r="K918" s="62"/>
      <c r="L918" s="63">
        <f t="shared" ref="L918:L944" si="222">J918-H918</f>
        <v>1.8687500000014552</v>
      </c>
      <c r="M918" s="64">
        <v>1.9166666666666667</v>
      </c>
      <c r="N918" s="65" t="str">
        <f t="shared" ref="N918:N944" si="223">IF(M918-L918&gt;0,TEXT(M918-L918,"HH:MM:SS"),TEXT(ABS(M918-L918),"-HH:MM:SS"))</f>
        <v>01:09:00</v>
      </c>
      <c r="O918" s="66"/>
      <c r="P918" s="124"/>
      <c r="Q918" s="67" t="s">
        <v>96</v>
      </c>
      <c r="R918" s="68">
        <v>46256.022222222222</v>
      </c>
      <c r="S918" s="68">
        <v>46256.097222222219</v>
      </c>
      <c r="T918" s="69">
        <f t="shared" ref="T918:T944" si="224">S918-R918</f>
        <v>7.4999999997089617E-2</v>
      </c>
      <c r="U918" s="61"/>
      <c r="V918" s="83">
        <v>8.3333333333333329E-2</v>
      </c>
      <c r="W918" s="61">
        <f t="shared" ref="W918:W944" si="225">T918-V918</f>
        <v>-8.3333333362437118E-3</v>
      </c>
      <c r="X918" s="171">
        <v>46254.374305555553</v>
      </c>
      <c r="Y918" s="171">
        <v>46256.243055555555</v>
      </c>
      <c r="Z918" s="168">
        <f t="shared" si="217"/>
        <v>1.8687500000014552</v>
      </c>
      <c r="AA918" s="169">
        <f t="shared" si="218"/>
        <v>1.9166666666666667</v>
      </c>
      <c r="AB918" s="170" t="str">
        <f t="shared" si="219"/>
        <v>01:09:00</v>
      </c>
      <c r="AC918" s="170" t="b">
        <f t="shared" si="220"/>
        <v>1</v>
      </c>
    </row>
    <row r="919" spans="1:30" s="128" customFormat="1" ht="9.75" hidden="1" customHeight="1" x14ac:dyDescent="0.3">
      <c r="A919" s="99">
        <v>46254</v>
      </c>
      <c r="B919" s="59">
        <v>8186397</v>
      </c>
      <c r="C919" s="60" t="s">
        <v>48</v>
      </c>
      <c r="D919" s="60" t="s">
        <v>183</v>
      </c>
      <c r="E919" s="61">
        <v>0.375</v>
      </c>
      <c r="F919" s="60" t="s">
        <v>49</v>
      </c>
      <c r="G919" s="71" t="s">
        <v>13</v>
      </c>
      <c r="H919" s="62">
        <v>0.37361111111111112</v>
      </c>
      <c r="I919" s="113" t="str">
        <f t="shared" si="221"/>
        <v>20-08-2026T08:58:00</v>
      </c>
      <c r="J919" s="62">
        <v>0.93263888888888891</v>
      </c>
      <c r="K919" s="62"/>
      <c r="L919" s="63">
        <f t="shared" si="222"/>
        <v>0.55902777777777779</v>
      </c>
      <c r="M919" s="64">
        <v>0.58333333333333337</v>
      </c>
      <c r="N919" s="65" t="str">
        <f t="shared" si="223"/>
        <v>00:35:00</v>
      </c>
      <c r="O919" s="66"/>
      <c r="P919" s="124"/>
      <c r="Q919" s="67" t="s">
        <v>13</v>
      </c>
      <c r="R919" s="68">
        <v>0.85972222222222228</v>
      </c>
      <c r="S919" s="68">
        <v>0.92013888888888884</v>
      </c>
      <c r="T919" s="69">
        <f t="shared" si="224"/>
        <v>6.0416666666666563E-2</v>
      </c>
      <c r="U919" s="61"/>
      <c r="V919" s="83">
        <v>8.3333333333333329E-2</v>
      </c>
      <c r="W919" s="61">
        <f t="shared" si="225"/>
        <v>-2.2916666666666766E-2</v>
      </c>
      <c r="X919" s="171">
        <v>46254.373611111114</v>
      </c>
      <c r="Y919" s="171">
        <v>46254.932638888888</v>
      </c>
      <c r="Z919" s="168">
        <f t="shared" si="217"/>
        <v>0.55902777777373558</v>
      </c>
      <c r="AA919" s="169">
        <f t="shared" si="218"/>
        <v>0.58333333333333337</v>
      </c>
      <c r="AB919" s="170" t="str">
        <f t="shared" si="219"/>
        <v>00:35:00</v>
      </c>
      <c r="AC919" s="170" t="b">
        <f t="shared" si="220"/>
        <v>1</v>
      </c>
    </row>
    <row r="920" spans="1:30" s="128" customFormat="1" ht="9.75" hidden="1" customHeight="1" x14ac:dyDescent="0.3">
      <c r="A920" s="99">
        <v>46254</v>
      </c>
      <c r="B920" s="59">
        <v>8186477</v>
      </c>
      <c r="C920" s="60" t="s">
        <v>51</v>
      </c>
      <c r="D920" s="60" t="s">
        <v>295</v>
      </c>
      <c r="E920" s="61">
        <v>0.41666666666666669</v>
      </c>
      <c r="F920" s="60" t="s">
        <v>13</v>
      </c>
      <c r="G920" s="71" t="s">
        <v>49</v>
      </c>
      <c r="H920" s="62">
        <v>0.42083333333333334</v>
      </c>
      <c r="I920" s="113" t="str">
        <f t="shared" si="221"/>
        <v>20-08-2026T10:06:00</v>
      </c>
      <c r="J920" s="62">
        <v>0.90625</v>
      </c>
      <c r="K920" s="62"/>
      <c r="L920" s="63">
        <f t="shared" si="222"/>
        <v>0.48541666666666666</v>
      </c>
      <c r="M920" s="64">
        <v>0.5</v>
      </c>
      <c r="N920" s="65" t="str">
        <f t="shared" si="223"/>
        <v>00:21:00</v>
      </c>
      <c r="O920" s="66"/>
      <c r="P920" s="124"/>
      <c r="Q920" s="67"/>
      <c r="R920" s="68"/>
      <c r="S920" s="68"/>
      <c r="T920" s="69">
        <f t="shared" si="224"/>
        <v>0</v>
      </c>
      <c r="U920" s="61" t="s">
        <v>234</v>
      </c>
      <c r="V920" s="83">
        <v>0</v>
      </c>
      <c r="W920" s="61">
        <f t="shared" si="225"/>
        <v>0</v>
      </c>
      <c r="X920" s="171">
        <v>46254.42083333333</v>
      </c>
      <c r="Y920" s="171">
        <v>46254.90625</v>
      </c>
      <c r="Z920" s="168">
        <f t="shared" si="217"/>
        <v>0.48541666667006211</v>
      </c>
      <c r="AA920" s="169">
        <f t="shared" si="218"/>
        <v>0.5</v>
      </c>
      <c r="AB920" s="170" t="str">
        <f t="shared" si="219"/>
        <v>00:21:00</v>
      </c>
      <c r="AC920" s="170" t="b">
        <f t="shared" si="220"/>
        <v>1</v>
      </c>
    </row>
    <row r="921" spans="1:30" s="127" customFormat="1" ht="9.75" hidden="1" customHeight="1" x14ac:dyDescent="0.3">
      <c r="A921" s="98">
        <v>46254</v>
      </c>
      <c r="B921" s="48">
        <v>8186982</v>
      </c>
      <c r="C921" s="49" t="s">
        <v>86</v>
      </c>
      <c r="D921" s="49" t="s">
        <v>618</v>
      </c>
      <c r="E921" s="50">
        <v>0.41666666666666669</v>
      </c>
      <c r="F921" s="49" t="s">
        <v>31</v>
      </c>
      <c r="G921" s="70" t="s">
        <v>13</v>
      </c>
      <c r="H921" s="51">
        <v>46254.604861111111</v>
      </c>
      <c r="I921" s="113" t="str">
        <f t="shared" si="221"/>
        <v>20-08-2026T14:31:00</v>
      </c>
      <c r="J921" s="51">
        <v>46255.717361111114</v>
      </c>
      <c r="K921" s="51"/>
      <c r="L921" s="52">
        <f t="shared" si="222"/>
        <v>1.1125000000029104</v>
      </c>
      <c r="M921" s="53">
        <v>0.75</v>
      </c>
      <c r="N921" s="54" t="str">
        <f t="shared" si="223"/>
        <v>-08:42:00</v>
      </c>
      <c r="O921" s="55">
        <v>1600</v>
      </c>
      <c r="P921" s="147" t="s">
        <v>680</v>
      </c>
      <c r="Q921" s="56" t="s">
        <v>45</v>
      </c>
      <c r="R921" s="57">
        <v>0.7993055555555556</v>
      </c>
      <c r="S921" s="57">
        <v>0.93194444444444446</v>
      </c>
      <c r="T921" s="47">
        <f t="shared" si="224"/>
        <v>0.13263888888888886</v>
      </c>
      <c r="U921" s="50"/>
      <c r="V921" s="74">
        <v>8.3333333333333329E-2</v>
      </c>
      <c r="W921" s="50">
        <f t="shared" si="225"/>
        <v>4.9305555555555533E-2</v>
      </c>
      <c r="X921" s="171">
        <v>46254.604861111111</v>
      </c>
      <c r="Y921" s="171">
        <v>46255.717361111114</v>
      </c>
      <c r="Z921" s="168">
        <f t="shared" si="217"/>
        <v>1.1125000000029104</v>
      </c>
      <c r="AA921" s="169">
        <f t="shared" si="218"/>
        <v>0.75</v>
      </c>
      <c r="AB921" s="170" t="str">
        <f t="shared" si="219"/>
        <v>-08:42:00</v>
      </c>
      <c r="AC921" s="170" t="b">
        <f t="shared" si="220"/>
        <v>1</v>
      </c>
    </row>
    <row r="922" spans="1:30" s="128" customFormat="1" ht="9.75" customHeight="1" x14ac:dyDescent="0.3">
      <c r="A922" s="99">
        <v>46254</v>
      </c>
      <c r="B922" s="59">
        <v>8185392</v>
      </c>
      <c r="C922" s="60" t="s">
        <v>90</v>
      </c>
      <c r="D922" s="60" t="s">
        <v>290</v>
      </c>
      <c r="E922" s="61">
        <v>0.99930555555555556</v>
      </c>
      <c r="F922" s="60" t="s">
        <v>13</v>
      </c>
      <c r="G922" s="71" t="s">
        <v>15</v>
      </c>
      <c r="H922" s="62">
        <v>1.1805555555555555E-2</v>
      </c>
      <c r="I922" s="113" t="str">
        <f t="shared" si="221"/>
        <v>20-08-2026T00:17:00</v>
      </c>
      <c r="J922" s="62">
        <v>0.24652777777777779</v>
      </c>
      <c r="K922" s="113" t="str">
        <f t="shared" ref="K922:K923" si="226">TEXT(A922,"dd-mm-yyyy")&amp;"T"&amp;TEXT(J922,"hh:mm:ss")</f>
        <v>20-08-2026T05:55:00</v>
      </c>
      <c r="L922" s="63">
        <f t="shared" si="222"/>
        <v>0.23472222222222222</v>
      </c>
      <c r="M922" s="64">
        <v>0.27083333333333331</v>
      </c>
      <c r="N922" s="65" t="str">
        <f t="shared" si="223"/>
        <v>00:52:00</v>
      </c>
      <c r="O922" s="66"/>
      <c r="P922" s="124"/>
      <c r="Q922" s="67" t="s">
        <v>13</v>
      </c>
      <c r="R922" s="68">
        <v>2.7083333333333334E-2</v>
      </c>
      <c r="S922" s="68">
        <v>5.9027777777777776E-2</v>
      </c>
      <c r="T922" s="69">
        <f t="shared" si="224"/>
        <v>3.1944444444444442E-2</v>
      </c>
      <c r="U922" s="61"/>
      <c r="V922" s="83">
        <v>4.1666666666666664E-2</v>
      </c>
      <c r="W922" s="61">
        <f t="shared" si="225"/>
        <v>-9.7222222222222224E-3</v>
      </c>
      <c r="X922" s="171">
        <v>46254.011805555558</v>
      </c>
      <c r="Y922" s="171">
        <v>46254.246527777781</v>
      </c>
      <c r="Z922" s="168">
        <f t="shared" si="217"/>
        <v>0.23472222222335404</v>
      </c>
      <c r="AA922" s="169">
        <f t="shared" si="218"/>
        <v>0.27083333333333331</v>
      </c>
      <c r="AB922" s="170" t="str">
        <f t="shared" si="219"/>
        <v>00:52:00</v>
      </c>
      <c r="AC922" s="170" t="b">
        <f t="shared" si="220"/>
        <v>1</v>
      </c>
    </row>
    <row r="923" spans="1:30" s="128" customFormat="1" ht="9.75" hidden="1" customHeight="1" x14ac:dyDescent="0.3">
      <c r="A923" s="99">
        <v>46254</v>
      </c>
      <c r="B923" s="59">
        <v>8186507</v>
      </c>
      <c r="C923" s="60" t="s">
        <v>90</v>
      </c>
      <c r="D923" s="60" t="s">
        <v>290</v>
      </c>
      <c r="E923" s="61">
        <v>0.4375</v>
      </c>
      <c r="F923" s="60" t="s">
        <v>15</v>
      </c>
      <c r="G923" s="71" t="s">
        <v>13</v>
      </c>
      <c r="H923" s="62">
        <v>0.43611111111111112</v>
      </c>
      <c r="I923" s="113" t="str">
        <f t="shared" si="221"/>
        <v>20-08-2026T10:28:00</v>
      </c>
      <c r="J923" s="62">
        <v>0.64444444444444449</v>
      </c>
      <c r="K923" s="113" t="str">
        <f t="shared" si="226"/>
        <v>20-08-2026T15:28:00</v>
      </c>
      <c r="L923" s="63">
        <f t="shared" si="222"/>
        <v>0.20833333333333337</v>
      </c>
      <c r="M923" s="64">
        <v>0.20833333333333334</v>
      </c>
      <c r="N923" s="65" t="str">
        <f t="shared" si="223"/>
        <v>-00:00:00</v>
      </c>
      <c r="O923" s="66"/>
      <c r="P923" s="124"/>
      <c r="Q923" s="67"/>
      <c r="R923" s="68"/>
      <c r="S923" s="68"/>
      <c r="T923" s="69">
        <f t="shared" si="224"/>
        <v>0</v>
      </c>
      <c r="U923" s="61"/>
      <c r="V923" s="83">
        <v>0</v>
      </c>
      <c r="W923" s="61">
        <f t="shared" si="225"/>
        <v>0</v>
      </c>
      <c r="X923" s="171">
        <v>46254.436111111114</v>
      </c>
      <c r="Y923" s="171">
        <v>46254.644444444442</v>
      </c>
      <c r="Z923" s="168">
        <f t="shared" si="217"/>
        <v>0.20833333332848269</v>
      </c>
      <c r="AA923" s="169">
        <f t="shared" si="218"/>
        <v>0.20833333333333334</v>
      </c>
      <c r="AB923" s="170" t="str">
        <f t="shared" si="219"/>
        <v>00:00:00</v>
      </c>
      <c r="AC923" s="170" t="b">
        <f t="shared" si="220"/>
        <v>0</v>
      </c>
      <c r="AD923" s="128">
        <v>0</v>
      </c>
    </row>
    <row r="924" spans="1:30" s="128" customFormat="1" ht="9.75" hidden="1" customHeight="1" x14ac:dyDescent="0.3">
      <c r="A924" s="99">
        <v>46254</v>
      </c>
      <c r="B924" s="59">
        <v>8186591</v>
      </c>
      <c r="C924" s="60" t="s">
        <v>41</v>
      </c>
      <c r="D924" s="60" t="s">
        <v>299</v>
      </c>
      <c r="E924" s="61">
        <v>0.45833333333333331</v>
      </c>
      <c r="F924" s="60" t="s">
        <v>13</v>
      </c>
      <c r="G924" s="71" t="s">
        <v>24</v>
      </c>
      <c r="H924" s="62">
        <v>0.46597222222222223</v>
      </c>
      <c r="I924" s="113" t="str">
        <f t="shared" si="221"/>
        <v>20-08-2026T11:11:00</v>
      </c>
      <c r="J924" s="62">
        <v>0.53472222222222221</v>
      </c>
      <c r="K924" s="62"/>
      <c r="L924" s="63">
        <f t="shared" si="222"/>
        <v>6.8749999999999978E-2</v>
      </c>
      <c r="M924" s="64">
        <v>8.3333333333333329E-2</v>
      </c>
      <c r="N924" s="65" t="str">
        <f t="shared" si="223"/>
        <v>00:21:00</v>
      </c>
      <c r="O924" s="66"/>
      <c r="P924" s="124"/>
      <c r="Q924" s="67"/>
      <c r="R924" s="68"/>
      <c r="S924" s="68"/>
      <c r="T924" s="69">
        <f t="shared" si="224"/>
        <v>0</v>
      </c>
      <c r="U924" s="61" t="s">
        <v>234</v>
      </c>
      <c r="V924" s="83">
        <v>0</v>
      </c>
      <c r="W924" s="61">
        <f t="shared" si="225"/>
        <v>0</v>
      </c>
      <c r="X924" s="171">
        <v>46254.46597222222</v>
      </c>
      <c r="Y924" s="171">
        <v>46254.534722222219</v>
      </c>
      <c r="Z924" s="168">
        <f t="shared" si="217"/>
        <v>6.8749999998544808E-2</v>
      </c>
      <c r="AA924" s="169">
        <f t="shared" si="218"/>
        <v>8.3333333333333329E-2</v>
      </c>
      <c r="AB924" s="170" t="str">
        <f t="shared" si="219"/>
        <v>00:21:00</v>
      </c>
      <c r="AC924" s="170" t="b">
        <f t="shared" si="220"/>
        <v>1</v>
      </c>
    </row>
    <row r="925" spans="1:30" s="128" customFormat="1" ht="9.75" hidden="1" customHeight="1" x14ac:dyDescent="0.3">
      <c r="A925" s="99">
        <v>46254</v>
      </c>
      <c r="B925" s="59">
        <v>8185401</v>
      </c>
      <c r="C925" s="60" t="s">
        <v>20</v>
      </c>
      <c r="D925" s="60" t="s">
        <v>232</v>
      </c>
      <c r="E925" s="61">
        <v>0.95833333333333337</v>
      </c>
      <c r="F925" s="60" t="s">
        <v>21</v>
      </c>
      <c r="G925" s="71" t="s">
        <v>13</v>
      </c>
      <c r="H925" s="62">
        <v>2.013888888888889E-2</v>
      </c>
      <c r="I925" s="113" t="str">
        <f t="shared" si="221"/>
        <v>20-08-2026T00:29:00</v>
      </c>
      <c r="J925" s="62">
        <v>0.26319444444444445</v>
      </c>
      <c r="K925" s="62"/>
      <c r="L925" s="63">
        <f t="shared" si="222"/>
        <v>0.24305555555555555</v>
      </c>
      <c r="M925" s="64">
        <v>0.25</v>
      </c>
      <c r="N925" s="65" t="str">
        <f t="shared" si="223"/>
        <v>00:10:00</v>
      </c>
      <c r="O925" s="66"/>
      <c r="P925" s="124"/>
      <c r="Q925" s="67"/>
      <c r="R925" s="68"/>
      <c r="S925" s="68"/>
      <c r="T925" s="69">
        <f t="shared" si="224"/>
        <v>0</v>
      </c>
      <c r="U925" s="61" t="s">
        <v>234</v>
      </c>
      <c r="V925" s="83">
        <v>0</v>
      </c>
      <c r="W925" s="61">
        <f t="shared" si="225"/>
        <v>0</v>
      </c>
      <c r="X925" s="171">
        <v>46254.020138888889</v>
      </c>
      <c r="Y925" s="171">
        <v>46254.263194444444</v>
      </c>
      <c r="Z925" s="168">
        <f t="shared" si="217"/>
        <v>0.24305555555474712</v>
      </c>
      <c r="AA925" s="169">
        <f t="shared" si="218"/>
        <v>0.25</v>
      </c>
      <c r="AB925" s="170" t="str">
        <f t="shared" si="219"/>
        <v>00:10:00</v>
      </c>
      <c r="AC925" s="170" t="b">
        <f t="shared" si="220"/>
        <v>1</v>
      </c>
    </row>
    <row r="926" spans="1:30" s="128" customFormat="1" ht="9.75" hidden="1" customHeight="1" x14ac:dyDescent="0.3">
      <c r="A926" s="99">
        <v>46254</v>
      </c>
      <c r="B926" s="59">
        <v>8186711</v>
      </c>
      <c r="C926" s="60" t="s">
        <v>20</v>
      </c>
      <c r="D926" s="60" t="s">
        <v>232</v>
      </c>
      <c r="E926" s="61">
        <v>0.5</v>
      </c>
      <c r="F926" s="60" t="s">
        <v>13</v>
      </c>
      <c r="G926" s="71" t="s">
        <v>21</v>
      </c>
      <c r="H926" s="62">
        <v>0.5</v>
      </c>
      <c r="I926" s="113" t="str">
        <f t="shared" si="221"/>
        <v>20-08-2026T12:00:00</v>
      </c>
      <c r="J926" s="62">
        <v>0.74652777777777779</v>
      </c>
      <c r="K926" s="62"/>
      <c r="L926" s="63">
        <f t="shared" si="222"/>
        <v>0.24652777777777779</v>
      </c>
      <c r="M926" s="64">
        <v>0.25</v>
      </c>
      <c r="N926" s="65" t="str">
        <f t="shared" si="223"/>
        <v>00:05:00</v>
      </c>
      <c r="O926" s="66"/>
      <c r="P926" s="124"/>
      <c r="Q926" s="67"/>
      <c r="R926" s="68"/>
      <c r="S926" s="68"/>
      <c r="T926" s="69">
        <f t="shared" si="224"/>
        <v>0</v>
      </c>
      <c r="U926" s="61" t="s">
        <v>234</v>
      </c>
      <c r="V926" s="83">
        <v>0</v>
      </c>
      <c r="W926" s="61">
        <f t="shared" si="225"/>
        <v>0</v>
      </c>
      <c r="X926" s="171">
        <v>46254.5</v>
      </c>
      <c r="Y926" s="171">
        <v>46254.746527777781</v>
      </c>
      <c r="Z926" s="168">
        <f t="shared" si="217"/>
        <v>0.24652777778101154</v>
      </c>
      <c r="AA926" s="169">
        <f t="shared" si="218"/>
        <v>0.25</v>
      </c>
      <c r="AB926" s="170" t="str">
        <f t="shared" si="219"/>
        <v>00:05:00</v>
      </c>
      <c r="AC926" s="170" t="b">
        <f t="shared" si="220"/>
        <v>1</v>
      </c>
    </row>
    <row r="927" spans="1:30" s="127" customFormat="1" ht="9.75" hidden="1" customHeight="1" x14ac:dyDescent="0.3">
      <c r="A927" s="98">
        <v>46254</v>
      </c>
      <c r="B927" s="48">
        <v>8187884</v>
      </c>
      <c r="C927" s="49" t="s">
        <v>39</v>
      </c>
      <c r="D927" s="49" t="s">
        <v>392</v>
      </c>
      <c r="E927" s="50">
        <v>0.54166666666666663</v>
      </c>
      <c r="F927" s="49" t="s">
        <v>103</v>
      </c>
      <c r="G927" s="70" t="s">
        <v>13</v>
      </c>
      <c r="H927" s="51">
        <v>46254.893750000003</v>
      </c>
      <c r="I927" s="113" t="str">
        <f t="shared" si="221"/>
        <v>20-08-2026T21:27:00</v>
      </c>
      <c r="J927" s="51">
        <v>46255.65347222222</v>
      </c>
      <c r="K927" s="51"/>
      <c r="L927" s="52">
        <f t="shared" si="222"/>
        <v>0.75972222221753327</v>
      </c>
      <c r="M927" s="53">
        <v>0.70833333333333337</v>
      </c>
      <c r="N927" s="54" t="str">
        <f t="shared" si="223"/>
        <v>-01:14:00</v>
      </c>
      <c r="O927" s="55">
        <v>500</v>
      </c>
      <c r="P927" s="147" t="s">
        <v>633</v>
      </c>
      <c r="Q927" s="56" t="s">
        <v>13</v>
      </c>
      <c r="R927" s="57">
        <v>0.59444444444444444</v>
      </c>
      <c r="S927" s="57">
        <v>0.64861111111111114</v>
      </c>
      <c r="T927" s="58">
        <f t="shared" si="224"/>
        <v>5.4166666666666696E-2</v>
      </c>
      <c r="U927" s="50"/>
      <c r="V927" s="74">
        <v>8.3333333333333329E-2</v>
      </c>
      <c r="W927" s="50">
        <f t="shared" si="225"/>
        <v>-2.9166666666666632E-2</v>
      </c>
      <c r="X927" s="171">
        <v>46254.893750000003</v>
      </c>
      <c r="Y927" s="171">
        <v>46255.65347222222</v>
      </c>
      <c r="Z927" s="168">
        <f t="shared" si="217"/>
        <v>0.75972222221753327</v>
      </c>
      <c r="AA927" s="169">
        <f t="shared" si="218"/>
        <v>0.70833333333333337</v>
      </c>
      <c r="AB927" s="170" t="str">
        <f t="shared" si="219"/>
        <v>-01:14:00</v>
      </c>
      <c r="AC927" s="170" t="b">
        <f t="shared" si="220"/>
        <v>1</v>
      </c>
    </row>
    <row r="928" spans="1:30" s="128" customFormat="1" ht="9.75" hidden="1" customHeight="1" x14ac:dyDescent="0.3">
      <c r="A928" s="99">
        <v>46254</v>
      </c>
      <c r="B928" s="59">
        <v>8186804</v>
      </c>
      <c r="C928" s="60" t="s">
        <v>56</v>
      </c>
      <c r="D928" s="60" t="s">
        <v>472</v>
      </c>
      <c r="E928" s="61">
        <v>0.54166666666666663</v>
      </c>
      <c r="F928" s="60" t="s">
        <v>13</v>
      </c>
      <c r="G928" s="71" t="s">
        <v>15</v>
      </c>
      <c r="H928" s="62">
        <v>0.53819444444444442</v>
      </c>
      <c r="I928" s="113" t="str">
        <f t="shared" si="221"/>
        <v>20-08-2026T12:55:00</v>
      </c>
      <c r="J928" s="62">
        <v>0.74097222222222225</v>
      </c>
      <c r="K928" s="62"/>
      <c r="L928" s="63">
        <f t="shared" si="222"/>
        <v>0.20277777777777783</v>
      </c>
      <c r="M928" s="64">
        <v>0.20833333333333334</v>
      </c>
      <c r="N928" s="65" t="str">
        <f t="shared" si="223"/>
        <v>00:08:00</v>
      </c>
      <c r="O928" s="66"/>
      <c r="P928" s="124"/>
      <c r="Q928" s="67"/>
      <c r="R928" s="68"/>
      <c r="S928" s="68"/>
      <c r="T928" s="69">
        <f t="shared" si="224"/>
        <v>0</v>
      </c>
      <c r="U928" s="61" t="s">
        <v>234</v>
      </c>
      <c r="V928" s="83">
        <v>0</v>
      </c>
      <c r="W928" s="61">
        <f t="shared" si="225"/>
        <v>0</v>
      </c>
      <c r="X928" s="171">
        <v>46254.538194444445</v>
      </c>
      <c r="Y928" s="171">
        <v>46254.740972222222</v>
      </c>
      <c r="Z928" s="168">
        <f t="shared" si="217"/>
        <v>0.20277777777664596</v>
      </c>
      <c r="AA928" s="169">
        <f t="shared" si="218"/>
        <v>0.20833333333333334</v>
      </c>
      <c r="AB928" s="170" t="str">
        <f t="shared" si="219"/>
        <v>00:08:00</v>
      </c>
      <c r="AC928" s="170" t="b">
        <f t="shared" si="220"/>
        <v>1</v>
      </c>
    </row>
    <row r="929" spans="1:29" s="127" customFormat="1" ht="9.75" hidden="1" customHeight="1" x14ac:dyDescent="0.3">
      <c r="A929" s="98">
        <v>46254</v>
      </c>
      <c r="B929" s="48">
        <v>8187077</v>
      </c>
      <c r="C929" s="49" t="s">
        <v>18</v>
      </c>
      <c r="D929" s="49" t="s">
        <v>389</v>
      </c>
      <c r="E929" s="50">
        <v>0.64583333333333337</v>
      </c>
      <c r="F929" s="49" t="s">
        <v>19</v>
      </c>
      <c r="G929" s="70" t="s">
        <v>13</v>
      </c>
      <c r="H929" s="51">
        <v>0.63888888888888884</v>
      </c>
      <c r="I929" s="113" t="str">
        <f t="shared" si="221"/>
        <v>20-08-2026T15:20:00</v>
      </c>
      <c r="J929" s="51">
        <v>46255.118750000001</v>
      </c>
      <c r="K929" s="51"/>
      <c r="L929" s="52">
        <f t="shared" si="222"/>
        <v>46254.479861111111</v>
      </c>
      <c r="M929" s="53">
        <v>0.4375</v>
      </c>
      <c r="N929" s="54" t="str">
        <f t="shared" si="223"/>
        <v>-01:01:00</v>
      </c>
      <c r="O929" s="55">
        <v>400</v>
      </c>
      <c r="P929" s="147" t="s">
        <v>598</v>
      </c>
      <c r="Q929" s="56" t="s">
        <v>229</v>
      </c>
      <c r="R929" s="57">
        <v>0.75</v>
      </c>
      <c r="S929" s="57">
        <v>0.80555555555555558</v>
      </c>
      <c r="T929" s="58">
        <f t="shared" si="224"/>
        <v>5.555555555555558E-2</v>
      </c>
      <c r="U929" s="50"/>
      <c r="V929" s="74">
        <v>8.3333333333333329E-2</v>
      </c>
      <c r="W929" s="50">
        <f t="shared" si="225"/>
        <v>-2.7777777777777748E-2</v>
      </c>
      <c r="X929" s="171">
        <v>46254.638888888891</v>
      </c>
      <c r="Y929" s="171">
        <v>46255.118750000001</v>
      </c>
      <c r="Z929" s="168">
        <f t="shared" si="217"/>
        <v>0.47986111111094942</v>
      </c>
      <c r="AA929" s="169">
        <f t="shared" si="218"/>
        <v>0.4375</v>
      </c>
      <c r="AB929" s="170" t="str">
        <f t="shared" si="219"/>
        <v>-01:01:00</v>
      </c>
      <c r="AC929" s="170" t="b">
        <f t="shared" si="220"/>
        <v>1</v>
      </c>
    </row>
    <row r="930" spans="1:29" s="128" customFormat="1" ht="9.75" hidden="1" customHeight="1" x14ac:dyDescent="0.3">
      <c r="A930" s="99">
        <v>46254</v>
      </c>
      <c r="B930" s="59">
        <v>8187282</v>
      </c>
      <c r="C930" s="60" t="s">
        <v>57</v>
      </c>
      <c r="D930" s="60" t="s">
        <v>288</v>
      </c>
      <c r="E930" s="61">
        <v>0.70833333333333337</v>
      </c>
      <c r="F930" s="60" t="s">
        <v>13</v>
      </c>
      <c r="G930" s="71" t="s">
        <v>24</v>
      </c>
      <c r="H930" s="62">
        <v>0.70902777777777781</v>
      </c>
      <c r="I930" s="113" t="str">
        <f t="shared" si="221"/>
        <v>20-08-2026T17:01:00</v>
      </c>
      <c r="J930" s="62">
        <v>0.78125</v>
      </c>
      <c r="K930" s="62"/>
      <c r="L930" s="63">
        <f t="shared" si="222"/>
        <v>7.2222222222222188E-2</v>
      </c>
      <c r="M930" s="64">
        <v>8.3333333333333329E-2</v>
      </c>
      <c r="N930" s="65" t="str">
        <f t="shared" si="223"/>
        <v>00:16:00</v>
      </c>
      <c r="O930" s="66"/>
      <c r="P930" s="124"/>
      <c r="Q930" s="67"/>
      <c r="R930" s="68"/>
      <c r="S930" s="68"/>
      <c r="T930" s="69">
        <f t="shared" si="224"/>
        <v>0</v>
      </c>
      <c r="U930" s="61" t="s">
        <v>234</v>
      </c>
      <c r="V930" s="83">
        <v>0</v>
      </c>
      <c r="W930" s="61">
        <f t="shared" si="225"/>
        <v>0</v>
      </c>
      <c r="X930" s="171">
        <v>46254.709027777775</v>
      </c>
      <c r="Y930" s="171">
        <v>46254.78125</v>
      </c>
      <c r="Z930" s="168">
        <f t="shared" si="217"/>
        <v>7.2222222224809229E-2</v>
      </c>
      <c r="AA930" s="169">
        <f t="shared" si="218"/>
        <v>8.3333333333333329E-2</v>
      </c>
      <c r="AB930" s="170" t="str">
        <f t="shared" si="219"/>
        <v>00:16:00</v>
      </c>
      <c r="AC930" s="170" t="b">
        <f t="shared" si="220"/>
        <v>1</v>
      </c>
    </row>
    <row r="931" spans="1:29" s="128" customFormat="1" ht="9.75" hidden="1" customHeight="1" x14ac:dyDescent="0.3">
      <c r="A931" s="99">
        <v>46254</v>
      </c>
      <c r="B931" s="59">
        <v>8187284</v>
      </c>
      <c r="C931" s="60" t="s">
        <v>84</v>
      </c>
      <c r="D931" s="60" t="s">
        <v>301</v>
      </c>
      <c r="E931" s="61">
        <v>0.70833333333333337</v>
      </c>
      <c r="F931" s="60" t="s">
        <v>85</v>
      </c>
      <c r="G931" s="71" t="s">
        <v>13</v>
      </c>
      <c r="H931" s="62">
        <v>46254.710416666669</v>
      </c>
      <c r="I931" s="113" t="str">
        <f t="shared" si="221"/>
        <v>20-08-2026T17:03:00</v>
      </c>
      <c r="J931" s="62">
        <v>46255.025694444441</v>
      </c>
      <c r="K931" s="62"/>
      <c r="L931" s="63">
        <f t="shared" si="222"/>
        <v>0.31527777777228039</v>
      </c>
      <c r="M931" s="64">
        <v>0.33333333333333331</v>
      </c>
      <c r="N931" s="65" t="str">
        <f t="shared" si="223"/>
        <v>00:26:00</v>
      </c>
      <c r="O931" s="66"/>
      <c r="P931" s="124"/>
      <c r="Q931" s="67" t="s">
        <v>174</v>
      </c>
      <c r="R931" s="68">
        <v>0.77083333333333337</v>
      </c>
      <c r="S931" s="68">
        <v>0.8125</v>
      </c>
      <c r="T931" s="69">
        <f t="shared" si="224"/>
        <v>4.166666666666663E-2</v>
      </c>
      <c r="U931" s="61"/>
      <c r="V931" s="83">
        <v>4.1666666666666664E-2</v>
      </c>
      <c r="W931" s="61">
        <f t="shared" si="225"/>
        <v>0</v>
      </c>
      <c r="X931" s="171">
        <v>46254.710416666669</v>
      </c>
      <c r="Y931" s="171">
        <v>46255.025694444441</v>
      </c>
      <c r="Z931" s="168">
        <f t="shared" si="217"/>
        <v>0.31527777777228039</v>
      </c>
      <c r="AA931" s="169">
        <f t="shared" si="218"/>
        <v>0.33333333333333331</v>
      </c>
      <c r="AB931" s="170" t="str">
        <f t="shared" si="219"/>
        <v>00:26:00</v>
      </c>
      <c r="AC931" s="170" t="b">
        <f t="shared" si="220"/>
        <v>1</v>
      </c>
    </row>
    <row r="932" spans="1:29" s="128" customFormat="1" ht="9.75" hidden="1" customHeight="1" x14ac:dyDescent="0.3">
      <c r="A932" s="99">
        <v>46254</v>
      </c>
      <c r="B932" s="59">
        <v>8187248</v>
      </c>
      <c r="C932" s="60" t="s">
        <v>97</v>
      </c>
      <c r="D932" s="60" t="s">
        <v>468</v>
      </c>
      <c r="E932" s="61">
        <v>0.70833333333333337</v>
      </c>
      <c r="F932" s="60" t="s">
        <v>13</v>
      </c>
      <c r="G932" s="71" t="s">
        <v>23</v>
      </c>
      <c r="H932" s="62">
        <v>46254.696527777778</v>
      </c>
      <c r="I932" s="113" t="str">
        <f t="shared" si="221"/>
        <v>20-08-2026T16:43:00</v>
      </c>
      <c r="J932" s="62">
        <v>46255.833333333336</v>
      </c>
      <c r="K932" s="62"/>
      <c r="L932" s="63">
        <f t="shared" si="222"/>
        <v>1.1368055555576575</v>
      </c>
      <c r="M932" s="64">
        <v>1</v>
      </c>
      <c r="N932" s="65" t="str">
        <f t="shared" si="223"/>
        <v>-03:17:00</v>
      </c>
      <c r="O932" s="66"/>
      <c r="P932" s="124" t="s">
        <v>569</v>
      </c>
      <c r="Q932" s="67"/>
      <c r="R932" s="68"/>
      <c r="S932" s="68"/>
      <c r="T932" s="69">
        <f t="shared" si="224"/>
        <v>0</v>
      </c>
      <c r="U932" s="61"/>
      <c r="V932" s="83">
        <v>0</v>
      </c>
      <c r="W932" s="61">
        <f t="shared" si="225"/>
        <v>0</v>
      </c>
      <c r="X932" s="172">
        <v>46254.696527777778</v>
      </c>
      <c r="Y932" s="172">
        <v>46255.833333333336</v>
      </c>
      <c r="Z932" s="173">
        <f t="shared" si="217"/>
        <v>1.1368055555576575</v>
      </c>
      <c r="AA932" s="174">
        <f t="shared" si="218"/>
        <v>1</v>
      </c>
      <c r="AB932" s="175" t="str">
        <f t="shared" si="219"/>
        <v>-03:17:00</v>
      </c>
      <c r="AC932" s="175" t="b">
        <f t="shared" si="220"/>
        <v>1</v>
      </c>
    </row>
    <row r="933" spans="1:29" s="128" customFormat="1" ht="9.75" hidden="1" customHeight="1" x14ac:dyDescent="0.3">
      <c r="A933" s="99">
        <v>46254</v>
      </c>
      <c r="B933" s="59">
        <v>8187540</v>
      </c>
      <c r="C933" s="60" t="s">
        <v>27</v>
      </c>
      <c r="D933" s="60" t="s">
        <v>378</v>
      </c>
      <c r="E933" s="61">
        <v>0.70833333333333337</v>
      </c>
      <c r="F933" s="60" t="s">
        <v>28</v>
      </c>
      <c r="G933" s="71" t="s">
        <v>13</v>
      </c>
      <c r="H933" s="62">
        <v>0.79861111111111116</v>
      </c>
      <c r="I933" s="113" t="str">
        <f t="shared" si="221"/>
        <v>20-08-2026T19:10:00</v>
      </c>
      <c r="J933" s="62">
        <v>0.96388888888888891</v>
      </c>
      <c r="K933" s="62"/>
      <c r="L933" s="63">
        <f t="shared" si="222"/>
        <v>0.16527777777777775</v>
      </c>
      <c r="M933" s="64">
        <v>0.16666666666666666</v>
      </c>
      <c r="N933" s="65" t="str">
        <f t="shared" si="223"/>
        <v>00:02:00</v>
      </c>
      <c r="O933" s="66"/>
      <c r="P933" s="124"/>
      <c r="Q933" s="67"/>
      <c r="R933" s="68"/>
      <c r="S933" s="68"/>
      <c r="T933" s="69">
        <f t="shared" si="224"/>
        <v>0</v>
      </c>
      <c r="U933" s="61"/>
      <c r="V933" s="83">
        <v>0</v>
      </c>
      <c r="W933" s="61">
        <f t="shared" si="225"/>
        <v>0</v>
      </c>
      <c r="X933" s="171">
        <v>46254.798611111109</v>
      </c>
      <c r="Y933" s="171">
        <v>46254.963888888888</v>
      </c>
      <c r="Z933" s="168">
        <f t="shared" si="217"/>
        <v>0.16527777777810115</v>
      </c>
      <c r="AA933" s="169">
        <f t="shared" si="218"/>
        <v>0.16666666666666666</v>
      </c>
      <c r="AB933" s="170" t="str">
        <f t="shared" si="219"/>
        <v>00:02:00</v>
      </c>
      <c r="AC933" s="170" t="b">
        <f t="shared" si="220"/>
        <v>1</v>
      </c>
    </row>
    <row r="934" spans="1:29" s="128" customFormat="1" ht="9.75" hidden="1" customHeight="1" x14ac:dyDescent="0.3">
      <c r="A934" s="99">
        <v>46254</v>
      </c>
      <c r="B934" s="59">
        <v>8187336</v>
      </c>
      <c r="C934" s="60" t="s">
        <v>89</v>
      </c>
      <c r="D934" s="60" t="s">
        <v>294</v>
      </c>
      <c r="E934" s="61">
        <v>0.75</v>
      </c>
      <c r="F934" s="60" t="s">
        <v>35</v>
      </c>
      <c r="G934" s="71" t="s">
        <v>13</v>
      </c>
      <c r="H934" s="62">
        <v>0.7319444444444444</v>
      </c>
      <c r="I934" s="113" t="str">
        <f t="shared" si="221"/>
        <v>20-08-2026T17:34:00</v>
      </c>
      <c r="J934" s="62">
        <v>0.76180555555555551</v>
      </c>
      <c r="K934" s="62"/>
      <c r="L934" s="63">
        <f t="shared" si="222"/>
        <v>2.9861111111111116E-2</v>
      </c>
      <c r="M934" s="64">
        <v>4.1666666666666664E-2</v>
      </c>
      <c r="N934" s="65" t="str">
        <f t="shared" si="223"/>
        <v>00:17:00</v>
      </c>
      <c r="O934" s="66"/>
      <c r="P934" s="124"/>
      <c r="Q934" s="67"/>
      <c r="R934" s="68"/>
      <c r="S934" s="68"/>
      <c r="T934" s="69">
        <f t="shared" si="224"/>
        <v>0</v>
      </c>
      <c r="U934" s="61"/>
      <c r="V934" s="83">
        <v>0</v>
      </c>
      <c r="W934" s="61">
        <f t="shared" si="225"/>
        <v>0</v>
      </c>
      <c r="X934" s="171">
        <v>46254.731944444444</v>
      </c>
      <c r="Y934" s="171">
        <v>46254.761805555558</v>
      </c>
      <c r="Z934" s="168">
        <f t="shared" si="217"/>
        <v>2.9861111113859806E-2</v>
      </c>
      <c r="AA934" s="169">
        <f t="shared" si="218"/>
        <v>4.1666666666666664E-2</v>
      </c>
      <c r="AB934" s="170" t="str">
        <f t="shared" si="219"/>
        <v>00:17:00</v>
      </c>
      <c r="AC934" s="170" t="b">
        <f t="shared" si="220"/>
        <v>1</v>
      </c>
    </row>
    <row r="935" spans="1:29" s="128" customFormat="1" ht="9.75" hidden="1" customHeight="1" x14ac:dyDescent="0.3">
      <c r="A935" s="99">
        <v>46254</v>
      </c>
      <c r="B935" s="59">
        <v>8187871</v>
      </c>
      <c r="C935" s="60" t="s">
        <v>32</v>
      </c>
      <c r="D935" s="60" t="s">
        <v>476</v>
      </c>
      <c r="E935" s="61">
        <v>0.83333333333333337</v>
      </c>
      <c r="F935" s="60" t="s">
        <v>287</v>
      </c>
      <c r="G935" s="71" t="s">
        <v>13</v>
      </c>
      <c r="H935" s="62">
        <v>46254.890972222223</v>
      </c>
      <c r="I935" s="113" t="str">
        <f t="shared" si="221"/>
        <v>20-08-2026T21:23:00</v>
      </c>
      <c r="J935" s="62">
        <v>46255.022222222222</v>
      </c>
      <c r="K935" s="62"/>
      <c r="L935" s="63">
        <f t="shared" si="222"/>
        <v>0.13124999999854481</v>
      </c>
      <c r="M935" s="64">
        <v>0.14583333333333334</v>
      </c>
      <c r="N935" s="65" t="str">
        <f t="shared" si="223"/>
        <v>00:21:00</v>
      </c>
      <c r="O935" s="66"/>
      <c r="P935" s="124"/>
      <c r="Q935" s="67"/>
      <c r="R935" s="68"/>
      <c r="S935" s="68"/>
      <c r="T935" s="69">
        <f t="shared" si="224"/>
        <v>0</v>
      </c>
      <c r="U935" s="61"/>
      <c r="V935" s="83">
        <v>0</v>
      </c>
      <c r="W935" s="61">
        <f t="shared" si="225"/>
        <v>0</v>
      </c>
      <c r="X935" s="171">
        <v>46254.890972222223</v>
      </c>
      <c r="Y935" s="171">
        <v>46255.022222222222</v>
      </c>
      <c r="Z935" s="168">
        <f t="shared" si="217"/>
        <v>0.13124999999854481</v>
      </c>
      <c r="AA935" s="169">
        <f t="shared" si="218"/>
        <v>0.14583333333333334</v>
      </c>
      <c r="AB935" s="170" t="str">
        <f t="shared" si="219"/>
        <v>00:21:00</v>
      </c>
      <c r="AC935" s="170" t="b">
        <f t="shared" si="220"/>
        <v>1</v>
      </c>
    </row>
    <row r="936" spans="1:29" s="128" customFormat="1" ht="9.75" hidden="1" customHeight="1" x14ac:dyDescent="0.3">
      <c r="A936" s="99">
        <v>46254</v>
      </c>
      <c r="B936" s="59">
        <v>8187819</v>
      </c>
      <c r="C936" s="60" t="s">
        <v>52</v>
      </c>
      <c r="D936" s="60" t="s">
        <v>616</v>
      </c>
      <c r="E936" s="61">
        <v>0.875</v>
      </c>
      <c r="F936" s="60" t="s">
        <v>13</v>
      </c>
      <c r="G936" s="71" t="s">
        <v>15</v>
      </c>
      <c r="H936" s="62">
        <v>46254.873611111114</v>
      </c>
      <c r="I936" s="113" t="str">
        <f t="shared" si="221"/>
        <v>20-08-2026T20:58:00</v>
      </c>
      <c r="J936" s="62">
        <v>46255.076388888891</v>
      </c>
      <c r="K936" s="62"/>
      <c r="L936" s="63">
        <f t="shared" si="222"/>
        <v>0.20277777777664596</v>
      </c>
      <c r="M936" s="64">
        <v>0.20833333333333334</v>
      </c>
      <c r="N936" s="65" t="str">
        <f t="shared" si="223"/>
        <v>00:08:00</v>
      </c>
      <c r="O936" s="66"/>
      <c r="P936" s="124"/>
      <c r="Q936" s="67"/>
      <c r="R936" s="68"/>
      <c r="S936" s="68"/>
      <c r="T936" s="69">
        <f t="shared" si="224"/>
        <v>0</v>
      </c>
      <c r="U936" s="61" t="s">
        <v>234</v>
      </c>
      <c r="V936" s="83">
        <v>0</v>
      </c>
      <c r="W936" s="61">
        <f t="shared" si="225"/>
        <v>0</v>
      </c>
      <c r="X936" s="171">
        <v>46254.873611111114</v>
      </c>
      <c r="Y936" s="171">
        <v>46255.076388888891</v>
      </c>
      <c r="Z936" s="168">
        <f t="shared" si="217"/>
        <v>0.20277777777664596</v>
      </c>
      <c r="AA936" s="169">
        <f t="shared" si="218"/>
        <v>0.20833333333333334</v>
      </c>
      <c r="AB936" s="170" t="str">
        <f t="shared" si="219"/>
        <v>00:08:00</v>
      </c>
      <c r="AC936" s="170" t="b">
        <f t="shared" si="220"/>
        <v>1</v>
      </c>
    </row>
    <row r="937" spans="1:29" s="128" customFormat="1" ht="9.75" hidden="1" customHeight="1" x14ac:dyDescent="0.3">
      <c r="A937" s="99">
        <v>46254</v>
      </c>
      <c r="B937" s="59">
        <v>8187719</v>
      </c>
      <c r="C937" s="60" t="s">
        <v>42</v>
      </c>
      <c r="D937" s="60" t="s">
        <v>181</v>
      </c>
      <c r="E937" s="61">
        <v>0.875</v>
      </c>
      <c r="F937" s="60" t="s">
        <v>55</v>
      </c>
      <c r="G937" s="71" t="s">
        <v>13</v>
      </c>
      <c r="H937" s="62">
        <v>0.84861111111111109</v>
      </c>
      <c r="I937" s="113" t="str">
        <f t="shared" si="221"/>
        <v>20-08-2026T20:22:00</v>
      </c>
      <c r="J937" s="62">
        <v>0.89444444444444449</v>
      </c>
      <c r="K937" s="62"/>
      <c r="L937" s="63">
        <f t="shared" si="222"/>
        <v>4.5833333333333393E-2</v>
      </c>
      <c r="M937" s="64">
        <v>6.25E-2</v>
      </c>
      <c r="N937" s="65" t="str">
        <f t="shared" si="223"/>
        <v>00:24:00</v>
      </c>
      <c r="O937" s="66"/>
      <c r="P937" s="124"/>
      <c r="Q937" s="67"/>
      <c r="R937" s="68"/>
      <c r="S937" s="68"/>
      <c r="T937" s="69">
        <f t="shared" si="224"/>
        <v>0</v>
      </c>
      <c r="U937" s="61"/>
      <c r="V937" s="83">
        <v>0</v>
      </c>
      <c r="W937" s="61">
        <f t="shared" si="225"/>
        <v>0</v>
      </c>
      <c r="X937" s="171">
        <v>46254.848611111112</v>
      </c>
      <c r="Y937" s="171">
        <v>46254.894444444442</v>
      </c>
      <c r="Z937" s="168">
        <f t="shared" si="217"/>
        <v>4.5833333329937886E-2</v>
      </c>
      <c r="AA937" s="169">
        <f t="shared" si="218"/>
        <v>6.25E-2</v>
      </c>
      <c r="AB937" s="170" t="str">
        <f t="shared" si="219"/>
        <v>00:24:00</v>
      </c>
      <c r="AC937" s="170" t="b">
        <f t="shared" si="220"/>
        <v>1</v>
      </c>
    </row>
    <row r="938" spans="1:29" s="128" customFormat="1" ht="9.75" hidden="1" customHeight="1" x14ac:dyDescent="0.3">
      <c r="A938" s="99">
        <v>46254</v>
      </c>
      <c r="B938" s="59">
        <v>8187783</v>
      </c>
      <c r="C938" s="60" t="s">
        <v>54</v>
      </c>
      <c r="D938" s="60" t="s">
        <v>288</v>
      </c>
      <c r="E938" s="61">
        <v>0.875</v>
      </c>
      <c r="F938" s="60" t="s">
        <v>24</v>
      </c>
      <c r="G938" s="71" t="s">
        <v>13</v>
      </c>
      <c r="H938" s="62">
        <v>0.86527777777777781</v>
      </c>
      <c r="I938" s="113" t="str">
        <f t="shared" si="221"/>
        <v>20-08-2026T20:46:00</v>
      </c>
      <c r="J938" s="62">
        <v>0.93819444444444444</v>
      </c>
      <c r="K938" s="62"/>
      <c r="L938" s="63">
        <f t="shared" si="222"/>
        <v>7.291666666666663E-2</v>
      </c>
      <c r="M938" s="64">
        <v>8.3333333333333329E-2</v>
      </c>
      <c r="N938" s="65" t="str">
        <f t="shared" si="223"/>
        <v>00:15:00</v>
      </c>
      <c r="O938" s="66"/>
      <c r="P938" s="124"/>
      <c r="Q938" s="67"/>
      <c r="R938" s="68"/>
      <c r="S938" s="68"/>
      <c r="T938" s="69">
        <f t="shared" si="224"/>
        <v>0</v>
      </c>
      <c r="U938" s="61"/>
      <c r="V938" s="83">
        <v>0</v>
      </c>
      <c r="W938" s="61">
        <f t="shared" si="225"/>
        <v>0</v>
      </c>
      <c r="X938" s="171">
        <v>46254.865277777775</v>
      </c>
      <c r="Y938" s="171">
        <v>46254.938194444447</v>
      </c>
      <c r="Z938" s="168">
        <f t="shared" si="217"/>
        <v>7.2916666671517305E-2</v>
      </c>
      <c r="AA938" s="169">
        <f t="shared" si="218"/>
        <v>8.3333333333333329E-2</v>
      </c>
      <c r="AB938" s="170" t="str">
        <f t="shared" si="219"/>
        <v>00:15:00</v>
      </c>
      <c r="AC938" s="170" t="b">
        <f t="shared" si="220"/>
        <v>1</v>
      </c>
    </row>
    <row r="939" spans="1:29" s="128" customFormat="1" ht="9.75" hidden="1" customHeight="1" x14ac:dyDescent="0.3">
      <c r="A939" s="99">
        <v>46254</v>
      </c>
      <c r="B939" s="59">
        <v>8188067</v>
      </c>
      <c r="C939" s="60" t="s">
        <v>20</v>
      </c>
      <c r="D939" s="60" t="s">
        <v>232</v>
      </c>
      <c r="E939" s="61">
        <v>0.95833333333333337</v>
      </c>
      <c r="F939" s="60" t="s">
        <v>21</v>
      </c>
      <c r="G939" s="71" t="s">
        <v>13</v>
      </c>
      <c r="H939" s="62">
        <v>46254.968055555553</v>
      </c>
      <c r="I939" s="113" t="str">
        <f t="shared" si="221"/>
        <v>20-08-2026T23:14:00</v>
      </c>
      <c r="J939" s="62">
        <v>46255.215277777781</v>
      </c>
      <c r="K939" s="62"/>
      <c r="L939" s="63">
        <f t="shared" si="222"/>
        <v>0.24722222222771961</v>
      </c>
      <c r="M939" s="64">
        <v>0.25</v>
      </c>
      <c r="N939" s="65" t="str">
        <f t="shared" si="223"/>
        <v>00:04:00</v>
      </c>
      <c r="O939" s="66"/>
      <c r="P939" s="124"/>
      <c r="Q939" s="67"/>
      <c r="R939" s="68"/>
      <c r="S939" s="68"/>
      <c r="T939" s="69">
        <f t="shared" si="224"/>
        <v>0</v>
      </c>
      <c r="U939" s="61"/>
      <c r="V939" s="83">
        <v>0</v>
      </c>
      <c r="W939" s="61">
        <f t="shared" si="225"/>
        <v>0</v>
      </c>
      <c r="X939" s="171">
        <v>46254.968055555553</v>
      </c>
      <c r="Y939" s="171">
        <v>46255.215277777781</v>
      </c>
      <c r="Z939" s="168">
        <f t="shared" si="217"/>
        <v>0.24722222222771961</v>
      </c>
      <c r="AA939" s="169">
        <f t="shared" si="218"/>
        <v>0.25</v>
      </c>
      <c r="AB939" s="170" t="str">
        <f t="shared" si="219"/>
        <v>00:04:00</v>
      </c>
      <c r="AC939" s="170" t="b">
        <f t="shared" si="220"/>
        <v>1</v>
      </c>
    </row>
    <row r="940" spans="1:29" s="128" customFormat="1" ht="9.75" hidden="1" customHeight="1" x14ac:dyDescent="0.3">
      <c r="A940" s="99">
        <v>46254</v>
      </c>
      <c r="B940" s="59">
        <v>8188027</v>
      </c>
      <c r="C940" s="60" t="s">
        <v>171</v>
      </c>
      <c r="D940" s="60" t="s">
        <v>296</v>
      </c>
      <c r="E940" s="61">
        <v>0.95833333333333337</v>
      </c>
      <c r="F940" s="60" t="s">
        <v>173</v>
      </c>
      <c r="G940" s="71" t="s">
        <v>13</v>
      </c>
      <c r="H940" s="62">
        <v>46254.95208333333</v>
      </c>
      <c r="I940" s="113" t="str">
        <f t="shared" si="221"/>
        <v>20-08-2026T22:51:00</v>
      </c>
      <c r="J940" s="62">
        <v>46256.802777777775</v>
      </c>
      <c r="K940" s="62"/>
      <c r="L940" s="63">
        <f t="shared" si="222"/>
        <v>1.8506944444452529</v>
      </c>
      <c r="M940" s="64">
        <v>1.9166666666666667</v>
      </c>
      <c r="N940" s="65" t="str">
        <f t="shared" si="223"/>
        <v>01:35:00</v>
      </c>
      <c r="O940" s="66"/>
      <c r="P940" s="124"/>
      <c r="Q940" s="67" t="s">
        <v>96</v>
      </c>
      <c r="R940" s="68">
        <v>46255.102777777778</v>
      </c>
      <c r="S940" s="68">
        <v>46255.22152777778</v>
      </c>
      <c r="T940" s="47">
        <f t="shared" si="224"/>
        <v>0.11875000000145519</v>
      </c>
      <c r="U940" s="61"/>
      <c r="V940" s="83">
        <v>8.3333333333333329E-2</v>
      </c>
      <c r="W940" s="61">
        <f t="shared" si="225"/>
        <v>3.5416666668121863E-2</v>
      </c>
      <c r="X940" s="171">
        <v>46254.95208333333</v>
      </c>
      <c r="Y940" s="171">
        <v>46256.802777777775</v>
      </c>
      <c r="Z940" s="168">
        <f t="shared" si="217"/>
        <v>1.8506944444452529</v>
      </c>
      <c r="AA940" s="169">
        <f t="shared" si="218"/>
        <v>1.9166666666666667</v>
      </c>
      <c r="AB940" s="170" t="str">
        <f t="shared" si="219"/>
        <v>01:35:00</v>
      </c>
      <c r="AC940" s="170" t="b">
        <f t="shared" si="220"/>
        <v>1</v>
      </c>
    </row>
    <row r="941" spans="1:29" s="127" customFormat="1" ht="9.75" hidden="1" customHeight="1" x14ac:dyDescent="0.3">
      <c r="A941" s="98">
        <v>46254</v>
      </c>
      <c r="B941" s="48">
        <v>8188125</v>
      </c>
      <c r="C941" s="49" t="s">
        <v>56</v>
      </c>
      <c r="D941" s="49" t="s">
        <v>472</v>
      </c>
      <c r="E941" s="50">
        <v>0.99930555555555556</v>
      </c>
      <c r="F941" s="49" t="s">
        <v>15</v>
      </c>
      <c r="G941" s="70" t="s">
        <v>13</v>
      </c>
      <c r="H941" s="51">
        <v>0.99791666666666667</v>
      </c>
      <c r="I941" s="113" t="str">
        <f t="shared" si="221"/>
        <v>20-08-2026T23:57:00</v>
      </c>
      <c r="J941" s="51">
        <v>46255.214583333334</v>
      </c>
      <c r="K941" s="51"/>
      <c r="L941" s="52">
        <f t="shared" si="222"/>
        <v>46254.216666666667</v>
      </c>
      <c r="M941" s="53">
        <v>0.20833333333333334</v>
      </c>
      <c r="N941" s="54" t="str">
        <f t="shared" si="223"/>
        <v>-00:12:00</v>
      </c>
      <c r="O941" s="55">
        <v>250</v>
      </c>
      <c r="P941" s="147" t="s">
        <v>632</v>
      </c>
      <c r="Q941" s="56"/>
      <c r="R941" s="57"/>
      <c r="S941" s="57"/>
      <c r="T941" s="58">
        <f t="shared" si="224"/>
        <v>0</v>
      </c>
      <c r="U941" s="50"/>
      <c r="V941" s="74">
        <v>0</v>
      </c>
      <c r="W941" s="50">
        <f t="shared" si="225"/>
        <v>0</v>
      </c>
      <c r="X941" s="171">
        <v>46254.997916666667</v>
      </c>
      <c r="Y941" s="171">
        <v>46255.214583333334</v>
      </c>
      <c r="Z941" s="168">
        <f t="shared" si="217"/>
        <v>0.21666666666715173</v>
      </c>
      <c r="AA941" s="169">
        <f t="shared" si="218"/>
        <v>0.20833333333333334</v>
      </c>
      <c r="AB941" s="170" t="str">
        <f t="shared" si="219"/>
        <v>-00:12:00</v>
      </c>
      <c r="AC941" s="170" t="b">
        <f t="shared" si="220"/>
        <v>1</v>
      </c>
    </row>
    <row r="942" spans="1:29" s="128" customFormat="1" ht="9.75" hidden="1" customHeight="1" x14ac:dyDescent="0.3">
      <c r="A942" s="99">
        <v>46254</v>
      </c>
      <c r="B942" s="59">
        <v>8188124</v>
      </c>
      <c r="C942" s="60" t="s">
        <v>41</v>
      </c>
      <c r="D942" s="60" t="s">
        <v>299</v>
      </c>
      <c r="E942" s="61">
        <v>0.99930555555555556</v>
      </c>
      <c r="F942" s="60" t="s">
        <v>24</v>
      </c>
      <c r="G942" s="71" t="s">
        <v>13</v>
      </c>
      <c r="H942" s="62">
        <v>46254.997916666667</v>
      </c>
      <c r="I942" s="113" t="str">
        <f t="shared" si="221"/>
        <v>20-08-2026T23:57:00</v>
      </c>
      <c r="J942" s="62">
        <v>46255.075694444444</v>
      </c>
      <c r="K942" s="62"/>
      <c r="L942" s="63">
        <f t="shared" si="222"/>
        <v>7.7777777776645962E-2</v>
      </c>
      <c r="M942" s="64">
        <v>8.3333333333333329E-2</v>
      </c>
      <c r="N942" s="65" t="str">
        <f t="shared" si="223"/>
        <v>00:08:00</v>
      </c>
      <c r="O942" s="66"/>
      <c r="P942" s="124"/>
      <c r="Q942" s="67"/>
      <c r="R942" s="68"/>
      <c r="S942" s="68"/>
      <c r="T942" s="69">
        <f t="shared" si="224"/>
        <v>0</v>
      </c>
      <c r="U942" s="61"/>
      <c r="V942" s="83">
        <v>0</v>
      </c>
      <c r="W942" s="61">
        <f t="shared" si="225"/>
        <v>0</v>
      </c>
      <c r="X942" s="171">
        <v>46254.997916666667</v>
      </c>
      <c r="Y942" s="171">
        <v>46255.075694444444</v>
      </c>
      <c r="Z942" s="168">
        <f t="shared" si="217"/>
        <v>7.7777777776645962E-2</v>
      </c>
      <c r="AA942" s="169">
        <f t="shared" si="218"/>
        <v>8.3333333333333329E-2</v>
      </c>
      <c r="AB942" s="170" t="str">
        <f t="shared" si="219"/>
        <v>00:08:00</v>
      </c>
      <c r="AC942" s="170" t="b">
        <f t="shared" si="220"/>
        <v>1</v>
      </c>
    </row>
    <row r="943" spans="1:29" s="127" customFormat="1" ht="9.75" hidden="1" customHeight="1" x14ac:dyDescent="0.3">
      <c r="A943" s="98">
        <v>46254</v>
      </c>
      <c r="B943" s="48">
        <v>8186430</v>
      </c>
      <c r="C943" s="49" t="s">
        <v>22</v>
      </c>
      <c r="D943" s="49" t="s">
        <v>385</v>
      </c>
      <c r="E943" s="50" t="s">
        <v>405</v>
      </c>
      <c r="F943" s="49" t="s">
        <v>376</v>
      </c>
      <c r="G943" s="70" t="s">
        <v>13</v>
      </c>
      <c r="H943" s="51">
        <v>46254.384027777778</v>
      </c>
      <c r="I943" s="113" t="str">
        <f t="shared" si="221"/>
        <v>20-08-2026T09:13:00</v>
      </c>
      <c r="J943" s="51">
        <v>46256.261111111111</v>
      </c>
      <c r="K943" s="51"/>
      <c r="L943" s="52">
        <f t="shared" si="222"/>
        <v>1.8770833333328483</v>
      </c>
      <c r="M943" s="53">
        <v>1.7916666666666667</v>
      </c>
      <c r="N943" s="54" t="str">
        <f t="shared" si="223"/>
        <v>-02:03:00</v>
      </c>
      <c r="O943" s="55"/>
      <c r="P943" s="147" t="s">
        <v>184</v>
      </c>
      <c r="Q943" s="56" t="s">
        <v>13</v>
      </c>
      <c r="R943" s="57">
        <v>46256.172222222223</v>
      </c>
      <c r="S943" s="57">
        <v>46256.256249999999</v>
      </c>
      <c r="T943" s="58">
        <f t="shared" si="224"/>
        <v>8.4027777775190771E-2</v>
      </c>
      <c r="U943" s="50"/>
      <c r="V943" s="74" t="s">
        <v>393</v>
      </c>
      <c r="W943" s="50" t="e">
        <f t="shared" si="225"/>
        <v>#VALUE!</v>
      </c>
      <c r="X943" s="171">
        <v>46254.384027777778</v>
      </c>
      <c r="Y943" s="171">
        <v>46256.261111111111</v>
      </c>
      <c r="Z943" s="168">
        <f t="shared" si="217"/>
        <v>1.8770833333328483</v>
      </c>
      <c r="AA943" s="169">
        <f t="shared" si="218"/>
        <v>1.7916666666666667</v>
      </c>
      <c r="AB943" s="170" t="str">
        <f t="shared" si="219"/>
        <v>-02:03:00</v>
      </c>
      <c r="AC943" s="170" t="b">
        <f t="shared" si="220"/>
        <v>1</v>
      </c>
    </row>
    <row r="944" spans="1:29" s="128" customFormat="1" ht="9.75" hidden="1" customHeight="1" x14ac:dyDescent="0.3">
      <c r="A944" s="99">
        <v>46254</v>
      </c>
      <c r="B944" s="59">
        <v>8187095</v>
      </c>
      <c r="C944" s="60" t="s">
        <v>307</v>
      </c>
      <c r="D944" s="60" t="s">
        <v>464</v>
      </c>
      <c r="E944" s="61" t="s">
        <v>405</v>
      </c>
      <c r="F944" s="60" t="s">
        <v>665</v>
      </c>
      <c r="G944" s="71" t="s">
        <v>13</v>
      </c>
      <c r="H944" s="62">
        <v>46254.645138888889</v>
      </c>
      <c r="I944" s="113" t="str">
        <f t="shared" si="221"/>
        <v>20-08-2026T15:29:00</v>
      </c>
      <c r="J944" s="62">
        <v>46256.123611111114</v>
      </c>
      <c r="K944" s="62"/>
      <c r="L944" s="63">
        <f t="shared" si="222"/>
        <v>1.4784722222248092</v>
      </c>
      <c r="M944" s="64">
        <v>1.6666666666666667</v>
      </c>
      <c r="N944" s="65" t="str">
        <f t="shared" si="223"/>
        <v>04:31:00</v>
      </c>
      <c r="O944" s="66"/>
      <c r="P944" s="124" t="s">
        <v>184</v>
      </c>
      <c r="Q944" s="67"/>
      <c r="R944" s="68"/>
      <c r="S944" s="68"/>
      <c r="T944" s="69">
        <f t="shared" si="224"/>
        <v>0</v>
      </c>
      <c r="U944" s="61"/>
      <c r="V944" s="83">
        <v>0</v>
      </c>
      <c r="W944" s="61">
        <f t="shared" si="225"/>
        <v>0</v>
      </c>
      <c r="X944" s="171">
        <v>46254.645138888889</v>
      </c>
      <c r="Y944" s="171">
        <v>46256.123611111114</v>
      </c>
      <c r="Z944" s="168">
        <f t="shared" si="217"/>
        <v>1.4784722222248092</v>
      </c>
      <c r="AA944" s="169">
        <f t="shared" si="218"/>
        <v>1.6666666666666667</v>
      </c>
      <c r="AB944" s="170" t="str">
        <f t="shared" si="219"/>
        <v>04:31:00</v>
      </c>
      <c r="AC944" s="170" t="b">
        <f t="shared" si="220"/>
        <v>1</v>
      </c>
    </row>
    <row r="945" spans="1:29" ht="9.75" hidden="1" customHeight="1" x14ac:dyDescent="0.3">
      <c r="A945" s="149">
        <v>46250</v>
      </c>
      <c r="B945" s="150" t="s">
        <v>687</v>
      </c>
      <c r="C945" s="151" t="s">
        <v>105</v>
      </c>
      <c r="D945" s="151" t="s">
        <v>634</v>
      </c>
      <c r="E945" s="152">
        <v>0</v>
      </c>
      <c r="F945" s="151" t="s">
        <v>792</v>
      </c>
      <c r="G945" s="153"/>
      <c r="H945" s="154">
        <v>0</v>
      </c>
      <c r="I945" s="113" t="str">
        <f t="shared" si="221"/>
        <v>16-08-2026T00:00:00</v>
      </c>
      <c r="J945" s="154">
        <v>0</v>
      </c>
      <c r="K945" s="154"/>
      <c r="L945" s="155">
        <v>0</v>
      </c>
      <c r="M945" s="160">
        <v>0</v>
      </c>
      <c r="N945" s="156">
        <v>0</v>
      </c>
      <c r="O945" s="157"/>
      <c r="P945" s="158" t="s">
        <v>480</v>
      </c>
      <c r="Q945" s="159" t="s">
        <v>480</v>
      </c>
      <c r="R945" s="148" t="s">
        <v>480</v>
      </c>
      <c r="S945" s="148" t="s">
        <v>480</v>
      </c>
      <c r="T945" s="161" t="s">
        <v>480</v>
      </c>
      <c r="U945" s="152" t="s">
        <v>480</v>
      </c>
      <c r="V945" s="146" t="s">
        <v>480</v>
      </c>
      <c r="W945" s="152" t="s">
        <v>480</v>
      </c>
      <c r="X945" s="171" t="s">
        <v>668</v>
      </c>
      <c r="Y945" s="171" t="s">
        <v>668</v>
      </c>
      <c r="Z945" s="168" t="e">
        <f t="shared" ref="Z945" si="227">Y945-X945</f>
        <v>#VALUE!</v>
      </c>
      <c r="AA945" s="169">
        <f t="shared" ref="AA945" si="228">M945</f>
        <v>0</v>
      </c>
      <c r="AB945" s="170" t="e">
        <f t="shared" ref="AB945" si="229">IF(AA945-Z945&gt;0,TEXT(AA945-Z945,"HH:MM:SS"),TEXT(ABS(AA945-Z945),"-HH:MM:SS"))</f>
        <v>#VALUE!</v>
      </c>
      <c r="AC945" s="170" t="e">
        <f t="shared" ref="AC945" si="230">AB945=N945</f>
        <v>#VALUE!</v>
      </c>
    </row>
    <row r="946" spans="1:29" ht="9.75" hidden="1" customHeight="1" x14ac:dyDescent="0.3">
      <c r="A946" s="149">
        <v>46252</v>
      </c>
      <c r="B946" s="150" t="s">
        <v>687</v>
      </c>
      <c r="C946" s="151" t="s">
        <v>105</v>
      </c>
      <c r="D946" s="151" t="s">
        <v>634</v>
      </c>
      <c r="E946" s="152">
        <v>0</v>
      </c>
      <c r="F946" s="151"/>
      <c r="G946" s="153"/>
      <c r="H946" s="154">
        <v>0</v>
      </c>
      <c r="I946" s="113" t="str">
        <f t="shared" si="221"/>
        <v>18-08-2026T00:00:00</v>
      </c>
      <c r="J946" s="154">
        <v>0</v>
      </c>
      <c r="K946" s="154"/>
      <c r="L946" s="155">
        <v>0</v>
      </c>
      <c r="M946" s="160">
        <v>0</v>
      </c>
      <c r="N946" s="156">
        <v>0</v>
      </c>
      <c r="O946" s="157"/>
      <c r="P946" s="158" t="s">
        <v>480</v>
      </c>
      <c r="Q946" s="159" t="s">
        <v>480</v>
      </c>
      <c r="R946" s="148" t="s">
        <v>480</v>
      </c>
      <c r="S946" s="148" t="s">
        <v>480</v>
      </c>
      <c r="T946" s="161" t="s">
        <v>480</v>
      </c>
      <c r="U946" s="152" t="s">
        <v>480</v>
      </c>
      <c r="V946" s="146" t="s">
        <v>480</v>
      </c>
      <c r="W946" s="152" t="s">
        <v>480</v>
      </c>
      <c r="X946" s="171" t="s">
        <v>668</v>
      </c>
      <c r="Y946" s="171" t="s">
        <v>668</v>
      </c>
      <c r="Z946" s="168" t="e">
        <f t="shared" si="217"/>
        <v>#VALUE!</v>
      </c>
      <c r="AA946" s="169">
        <f t="shared" si="218"/>
        <v>0</v>
      </c>
      <c r="AB946" s="170" t="e">
        <f t="shared" si="219"/>
        <v>#VALUE!</v>
      </c>
      <c r="AC946" s="170" t="e">
        <f t="shared" si="220"/>
        <v>#VALUE!</v>
      </c>
    </row>
    <row r="947" spans="1:29" s="127" customFormat="1" ht="9.75" hidden="1" customHeight="1" x14ac:dyDescent="0.3">
      <c r="A947" s="98">
        <v>46254</v>
      </c>
      <c r="B947" s="48">
        <v>8187591</v>
      </c>
      <c r="C947" s="49" t="s">
        <v>105</v>
      </c>
      <c r="D947" s="49" t="s">
        <v>634</v>
      </c>
      <c r="E947" s="50" t="s">
        <v>405</v>
      </c>
      <c r="F947" s="49" t="s">
        <v>13</v>
      </c>
      <c r="G947" s="70" t="s">
        <v>583</v>
      </c>
      <c r="H947" s="51">
        <v>46254.814583333333</v>
      </c>
      <c r="I947" s="113" t="str">
        <f t="shared" si="221"/>
        <v>20-08-2026T19:33:00</v>
      </c>
      <c r="J947" s="51">
        <v>46256.172222222223</v>
      </c>
      <c r="K947" s="51"/>
      <c r="L947" s="52">
        <f t="shared" ref="L947:L958" si="231">J947-H947</f>
        <v>1.3576388888905058</v>
      </c>
      <c r="M947" s="53">
        <v>1.25</v>
      </c>
      <c r="N947" s="54" t="str">
        <f t="shared" ref="N947:N958" si="232">IF(M947-L947&gt;0,TEXT(M947-L947,"HH:MM:SS"),TEXT(ABS(M947-L947),"-HH:MM:SS"))</f>
        <v>-02:35:00</v>
      </c>
      <c r="O947" s="55"/>
      <c r="P947" s="147" t="s">
        <v>184</v>
      </c>
      <c r="Q947" s="56"/>
      <c r="R947" s="57"/>
      <c r="S947" s="57"/>
      <c r="T947" s="58"/>
      <c r="U947" s="50"/>
      <c r="V947" s="74" t="s">
        <v>393</v>
      </c>
      <c r="W947" s="50" t="e">
        <f t="shared" ref="W947:W958" si="233">T947-V947</f>
        <v>#VALUE!</v>
      </c>
      <c r="X947" s="171">
        <v>46254.814583333333</v>
      </c>
      <c r="Y947" s="171">
        <v>46256.172222222223</v>
      </c>
      <c r="Z947" s="168">
        <f t="shared" si="217"/>
        <v>1.3576388888905058</v>
      </c>
      <c r="AA947" s="169">
        <f t="shared" si="218"/>
        <v>1.25</v>
      </c>
      <c r="AB947" s="170" t="str">
        <f t="shared" si="219"/>
        <v>-02:35:00</v>
      </c>
      <c r="AC947" s="170" t="b">
        <f t="shared" si="220"/>
        <v>1</v>
      </c>
    </row>
    <row r="948" spans="1:29" s="127" customFormat="1" ht="9.75" hidden="1" customHeight="1" x14ac:dyDescent="0.3">
      <c r="A948" s="98">
        <v>46254</v>
      </c>
      <c r="B948" s="48">
        <v>8186754</v>
      </c>
      <c r="C948" s="49" t="s">
        <v>203</v>
      </c>
      <c r="D948" s="49" t="s">
        <v>297</v>
      </c>
      <c r="E948" s="50" t="s">
        <v>405</v>
      </c>
      <c r="F948" s="49" t="s">
        <v>13</v>
      </c>
      <c r="G948" s="70" t="s">
        <v>666</v>
      </c>
      <c r="H948" s="51">
        <v>46254.517361111109</v>
      </c>
      <c r="I948" s="113" t="str">
        <f t="shared" si="221"/>
        <v>20-08-2026T12:25:00</v>
      </c>
      <c r="J948" s="51">
        <v>46255.444444444445</v>
      </c>
      <c r="K948" s="51"/>
      <c r="L948" s="52">
        <f t="shared" si="231"/>
        <v>0.92708333333575865</v>
      </c>
      <c r="M948" s="53">
        <v>0.75</v>
      </c>
      <c r="N948" s="54" t="str">
        <f t="shared" si="232"/>
        <v>-04:15:00</v>
      </c>
      <c r="O948" s="55"/>
      <c r="P948" s="147" t="s">
        <v>184</v>
      </c>
      <c r="Q948" s="56" t="s">
        <v>587</v>
      </c>
      <c r="R948" s="57">
        <v>0.35069444444444442</v>
      </c>
      <c r="S948" s="57">
        <v>0.41875000000000001</v>
      </c>
      <c r="T948" s="58">
        <f t="shared" ref="T948:T958" si="234">S948-R948</f>
        <v>6.8055555555555591E-2</v>
      </c>
      <c r="U948" s="50"/>
      <c r="V948" s="74" t="s">
        <v>393</v>
      </c>
      <c r="W948" s="50" t="e">
        <f t="shared" si="233"/>
        <v>#VALUE!</v>
      </c>
      <c r="X948" s="171">
        <v>46254.517361111109</v>
      </c>
      <c r="Y948" s="171">
        <v>46255.444444444445</v>
      </c>
      <c r="Z948" s="168">
        <f t="shared" si="217"/>
        <v>0.92708333333575865</v>
      </c>
      <c r="AA948" s="169">
        <f t="shared" si="218"/>
        <v>0.75</v>
      </c>
      <c r="AB948" s="170" t="str">
        <f t="shared" si="219"/>
        <v>-04:15:00</v>
      </c>
      <c r="AC948" s="170" t="b">
        <f t="shared" si="220"/>
        <v>1</v>
      </c>
    </row>
    <row r="949" spans="1:29" s="144" customFormat="1" ht="9.75" hidden="1" customHeight="1" x14ac:dyDescent="0.3">
      <c r="A949" s="129">
        <v>46255</v>
      </c>
      <c r="B949" s="130">
        <v>8188207</v>
      </c>
      <c r="C949" s="131" t="s">
        <v>82</v>
      </c>
      <c r="D949" s="131" t="s">
        <v>333</v>
      </c>
      <c r="E949" s="132">
        <v>6.25E-2</v>
      </c>
      <c r="F949" s="131" t="s">
        <v>13</v>
      </c>
      <c r="G949" s="133" t="s">
        <v>26</v>
      </c>
      <c r="H949" s="134">
        <v>6.25E-2</v>
      </c>
      <c r="I949" s="113" t="str">
        <f t="shared" si="221"/>
        <v>21-08-2026T01:30:00</v>
      </c>
      <c r="J949" s="134">
        <v>0.53888888888888886</v>
      </c>
      <c r="K949" s="134"/>
      <c r="L949" s="135">
        <f t="shared" si="231"/>
        <v>0.47638888888888886</v>
      </c>
      <c r="M949" s="136">
        <v>0.41666666666666669</v>
      </c>
      <c r="N949" s="137" t="str">
        <f t="shared" si="232"/>
        <v>-01:26:00</v>
      </c>
      <c r="O949" s="138"/>
      <c r="P949" s="145" t="s">
        <v>567</v>
      </c>
      <c r="Q949" s="140" t="s">
        <v>312</v>
      </c>
      <c r="R949" s="141">
        <v>0.25</v>
      </c>
      <c r="S949" s="141">
        <v>0.37638888888888888</v>
      </c>
      <c r="T949" s="142">
        <f t="shared" si="234"/>
        <v>0.12638888888888888</v>
      </c>
      <c r="U949" s="132"/>
      <c r="V949" s="143">
        <v>4.1666666666666664E-2</v>
      </c>
      <c r="W949" s="132">
        <f t="shared" si="233"/>
        <v>8.4722222222222227E-2</v>
      </c>
      <c r="X949" s="171">
        <v>46255.0625</v>
      </c>
      <c r="Y949" s="171">
        <v>46255.538888888892</v>
      </c>
      <c r="Z949" s="168">
        <f t="shared" si="217"/>
        <v>0.47638888889196096</v>
      </c>
      <c r="AA949" s="169">
        <f t="shared" si="218"/>
        <v>0.41666666666666669</v>
      </c>
      <c r="AB949" s="170" t="str">
        <f t="shared" si="219"/>
        <v>-01:26:00</v>
      </c>
      <c r="AC949" s="170" t="b">
        <f t="shared" si="220"/>
        <v>1</v>
      </c>
    </row>
    <row r="950" spans="1:29" s="127" customFormat="1" ht="9.75" hidden="1" customHeight="1" x14ac:dyDescent="0.3">
      <c r="A950" s="98">
        <v>46255</v>
      </c>
      <c r="B950" s="48">
        <v>8188240</v>
      </c>
      <c r="C950" s="49" t="s">
        <v>53</v>
      </c>
      <c r="D950" s="49" t="s">
        <v>298</v>
      </c>
      <c r="E950" s="50">
        <v>8.3333333333333329E-2</v>
      </c>
      <c r="F950" s="49" t="s">
        <v>13</v>
      </c>
      <c r="G950" s="70" t="s">
        <v>19</v>
      </c>
      <c r="H950" s="51">
        <v>8.1944444444444445E-2</v>
      </c>
      <c r="I950" s="113" t="str">
        <f t="shared" si="221"/>
        <v>21-08-2026T01:58:00</v>
      </c>
      <c r="J950" s="51">
        <v>0.5805555555555556</v>
      </c>
      <c r="K950" s="51"/>
      <c r="L950" s="52">
        <f t="shared" si="231"/>
        <v>0.49861111111111117</v>
      </c>
      <c r="M950" s="53">
        <v>0.41666666666666669</v>
      </c>
      <c r="N950" s="54" t="str">
        <f t="shared" si="232"/>
        <v>-01:58:00</v>
      </c>
      <c r="O950" s="55">
        <v>400</v>
      </c>
      <c r="P950" s="147" t="s">
        <v>657</v>
      </c>
      <c r="Q950" s="56" t="s">
        <v>229</v>
      </c>
      <c r="R950" s="57">
        <v>0.37152777777777779</v>
      </c>
      <c r="S950" s="57">
        <v>0.47222222222222221</v>
      </c>
      <c r="T950" s="47">
        <f t="shared" si="234"/>
        <v>0.10069444444444442</v>
      </c>
      <c r="U950" s="50"/>
      <c r="V950" s="74">
        <v>6.25E-2</v>
      </c>
      <c r="W950" s="50">
        <f t="shared" si="233"/>
        <v>3.819444444444442E-2</v>
      </c>
      <c r="X950" s="171">
        <v>46255.081944444442</v>
      </c>
      <c r="Y950" s="171">
        <v>46255.580555555556</v>
      </c>
      <c r="Z950" s="168">
        <f t="shared" si="217"/>
        <v>0.49861111111385981</v>
      </c>
      <c r="AA950" s="169">
        <f t="shared" si="218"/>
        <v>0.41666666666666669</v>
      </c>
      <c r="AB950" s="170" t="str">
        <f t="shared" si="219"/>
        <v>-01:58:00</v>
      </c>
      <c r="AC950" s="170" t="b">
        <f t="shared" si="220"/>
        <v>1</v>
      </c>
    </row>
    <row r="951" spans="1:29" s="127" customFormat="1" ht="9.75" hidden="1" customHeight="1" x14ac:dyDescent="0.3">
      <c r="A951" s="98">
        <v>46255</v>
      </c>
      <c r="B951" s="48">
        <v>8188239</v>
      </c>
      <c r="C951" s="49" t="s">
        <v>16</v>
      </c>
      <c r="D951" s="49" t="s">
        <v>285</v>
      </c>
      <c r="E951" s="50">
        <v>8.3333333333333329E-2</v>
      </c>
      <c r="F951" s="49" t="s">
        <v>15</v>
      </c>
      <c r="G951" s="70" t="s">
        <v>17</v>
      </c>
      <c r="H951" s="51">
        <v>7.9861111111111105E-2</v>
      </c>
      <c r="I951" s="113" t="str">
        <f t="shared" si="221"/>
        <v>21-08-2026T01:55:00</v>
      </c>
      <c r="J951" s="51">
        <v>0.65347222222222223</v>
      </c>
      <c r="K951" s="51"/>
      <c r="L951" s="52">
        <f t="shared" si="231"/>
        <v>0.57361111111111107</v>
      </c>
      <c r="M951" s="53">
        <v>0.41666666666666669</v>
      </c>
      <c r="N951" s="54" t="str">
        <f t="shared" si="232"/>
        <v>-03:46:00</v>
      </c>
      <c r="O951" s="55">
        <f>250*4</f>
        <v>1000</v>
      </c>
      <c r="P951" s="147" t="s">
        <v>650</v>
      </c>
      <c r="Q951" s="56"/>
      <c r="R951" s="57"/>
      <c r="S951" s="57"/>
      <c r="T951" s="58">
        <f t="shared" si="234"/>
        <v>0</v>
      </c>
      <c r="U951" s="50" t="s">
        <v>234</v>
      </c>
      <c r="V951" s="74">
        <v>0</v>
      </c>
      <c r="W951" s="50">
        <f t="shared" si="233"/>
        <v>0</v>
      </c>
      <c r="X951" s="171">
        <v>7.9861111111111105E-2</v>
      </c>
      <c r="Y951" s="171">
        <v>0.65347222222222223</v>
      </c>
      <c r="Z951" s="168">
        <f t="shared" si="217"/>
        <v>0.57361111111111107</v>
      </c>
      <c r="AA951" s="169">
        <f t="shared" si="218"/>
        <v>0.41666666666666669</v>
      </c>
      <c r="AB951" s="170" t="str">
        <f t="shared" si="219"/>
        <v>-03:46:00</v>
      </c>
      <c r="AC951" s="170" t="b">
        <f t="shared" si="220"/>
        <v>1</v>
      </c>
    </row>
    <row r="952" spans="1:29" s="128" customFormat="1" ht="9.75" hidden="1" customHeight="1" x14ac:dyDescent="0.3">
      <c r="A952" s="99">
        <v>46255</v>
      </c>
      <c r="B952" s="59">
        <v>8188316</v>
      </c>
      <c r="C952" s="60" t="s">
        <v>102</v>
      </c>
      <c r="D952" s="60" t="s">
        <v>384</v>
      </c>
      <c r="E952" s="61">
        <v>0.125</v>
      </c>
      <c r="F952" s="60" t="s">
        <v>23</v>
      </c>
      <c r="G952" s="71" t="s">
        <v>13</v>
      </c>
      <c r="H952" s="62">
        <v>46255.119444444441</v>
      </c>
      <c r="I952" s="113" t="str">
        <f t="shared" si="221"/>
        <v>21-08-2026T02:52:00</v>
      </c>
      <c r="J952" s="62">
        <v>46256.354861111111</v>
      </c>
      <c r="K952" s="62"/>
      <c r="L952" s="63">
        <f t="shared" si="231"/>
        <v>1.2354166666700621</v>
      </c>
      <c r="M952" s="64">
        <v>1.0833333333333333</v>
      </c>
      <c r="N952" s="65" t="str">
        <f t="shared" si="232"/>
        <v>-03:39:00</v>
      </c>
      <c r="O952" s="66"/>
      <c r="P952" s="124" t="s">
        <v>569</v>
      </c>
      <c r="Q952" s="67" t="s">
        <v>13</v>
      </c>
      <c r="R952" s="68">
        <v>46256.279861111114</v>
      </c>
      <c r="S952" s="68">
        <v>46256.349305555559</v>
      </c>
      <c r="T952" s="69">
        <f t="shared" si="234"/>
        <v>6.9444444445252884E-2</v>
      </c>
      <c r="U952" s="61"/>
      <c r="V952" s="83">
        <v>8.3333333333333329E-2</v>
      </c>
      <c r="W952" s="61">
        <f t="shared" si="233"/>
        <v>-1.3888888888080445E-2</v>
      </c>
      <c r="X952" s="172">
        <v>46255.119444444441</v>
      </c>
      <c r="Y952" s="172">
        <v>46256.354861111111</v>
      </c>
      <c r="Z952" s="173">
        <f t="shared" si="217"/>
        <v>1.2354166666700621</v>
      </c>
      <c r="AA952" s="174">
        <f t="shared" si="218"/>
        <v>1.0833333333333333</v>
      </c>
      <c r="AB952" s="175" t="str">
        <f t="shared" si="219"/>
        <v>-03:39:00</v>
      </c>
      <c r="AC952" s="175" t="b">
        <f t="shared" si="220"/>
        <v>1</v>
      </c>
    </row>
    <row r="953" spans="1:29" s="128" customFormat="1" ht="9.75" hidden="1" customHeight="1" x14ac:dyDescent="0.3">
      <c r="A953" s="99">
        <v>46255</v>
      </c>
      <c r="B953" s="59">
        <v>8188347</v>
      </c>
      <c r="C953" s="60" t="s">
        <v>87</v>
      </c>
      <c r="D953" s="60" t="s">
        <v>367</v>
      </c>
      <c r="E953" s="61">
        <v>0.125</v>
      </c>
      <c r="F953" s="60" t="s">
        <v>13</v>
      </c>
      <c r="G953" s="71" t="s">
        <v>284</v>
      </c>
      <c r="H953" s="62">
        <v>0.12638888888888888</v>
      </c>
      <c r="I953" s="113" t="str">
        <f t="shared" si="221"/>
        <v>21-08-2026T03:02:00</v>
      </c>
      <c r="J953" s="62">
        <v>0.47916666666666669</v>
      </c>
      <c r="K953" s="62"/>
      <c r="L953" s="63">
        <f t="shared" si="231"/>
        <v>0.3527777777777778</v>
      </c>
      <c r="M953" s="64">
        <v>0.35416666666666669</v>
      </c>
      <c r="N953" s="65" t="str">
        <f t="shared" si="232"/>
        <v>00:02:00</v>
      </c>
      <c r="O953" s="66"/>
      <c r="P953" s="124"/>
      <c r="Q953" s="67" t="s">
        <v>174</v>
      </c>
      <c r="R953" s="68">
        <v>0.36458333333333331</v>
      </c>
      <c r="S953" s="68">
        <v>0.42638888888888887</v>
      </c>
      <c r="T953" s="69">
        <f t="shared" si="234"/>
        <v>6.1805555555555558E-2</v>
      </c>
      <c r="U953" s="61"/>
      <c r="V953" s="83">
        <v>6.25E-2</v>
      </c>
      <c r="W953" s="61">
        <f t="shared" si="233"/>
        <v>-6.9444444444444198E-4</v>
      </c>
      <c r="X953" s="171">
        <v>46255.126388888886</v>
      </c>
      <c r="Y953" s="171">
        <v>46255.479166666664</v>
      </c>
      <c r="Z953" s="168">
        <f t="shared" si="217"/>
        <v>0.35277777777810115</v>
      </c>
      <c r="AA953" s="169">
        <f t="shared" si="218"/>
        <v>0.35416666666666669</v>
      </c>
      <c r="AB953" s="170" t="str">
        <f t="shared" si="219"/>
        <v>00:02:00</v>
      </c>
      <c r="AC953" s="170" t="b">
        <f t="shared" si="220"/>
        <v>1</v>
      </c>
    </row>
    <row r="954" spans="1:29" s="128" customFormat="1" ht="9.75" hidden="1" customHeight="1" x14ac:dyDescent="0.3">
      <c r="A954" s="99">
        <v>46255</v>
      </c>
      <c r="B954" s="59">
        <v>8188294</v>
      </c>
      <c r="C954" s="60" t="s">
        <v>57</v>
      </c>
      <c r="D954" s="60" t="s">
        <v>288</v>
      </c>
      <c r="E954" s="61">
        <v>0.125</v>
      </c>
      <c r="F954" s="60" t="s">
        <v>24</v>
      </c>
      <c r="G954" s="71" t="s">
        <v>13</v>
      </c>
      <c r="H954" s="62">
        <v>0.10694444444444444</v>
      </c>
      <c r="I954" s="113" t="str">
        <f t="shared" si="221"/>
        <v>21-08-2026T02:34:00</v>
      </c>
      <c r="J954" s="62">
        <v>0.17499999999999999</v>
      </c>
      <c r="K954" s="62"/>
      <c r="L954" s="63">
        <f t="shared" si="231"/>
        <v>6.805555555555555E-2</v>
      </c>
      <c r="M954" s="64">
        <v>8.3333333333333329E-2</v>
      </c>
      <c r="N954" s="65" t="str">
        <f t="shared" si="232"/>
        <v>00:22:00</v>
      </c>
      <c r="O954" s="66"/>
      <c r="P954" s="124"/>
      <c r="Q954" s="67"/>
      <c r="R954" s="68"/>
      <c r="S954" s="68"/>
      <c r="T954" s="69">
        <f t="shared" si="234"/>
        <v>0</v>
      </c>
      <c r="U954" s="61"/>
      <c r="V954" s="83">
        <v>0</v>
      </c>
      <c r="W954" s="61">
        <f t="shared" si="233"/>
        <v>0</v>
      </c>
      <c r="X954" s="171">
        <v>46255.106944444444</v>
      </c>
      <c r="Y954" s="171">
        <v>46255.175000000003</v>
      </c>
      <c r="Z954" s="168">
        <f t="shared" si="217"/>
        <v>6.805555555911269E-2</v>
      </c>
      <c r="AA954" s="169">
        <f t="shared" si="218"/>
        <v>8.3333333333333329E-2</v>
      </c>
      <c r="AB954" s="170" t="str">
        <f t="shared" si="219"/>
        <v>00:22:00</v>
      </c>
      <c r="AC954" s="170" t="b">
        <f t="shared" si="220"/>
        <v>1</v>
      </c>
    </row>
    <row r="955" spans="1:29" s="128" customFormat="1" ht="9.75" hidden="1" customHeight="1" x14ac:dyDescent="0.3">
      <c r="A955" s="99">
        <v>46255</v>
      </c>
      <c r="B955" s="59">
        <v>8188515</v>
      </c>
      <c r="C955" s="60" t="s">
        <v>54</v>
      </c>
      <c r="D955" s="60" t="s">
        <v>288</v>
      </c>
      <c r="E955" s="61">
        <v>0.16666666666666666</v>
      </c>
      <c r="F955" s="60" t="s">
        <v>13</v>
      </c>
      <c r="G955" s="71" t="s">
        <v>24</v>
      </c>
      <c r="H955" s="62">
        <v>0.17569444444444443</v>
      </c>
      <c r="I955" s="113" t="str">
        <f t="shared" si="221"/>
        <v>21-08-2026T04:13:00</v>
      </c>
      <c r="J955" s="62">
        <v>0.24652777777777779</v>
      </c>
      <c r="K955" s="62"/>
      <c r="L955" s="63">
        <f t="shared" si="231"/>
        <v>7.0833333333333359E-2</v>
      </c>
      <c r="M955" s="64">
        <v>8.3333333333333329E-2</v>
      </c>
      <c r="N955" s="65" t="str">
        <f t="shared" si="232"/>
        <v>00:18:00</v>
      </c>
      <c r="O955" s="66"/>
      <c r="P955" s="124"/>
      <c r="Q955" s="67"/>
      <c r="R955" s="68"/>
      <c r="S955" s="68"/>
      <c r="T955" s="69">
        <f t="shared" si="234"/>
        <v>0</v>
      </c>
      <c r="U955" s="61" t="s">
        <v>234</v>
      </c>
      <c r="V955" s="83">
        <v>0</v>
      </c>
      <c r="W955" s="61">
        <f t="shared" si="233"/>
        <v>0</v>
      </c>
      <c r="X955" s="171">
        <v>46255.175694444442</v>
      </c>
      <c r="Y955" s="171">
        <v>46255.246527777781</v>
      </c>
      <c r="Z955" s="168">
        <f t="shared" si="217"/>
        <v>7.0833333338669036E-2</v>
      </c>
      <c r="AA955" s="169">
        <f t="shared" si="218"/>
        <v>8.3333333333333329E-2</v>
      </c>
      <c r="AB955" s="170" t="str">
        <f t="shared" si="219"/>
        <v>00:18:00</v>
      </c>
      <c r="AC955" s="170" t="b">
        <f t="shared" si="220"/>
        <v>1</v>
      </c>
    </row>
    <row r="956" spans="1:29" s="128" customFormat="1" ht="9.75" hidden="1" customHeight="1" x14ac:dyDescent="0.3">
      <c r="A956" s="99">
        <v>46255</v>
      </c>
      <c r="B956" s="59">
        <v>8188490</v>
      </c>
      <c r="C956" s="60" t="s">
        <v>27</v>
      </c>
      <c r="D956" s="60" t="s">
        <v>378</v>
      </c>
      <c r="E956" s="61">
        <v>0.16666666666666666</v>
      </c>
      <c r="F956" s="60" t="s">
        <v>13</v>
      </c>
      <c r="G956" s="71" t="s">
        <v>28</v>
      </c>
      <c r="H956" s="62">
        <v>0.1701388888888889</v>
      </c>
      <c r="I956" s="113" t="str">
        <f t="shared" si="221"/>
        <v>21-08-2026T04:05:00</v>
      </c>
      <c r="J956" s="62">
        <v>0.33333333333333331</v>
      </c>
      <c r="K956" s="62"/>
      <c r="L956" s="63">
        <f t="shared" si="231"/>
        <v>0.16319444444444442</v>
      </c>
      <c r="M956" s="64">
        <v>0.16666666666666666</v>
      </c>
      <c r="N956" s="65" t="str">
        <f t="shared" si="232"/>
        <v>00:05:00</v>
      </c>
      <c r="O956" s="66"/>
      <c r="P956" s="124"/>
      <c r="Q956" s="67"/>
      <c r="R956" s="68"/>
      <c r="S956" s="68"/>
      <c r="T956" s="69">
        <f t="shared" si="234"/>
        <v>0</v>
      </c>
      <c r="U956" s="61"/>
      <c r="V956" s="83">
        <v>0</v>
      </c>
      <c r="W956" s="61">
        <f t="shared" si="233"/>
        <v>0</v>
      </c>
      <c r="X956" s="171">
        <v>46255.170138888891</v>
      </c>
      <c r="Y956" s="171">
        <v>46255.333333333336</v>
      </c>
      <c r="Z956" s="168">
        <f t="shared" si="217"/>
        <v>0.16319444444525288</v>
      </c>
      <c r="AA956" s="169">
        <f t="shared" si="218"/>
        <v>0.16666666666666666</v>
      </c>
      <c r="AB956" s="170" t="str">
        <f t="shared" si="219"/>
        <v>00:05:00</v>
      </c>
      <c r="AC956" s="170" t="b">
        <f t="shared" si="220"/>
        <v>1</v>
      </c>
    </row>
    <row r="957" spans="1:29" s="128" customFormat="1" ht="9.75" hidden="1" customHeight="1" x14ac:dyDescent="0.3">
      <c r="A957" s="99">
        <v>46255</v>
      </c>
      <c r="B957" s="59">
        <v>8188461</v>
      </c>
      <c r="C957" s="60" t="s">
        <v>29</v>
      </c>
      <c r="D957" s="60" t="s">
        <v>373</v>
      </c>
      <c r="E957" s="61">
        <v>0.16666666666666666</v>
      </c>
      <c r="F957" s="60" t="s">
        <v>17</v>
      </c>
      <c r="G957" s="71" t="s">
        <v>15</v>
      </c>
      <c r="H957" s="62">
        <v>0.16458333333333333</v>
      </c>
      <c r="I957" s="113" t="str">
        <f t="shared" si="221"/>
        <v>21-08-2026T03:57:00</v>
      </c>
      <c r="J957" s="62">
        <v>0.65763888888888888</v>
      </c>
      <c r="K957" s="62"/>
      <c r="L957" s="63">
        <f t="shared" si="231"/>
        <v>0.49305555555555558</v>
      </c>
      <c r="M957" s="64">
        <v>0.5</v>
      </c>
      <c r="N957" s="65" t="str">
        <f t="shared" si="232"/>
        <v>00:10:00</v>
      </c>
      <c r="O957" s="66"/>
      <c r="P957" s="124"/>
      <c r="Q957" s="67" t="s">
        <v>98</v>
      </c>
      <c r="R957" s="68">
        <v>0.375</v>
      </c>
      <c r="S957" s="68">
        <v>0.45</v>
      </c>
      <c r="T957" s="69">
        <f t="shared" si="234"/>
        <v>7.5000000000000011E-2</v>
      </c>
      <c r="U957" s="61" t="s">
        <v>234</v>
      </c>
      <c r="V957" s="83">
        <v>8.3333333333333329E-2</v>
      </c>
      <c r="W957" s="61">
        <f t="shared" si="233"/>
        <v>-8.3333333333333176E-3</v>
      </c>
      <c r="X957" s="171">
        <v>0.16458333333333333</v>
      </c>
      <c r="Y957" s="171">
        <v>0.65763888888888888</v>
      </c>
      <c r="Z957" s="168">
        <f t="shared" ref="Z957:Z1020" si="235">Y957-X957</f>
        <v>0.49305555555555558</v>
      </c>
      <c r="AA957" s="169">
        <f t="shared" ref="AA957:AA1020" si="236">M957</f>
        <v>0.5</v>
      </c>
      <c r="AB957" s="170" t="str">
        <f t="shared" ref="AB957:AB1020" si="237">IF(AA957-Z957&gt;0,TEXT(AA957-Z957,"HH:MM:SS"),TEXT(ABS(AA957-Z957),"-HH:MM:SS"))</f>
        <v>00:10:00</v>
      </c>
      <c r="AC957" s="170" t="b">
        <f t="shared" ref="AC957:AC1020" si="238">AB957=N957</f>
        <v>1</v>
      </c>
    </row>
    <row r="958" spans="1:29" s="128" customFormat="1" ht="9.75" hidden="1" customHeight="1" x14ac:dyDescent="0.3">
      <c r="A958" s="99">
        <v>46255</v>
      </c>
      <c r="B958" s="59">
        <v>8188418</v>
      </c>
      <c r="C958" s="60" t="s">
        <v>50</v>
      </c>
      <c r="D958" s="60" t="s">
        <v>329</v>
      </c>
      <c r="E958" s="61">
        <v>0.16666666666666666</v>
      </c>
      <c r="F958" s="60" t="s">
        <v>31</v>
      </c>
      <c r="G958" s="71" t="s">
        <v>13</v>
      </c>
      <c r="H958" s="62">
        <v>0.15347222222222223</v>
      </c>
      <c r="I958" s="113" t="str">
        <f t="shared" si="221"/>
        <v>21-08-2026T03:41:00</v>
      </c>
      <c r="J958" s="62">
        <v>0.7944444444444444</v>
      </c>
      <c r="K958" s="62"/>
      <c r="L958" s="63">
        <f t="shared" si="231"/>
        <v>0.64097222222222217</v>
      </c>
      <c r="M958" s="64">
        <v>0.70833333333333337</v>
      </c>
      <c r="N958" s="65" t="str">
        <f t="shared" si="232"/>
        <v>01:37:00</v>
      </c>
      <c r="O958" s="66"/>
      <c r="P958" s="124"/>
      <c r="Q958" s="67" t="s">
        <v>13</v>
      </c>
      <c r="R958" s="68">
        <v>0.77013888888888893</v>
      </c>
      <c r="S958" s="68">
        <v>0.79166666666666663</v>
      </c>
      <c r="T958" s="69">
        <f t="shared" si="234"/>
        <v>2.1527777777777701E-2</v>
      </c>
      <c r="U958" s="61"/>
      <c r="V958" s="83">
        <v>8.3333333333333329E-2</v>
      </c>
      <c r="W958" s="61">
        <f t="shared" si="233"/>
        <v>-6.1805555555555627E-2</v>
      </c>
      <c r="X958" s="172">
        <v>46255.15347222222</v>
      </c>
      <c r="Y958" s="172">
        <v>46255.794444444444</v>
      </c>
      <c r="Z958" s="173">
        <f t="shared" si="235"/>
        <v>0.64097222222335404</v>
      </c>
      <c r="AA958" s="174">
        <f t="shared" si="236"/>
        <v>0.70833333333333337</v>
      </c>
      <c r="AB958" s="175" t="str">
        <f t="shared" si="237"/>
        <v>01:37:00</v>
      </c>
      <c r="AC958" s="175" t="b">
        <f t="shared" si="238"/>
        <v>1</v>
      </c>
    </row>
    <row r="959" spans="1:29" ht="9.75" hidden="1" customHeight="1" x14ac:dyDescent="0.3">
      <c r="A959" s="149">
        <v>46254</v>
      </c>
      <c r="B959" s="150" t="s">
        <v>687</v>
      </c>
      <c r="C959" s="151" t="s">
        <v>83</v>
      </c>
      <c r="D959" s="151" t="s">
        <v>454</v>
      </c>
      <c r="E959" s="152">
        <v>0</v>
      </c>
      <c r="F959" s="151"/>
      <c r="G959" s="153"/>
      <c r="H959" s="154">
        <v>0</v>
      </c>
      <c r="I959" s="113" t="str">
        <f t="shared" si="221"/>
        <v>20-08-2026T00:00:00</v>
      </c>
      <c r="J959" s="154">
        <v>0</v>
      </c>
      <c r="K959" s="154"/>
      <c r="L959" s="155">
        <v>0</v>
      </c>
      <c r="M959" s="160">
        <v>0</v>
      </c>
      <c r="N959" s="156">
        <v>0</v>
      </c>
      <c r="O959" s="157"/>
      <c r="P959" s="158" t="s">
        <v>480</v>
      </c>
      <c r="Q959" s="159" t="s">
        <v>480</v>
      </c>
      <c r="R959" s="148" t="s">
        <v>480</v>
      </c>
      <c r="S959" s="148" t="s">
        <v>480</v>
      </c>
      <c r="T959" s="161" t="s">
        <v>480</v>
      </c>
      <c r="U959" s="152" t="s">
        <v>480</v>
      </c>
      <c r="V959" s="146" t="s">
        <v>480</v>
      </c>
      <c r="W959" s="152" t="s">
        <v>480</v>
      </c>
      <c r="X959" s="171" t="s">
        <v>668</v>
      </c>
      <c r="Y959" s="171" t="s">
        <v>668</v>
      </c>
      <c r="Z959" s="168" t="e">
        <f t="shared" si="235"/>
        <v>#VALUE!</v>
      </c>
      <c r="AA959" s="169">
        <f t="shared" si="236"/>
        <v>0</v>
      </c>
      <c r="AB959" s="170" t="e">
        <f t="shared" si="237"/>
        <v>#VALUE!</v>
      </c>
      <c r="AC959" s="170" t="e">
        <f t="shared" si="238"/>
        <v>#VALUE!</v>
      </c>
    </row>
    <row r="960" spans="1:29" s="127" customFormat="1" ht="9.75" hidden="1" customHeight="1" x14ac:dyDescent="0.3">
      <c r="A960" s="98">
        <v>46255</v>
      </c>
      <c r="B960" s="48">
        <v>8188479</v>
      </c>
      <c r="C960" s="49" t="s">
        <v>83</v>
      </c>
      <c r="D960" s="49" t="s">
        <v>454</v>
      </c>
      <c r="E960" s="50">
        <v>0.16666666666666666</v>
      </c>
      <c r="F960" s="49" t="s">
        <v>13</v>
      </c>
      <c r="G960" s="70" t="s">
        <v>14</v>
      </c>
      <c r="H960" s="51">
        <v>0.1673611111111111</v>
      </c>
      <c r="I960" s="113" t="str">
        <f t="shared" si="221"/>
        <v>21-08-2026T04:01:00</v>
      </c>
      <c r="J960" s="51">
        <v>0.75972222222222219</v>
      </c>
      <c r="K960" s="51"/>
      <c r="L960" s="52">
        <f t="shared" ref="L960:L991" si="239">J960-H960</f>
        <v>0.59236111111111112</v>
      </c>
      <c r="M960" s="53">
        <v>0.54166666666666663</v>
      </c>
      <c r="N960" s="54" t="str">
        <f t="shared" ref="N960:N991" si="240">IF(M960-L960&gt;0,TEXT(M960-L960,"HH:MM:SS"),TEXT(ABS(M960-L960),"-HH:MM:SS"))</f>
        <v>-01:13:00</v>
      </c>
      <c r="O960" s="55">
        <v>400</v>
      </c>
      <c r="P960" s="147" t="s">
        <v>658</v>
      </c>
      <c r="Q960" s="56"/>
      <c r="R960" s="57"/>
      <c r="S960" s="57"/>
      <c r="T960" s="58">
        <f t="shared" ref="T960:T991" si="241">S960-R960</f>
        <v>0</v>
      </c>
      <c r="U960" s="50" t="s">
        <v>234</v>
      </c>
      <c r="V960" s="74">
        <v>0</v>
      </c>
      <c r="W960" s="50">
        <f t="shared" ref="W960:W991" si="242">T960-V960</f>
        <v>0</v>
      </c>
      <c r="X960" s="171">
        <v>46255.167361111111</v>
      </c>
      <c r="Y960" s="171">
        <v>46255.759722222225</v>
      </c>
      <c r="Z960" s="168">
        <f t="shared" si="235"/>
        <v>0.59236111111385981</v>
      </c>
      <c r="AA960" s="169">
        <f t="shared" si="236"/>
        <v>0.54166666666666663</v>
      </c>
      <c r="AB960" s="170" t="str">
        <f t="shared" si="237"/>
        <v>-01:13:00</v>
      </c>
      <c r="AC960" s="170" t="b">
        <f t="shared" si="238"/>
        <v>1</v>
      </c>
    </row>
    <row r="961" spans="1:29" s="128" customFormat="1" ht="9.75" hidden="1" customHeight="1" x14ac:dyDescent="0.3">
      <c r="A961" s="99">
        <v>46255</v>
      </c>
      <c r="B961" s="59">
        <v>8188645</v>
      </c>
      <c r="C961" s="60" t="s">
        <v>32</v>
      </c>
      <c r="D961" s="60" t="s">
        <v>476</v>
      </c>
      <c r="E961" s="61">
        <v>0.20833333333333334</v>
      </c>
      <c r="F961" s="60" t="s">
        <v>13</v>
      </c>
      <c r="G961" s="71" t="s">
        <v>287</v>
      </c>
      <c r="H961" s="62">
        <v>0.20833333333333334</v>
      </c>
      <c r="I961" s="113" t="str">
        <f t="shared" si="221"/>
        <v>21-08-2026T05:00:00</v>
      </c>
      <c r="J961" s="62">
        <v>0.35069444444444442</v>
      </c>
      <c r="K961" s="62"/>
      <c r="L961" s="63">
        <f t="shared" si="239"/>
        <v>0.14236111111111108</v>
      </c>
      <c r="M961" s="64">
        <v>0.14583333333333334</v>
      </c>
      <c r="N961" s="65" t="str">
        <f t="shared" si="240"/>
        <v>00:05:00</v>
      </c>
      <c r="O961" s="66"/>
      <c r="P961" s="124"/>
      <c r="Q961" s="67"/>
      <c r="R961" s="68"/>
      <c r="S961" s="68"/>
      <c r="T961" s="69">
        <f t="shared" si="241"/>
        <v>0</v>
      </c>
      <c r="U961" s="61"/>
      <c r="V961" s="83">
        <v>0</v>
      </c>
      <c r="W961" s="61">
        <f t="shared" si="242"/>
        <v>0</v>
      </c>
      <c r="X961" s="171">
        <v>46255.208333333336</v>
      </c>
      <c r="Y961" s="171">
        <v>46255.350694444445</v>
      </c>
      <c r="Z961" s="168">
        <f t="shared" si="235"/>
        <v>0.14236111110949423</v>
      </c>
      <c r="AA961" s="169">
        <f t="shared" si="236"/>
        <v>0.14583333333333334</v>
      </c>
      <c r="AB961" s="170" t="str">
        <f t="shared" si="237"/>
        <v>00:05:00</v>
      </c>
      <c r="AC961" s="170" t="b">
        <f t="shared" si="238"/>
        <v>1</v>
      </c>
    </row>
    <row r="962" spans="1:29" s="127" customFormat="1" ht="9.75" hidden="1" customHeight="1" x14ac:dyDescent="0.3">
      <c r="A962" s="98">
        <v>46255</v>
      </c>
      <c r="B962" s="48">
        <v>8188661</v>
      </c>
      <c r="C962" s="49" t="s">
        <v>25</v>
      </c>
      <c r="D962" s="49" t="s">
        <v>477</v>
      </c>
      <c r="E962" s="50">
        <v>0.20833333333333334</v>
      </c>
      <c r="F962" s="49" t="s">
        <v>26</v>
      </c>
      <c r="G962" s="70" t="s">
        <v>13</v>
      </c>
      <c r="H962" s="51">
        <v>0.21180555555555555</v>
      </c>
      <c r="I962" s="113" t="str">
        <f t="shared" si="221"/>
        <v>21-08-2026T05:05:00</v>
      </c>
      <c r="J962" s="51">
        <v>0.67569444444444449</v>
      </c>
      <c r="K962" s="51"/>
      <c r="L962" s="52">
        <f t="shared" si="239"/>
        <v>0.46388888888888891</v>
      </c>
      <c r="M962" s="53">
        <v>0.45833333333333331</v>
      </c>
      <c r="N962" s="54" t="str">
        <f t="shared" si="240"/>
        <v>-00:08:00</v>
      </c>
      <c r="O962" s="55">
        <v>250</v>
      </c>
      <c r="P962" s="147" t="s">
        <v>659</v>
      </c>
      <c r="Q962" s="56" t="s">
        <v>13</v>
      </c>
      <c r="R962" s="57">
        <v>0.59305555555555556</v>
      </c>
      <c r="S962" s="57">
        <v>0.67083333333333328</v>
      </c>
      <c r="T962" s="58">
        <f t="shared" si="241"/>
        <v>7.7777777777777724E-2</v>
      </c>
      <c r="U962" s="50"/>
      <c r="V962" s="74">
        <v>8.3333333333333329E-2</v>
      </c>
      <c r="W962" s="50">
        <f t="shared" si="242"/>
        <v>-5.5555555555556052E-3</v>
      </c>
      <c r="X962" s="171">
        <v>46255.211805555555</v>
      </c>
      <c r="Y962" s="171">
        <v>46255.675694444442</v>
      </c>
      <c r="Z962" s="168">
        <f t="shared" si="235"/>
        <v>0.46388888888759539</v>
      </c>
      <c r="AA962" s="169">
        <f t="shared" si="236"/>
        <v>0.45833333333333331</v>
      </c>
      <c r="AB962" s="170" t="str">
        <f t="shared" si="237"/>
        <v>-00:08:00</v>
      </c>
      <c r="AC962" s="170" t="b">
        <f t="shared" si="238"/>
        <v>1</v>
      </c>
    </row>
    <row r="963" spans="1:29" s="128" customFormat="1" ht="9.75" hidden="1" customHeight="1" x14ac:dyDescent="0.3">
      <c r="A963" s="99">
        <v>46255</v>
      </c>
      <c r="B963" s="59">
        <v>8188812</v>
      </c>
      <c r="C963" s="60" t="s">
        <v>58</v>
      </c>
      <c r="D963" s="60" t="s">
        <v>591</v>
      </c>
      <c r="E963" s="61">
        <v>0.25</v>
      </c>
      <c r="F963" s="60" t="s">
        <v>14</v>
      </c>
      <c r="G963" s="71" t="s">
        <v>13</v>
      </c>
      <c r="H963" s="62">
        <v>0.24722222222222223</v>
      </c>
      <c r="I963" s="113" t="str">
        <f t="shared" si="221"/>
        <v>21-08-2026T05:56:00</v>
      </c>
      <c r="J963" s="62">
        <v>0.77361111111111114</v>
      </c>
      <c r="K963" s="62"/>
      <c r="L963" s="63">
        <f t="shared" si="239"/>
        <v>0.52638888888888891</v>
      </c>
      <c r="M963" s="64">
        <v>0.54166666666666663</v>
      </c>
      <c r="N963" s="65" t="str">
        <f t="shared" si="240"/>
        <v>00:22:00</v>
      </c>
      <c r="O963" s="66"/>
      <c r="P963" s="124"/>
      <c r="Q963" s="67"/>
      <c r="R963" s="68"/>
      <c r="S963" s="68"/>
      <c r="T963" s="69">
        <f t="shared" si="241"/>
        <v>0</v>
      </c>
      <c r="U963" s="61"/>
      <c r="V963" s="83">
        <v>0</v>
      </c>
      <c r="W963" s="61">
        <f t="shared" si="242"/>
        <v>0</v>
      </c>
      <c r="X963" s="171">
        <v>46255.24722222222</v>
      </c>
      <c r="Y963" s="171">
        <v>46255.773611111108</v>
      </c>
      <c r="Z963" s="168">
        <f t="shared" si="235"/>
        <v>0.52638888888759539</v>
      </c>
      <c r="AA963" s="169">
        <f t="shared" si="236"/>
        <v>0.54166666666666663</v>
      </c>
      <c r="AB963" s="170" t="str">
        <f t="shared" si="237"/>
        <v>00:22:00</v>
      </c>
      <c r="AC963" s="170" t="b">
        <f t="shared" si="238"/>
        <v>1</v>
      </c>
    </row>
    <row r="964" spans="1:29" s="128" customFormat="1" ht="9.75" hidden="1" customHeight="1" x14ac:dyDescent="0.3">
      <c r="A964" s="99">
        <v>46255</v>
      </c>
      <c r="B964" s="59">
        <v>8188873</v>
      </c>
      <c r="C964" s="60" t="s">
        <v>89</v>
      </c>
      <c r="D964" s="60" t="s">
        <v>294</v>
      </c>
      <c r="E964" s="61">
        <v>0.25</v>
      </c>
      <c r="F964" s="60" t="s">
        <v>13</v>
      </c>
      <c r="G964" s="71" t="s">
        <v>35</v>
      </c>
      <c r="H964" s="62">
        <v>0.25624999999999998</v>
      </c>
      <c r="I964" s="113" t="str">
        <f t="shared" ref="I964:I1027" si="243">TEXT(A964,"dd-mm-yyyy")&amp;"T"&amp;TEXT(H964,"hh:mm:ss")</f>
        <v>21-08-2026T06:09:00</v>
      </c>
      <c r="J964" s="62">
        <v>0.29166666666666669</v>
      </c>
      <c r="K964" s="62"/>
      <c r="L964" s="63">
        <f t="shared" si="239"/>
        <v>3.5416666666666707E-2</v>
      </c>
      <c r="M964" s="64">
        <v>4.1666666666666664E-2</v>
      </c>
      <c r="N964" s="65" t="str">
        <f t="shared" si="240"/>
        <v>00:09:00</v>
      </c>
      <c r="O964" s="66"/>
      <c r="P964" s="124"/>
      <c r="Q964" s="67"/>
      <c r="R964" s="68"/>
      <c r="S964" s="68"/>
      <c r="T964" s="69">
        <f t="shared" si="241"/>
        <v>0</v>
      </c>
      <c r="U964" s="61"/>
      <c r="V964" s="83">
        <v>0</v>
      </c>
      <c r="W964" s="61">
        <f t="shared" si="242"/>
        <v>0</v>
      </c>
      <c r="X964" s="171">
        <v>46255.256249999999</v>
      </c>
      <c r="Y964" s="171">
        <v>46255.291666666664</v>
      </c>
      <c r="Z964" s="168">
        <f t="shared" si="235"/>
        <v>3.5416666665696539E-2</v>
      </c>
      <c r="AA964" s="169">
        <f t="shared" si="236"/>
        <v>4.1666666666666664E-2</v>
      </c>
      <c r="AB964" s="170" t="str">
        <f t="shared" si="237"/>
        <v>00:09:00</v>
      </c>
      <c r="AC964" s="170" t="b">
        <f t="shared" si="238"/>
        <v>1</v>
      </c>
    </row>
    <row r="965" spans="1:29" s="127" customFormat="1" ht="9.75" hidden="1" customHeight="1" x14ac:dyDescent="0.3">
      <c r="A965" s="98">
        <v>46255</v>
      </c>
      <c r="B965" s="48">
        <v>8188915</v>
      </c>
      <c r="C965" s="49" t="s">
        <v>37</v>
      </c>
      <c r="D965" s="49" t="s">
        <v>466</v>
      </c>
      <c r="E965" s="50">
        <v>0.27083333333333331</v>
      </c>
      <c r="F965" s="49" t="s">
        <v>14</v>
      </c>
      <c r="G965" s="70" t="s">
        <v>13</v>
      </c>
      <c r="H965" s="51">
        <v>0.26944444444444443</v>
      </c>
      <c r="I965" s="113" t="str">
        <f t="shared" si="243"/>
        <v>21-08-2026T06:28:00</v>
      </c>
      <c r="J965" s="51">
        <v>0.90416666666666667</v>
      </c>
      <c r="K965" s="51"/>
      <c r="L965" s="52">
        <f t="shared" si="239"/>
        <v>0.63472222222222219</v>
      </c>
      <c r="M965" s="53">
        <v>0.625</v>
      </c>
      <c r="N965" s="54" t="str">
        <f t="shared" si="240"/>
        <v>-00:14:00</v>
      </c>
      <c r="O965" s="55">
        <v>200</v>
      </c>
      <c r="P965" s="147" t="s">
        <v>455</v>
      </c>
      <c r="Q965" s="56" t="s">
        <v>126</v>
      </c>
      <c r="R965" s="57">
        <v>0.375</v>
      </c>
      <c r="S965" s="57">
        <v>0.42708333333333331</v>
      </c>
      <c r="T965" s="58">
        <f t="shared" si="241"/>
        <v>5.2083333333333315E-2</v>
      </c>
      <c r="U965" s="50"/>
      <c r="V965" s="74">
        <v>6.25E-2</v>
      </c>
      <c r="W965" s="50">
        <f t="shared" si="242"/>
        <v>-1.0416666666666685E-2</v>
      </c>
      <c r="X965" s="171">
        <v>46255.269444444442</v>
      </c>
      <c r="Y965" s="171">
        <v>46255.904166666667</v>
      </c>
      <c r="Z965" s="168">
        <f t="shared" si="235"/>
        <v>0.63472222222480923</v>
      </c>
      <c r="AA965" s="169">
        <f t="shared" si="236"/>
        <v>0.625</v>
      </c>
      <c r="AB965" s="170" t="str">
        <f t="shared" si="237"/>
        <v>-00:14:00</v>
      </c>
      <c r="AC965" s="170" t="b">
        <f t="shared" si="238"/>
        <v>1</v>
      </c>
    </row>
    <row r="966" spans="1:29" s="128" customFormat="1" ht="9.75" hidden="1" customHeight="1" x14ac:dyDescent="0.3">
      <c r="A966" s="99">
        <v>46255</v>
      </c>
      <c r="B966" s="59">
        <v>8188936</v>
      </c>
      <c r="C966" s="60" t="s">
        <v>38</v>
      </c>
      <c r="D966" s="60" t="s">
        <v>289</v>
      </c>
      <c r="E966" s="61">
        <v>0.27083333333333331</v>
      </c>
      <c r="F966" s="60" t="s">
        <v>13</v>
      </c>
      <c r="G966" s="71" t="s">
        <v>14</v>
      </c>
      <c r="H966" s="62">
        <v>0.27777777777777779</v>
      </c>
      <c r="I966" s="113" t="str">
        <f t="shared" si="243"/>
        <v>21-08-2026T06:40:00</v>
      </c>
      <c r="J966" s="62">
        <v>0.90138888888888891</v>
      </c>
      <c r="K966" s="62"/>
      <c r="L966" s="63">
        <f t="shared" si="239"/>
        <v>0.62361111111111112</v>
      </c>
      <c r="M966" s="64">
        <v>0.625</v>
      </c>
      <c r="N966" s="65" t="str">
        <f t="shared" si="240"/>
        <v>00:02:00</v>
      </c>
      <c r="O966" s="66"/>
      <c r="P966" s="124"/>
      <c r="Q966" s="67" t="s">
        <v>15</v>
      </c>
      <c r="R966" s="68">
        <v>0.51736111111111116</v>
      </c>
      <c r="S966" s="68">
        <v>0.56805555555555554</v>
      </c>
      <c r="T966" s="69">
        <f t="shared" si="241"/>
        <v>5.0694444444444375E-2</v>
      </c>
      <c r="U966" s="61" t="s">
        <v>234</v>
      </c>
      <c r="V966" s="83">
        <v>6.25E-2</v>
      </c>
      <c r="W966" s="61">
        <f t="shared" si="242"/>
        <v>-1.1805555555555625E-2</v>
      </c>
      <c r="X966" s="171">
        <v>46255.277777777781</v>
      </c>
      <c r="Y966" s="171">
        <v>46255.901388888888</v>
      </c>
      <c r="Z966" s="168">
        <f t="shared" si="235"/>
        <v>0.62361111110658385</v>
      </c>
      <c r="AA966" s="169">
        <f t="shared" si="236"/>
        <v>0.625</v>
      </c>
      <c r="AB966" s="170" t="str">
        <f t="shared" si="237"/>
        <v>00:02:00</v>
      </c>
      <c r="AC966" s="170" t="b">
        <f t="shared" si="238"/>
        <v>1</v>
      </c>
    </row>
    <row r="967" spans="1:29" s="127" customFormat="1" ht="9.75" hidden="1" customHeight="1" x14ac:dyDescent="0.3">
      <c r="A967" s="98">
        <v>46255</v>
      </c>
      <c r="B967" s="48">
        <v>8188923</v>
      </c>
      <c r="C967" s="49" t="s">
        <v>34</v>
      </c>
      <c r="D967" s="49" t="s">
        <v>379</v>
      </c>
      <c r="E967" s="50">
        <v>0.27083333333333331</v>
      </c>
      <c r="F967" s="49" t="s">
        <v>103</v>
      </c>
      <c r="G967" s="70" t="s">
        <v>13</v>
      </c>
      <c r="H967" s="51">
        <v>0.27152777777777776</v>
      </c>
      <c r="I967" s="113" t="str">
        <f t="shared" si="243"/>
        <v>21-08-2026T06:31:00</v>
      </c>
      <c r="J967" s="51">
        <v>0.98750000000000004</v>
      </c>
      <c r="K967" s="51"/>
      <c r="L967" s="52">
        <f t="shared" si="239"/>
        <v>0.71597222222222223</v>
      </c>
      <c r="M967" s="53">
        <v>0.70833333333333337</v>
      </c>
      <c r="N967" s="54" t="str">
        <f t="shared" si="240"/>
        <v>-00:11:00</v>
      </c>
      <c r="O967" s="55">
        <v>250</v>
      </c>
      <c r="P967" s="147" t="s">
        <v>660</v>
      </c>
      <c r="Q967" s="56" t="s">
        <v>13</v>
      </c>
      <c r="R967" s="57">
        <v>0.93055555555555558</v>
      </c>
      <c r="S967" s="57">
        <v>0.98263888888888884</v>
      </c>
      <c r="T967" s="58">
        <f t="shared" si="241"/>
        <v>5.2083333333333259E-2</v>
      </c>
      <c r="U967" s="50"/>
      <c r="V967" s="74">
        <v>8.3333333333333329E-2</v>
      </c>
      <c r="W967" s="50">
        <f t="shared" si="242"/>
        <v>-3.1250000000000069E-2</v>
      </c>
      <c r="X967" s="171">
        <v>46255.271527777775</v>
      </c>
      <c r="Y967" s="171">
        <v>46255.987500000003</v>
      </c>
      <c r="Z967" s="168">
        <f t="shared" si="235"/>
        <v>0.71597222222771961</v>
      </c>
      <c r="AA967" s="169">
        <f t="shared" si="236"/>
        <v>0.70833333333333337</v>
      </c>
      <c r="AB967" s="170" t="str">
        <f t="shared" si="237"/>
        <v>-00:11:00</v>
      </c>
      <c r="AC967" s="170" t="b">
        <f t="shared" si="238"/>
        <v>1</v>
      </c>
    </row>
    <row r="968" spans="1:29" s="128" customFormat="1" ht="9.75" hidden="1" customHeight="1" x14ac:dyDescent="0.3">
      <c r="A968" s="99">
        <v>46255</v>
      </c>
      <c r="B968" s="59">
        <v>8189025</v>
      </c>
      <c r="C968" s="60" t="s">
        <v>52</v>
      </c>
      <c r="D968" s="60" t="s">
        <v>616</v>
      </c>
      <c r="E968" s="61">
        <v>0.3125</v>
      </c>
      <c r="F968" s="60" t="s">
        <v>15</v>
      </c>
      <c r="G968" s="71" t="s">
        <v>13</v>
      </c>
      <c r="H968" s="62">
        <v>0.30902777777777779</v>
      </c>
      <c r="I968" s="113" t="str">
        <f t="shared" si="243"/>
        <v>21-08-2026T07:25:00</v>
      </c>
      <c r="J968" s="62">
        <v>0.55277777777777781</v>
      </c>
      <c r="K968" s="62"/>
      <c r="L968" s="63">
        <f t="shared" si="239"/>
        <v>0.24375000000000002</v>
      </c>
      <c r="M968" s="64">
        <v>0.25</v>
      </c>
      <c r="N968" s="65" t="str">
        <f t="shared" si="240"/>
        <v>00:09:00</v>
      </c>
      <c r="O968" s="66"/>
      <c r="P968" s="124"/>
      <c r="Q968" s="67" t="s">
        <v>205</v>
      </c>
      <c r="R968" s="68">
        <v>0.38541666666666669</v>
      </c>
      <c r="S968" s="68">
        <v>0.42638888888888887</v>
      </c>
      <c r="T968" s="69">
        <f t="shared" si="241"/>
        <v>4.0972222222222188E-2</v>
      </c>
      <c r="U968" s="61"/>
      <c r="V968" s="83">
        <v>4.1666666666666664E-2</v>
      </c>
      <c r="W968" s="61">
        <f t="shared" si="242"/>
        <v>-6.9444444444447667E-4</v>
      </c>
      <c r="X968" s="171">
        <v>46255.309027777781</v>
      </c>
      <c r="Y968" s="171">
        <v>46255.552777777775</v>
      </c>
      <c r="Z968" s="168">
        <f t="shared" si="235"/>
        <v>0.24374999999417923</v>
      </c>
      <c r="AA968" s="169">
        <f t="shared" si="236"/>
        <v>0.25</v>
      </c>
      <c r="AB968" s="170" t="str">
        <f t="shared" si="237"/>
        <v>00:09:00</v>
      </c>
      <c r="AC968" s="170" t="b">
        <f t="shared" si="238"/>
        <v>1</v>
      </c>
    </row>
    <row r="969" spans="1:29" s="128" customFormat="1" ht="9.75" hidden="1" customHeight="1" x14ac:dyDescent="0.3">
      <c r="A969" s="99">
        <v>46255</v>
      </c>
      <c r="B969" s="59">
        <v>8189046</v>
      </c>
      <c r="C969" s="60" t="s">
        <v>42</v>
      </c>
      <c r="D969" s="60" t="s">
        <v>181</v>
      </c>
      <c r="E969" s="61">
        <v>0.3125</v>
      </c>
      <c r="F969" s="60" t="s">
        <v>13</v>
      </c>
      <c r="G969" s="71" t="s">
        <v>55</v>
      </c>
      <c r="H969" s="62">
        <v>0.31805555555555554</v>
      </c>
      <c r="I969" s="113" t="str">
        <f t="shared" si="243"/>
        <v>21-08-2026T07:38:00</v>
      </c>
      <c r="J969" s="62">
        <v>0.37361111111111112</v>
      </c>
      <c r="K969" s="62"/>
      <c r="L969" s="63">
        <f t="shared" si="239"/>
        <v>5.555555555555558E-2</v>
      </c>
      <c r="M969" s="64">
        <v>6.25E-2</v>
      </c>
      <c r="N969" s="65" t="str">
        <f t="shared" si="240"/>
        <v>00:10:00</v>
      </c>
      <c r="O969" s="66"/>
      <c r="P969" s="124"/>
      <c r="Q969" s="67"/>
      <c r="R969" s="68"/>
      <c r="S969" s="68"/>
      <c r="T969" s="69">
        <f t="shared" si="241"/>
        <v>0</v>
      </c>
      <c r="U969" s="61"/>
      <c r="V969" s="83">
        <v>0</v>
      </c>
      <c r="W969" s="61">
        <f t="shared" si="242"/>
        <v>0</v>
      </c>
      <c r="X969" s="171">
        <v>46255.318055555559</v>
      </c>
      <c r="Y969" s="171">
        <v>46255.373611111114</v>
      </c>
      <c r="Z969" s="168">
        <f t="shared" si="235"/>
        <v>5.5555555554747116E-2</v>
      </c>
      <c r="AA969" s="169">
        <f t="shared" si="236"/>
        <v>6.25E-2</v>
      </c>
      <c r="AB969" s="170" t="str">
        <f t="shared" si="237"/>
        <v>00:10:00</v>
      </c>
      <c r="AC969" s="170" t="b">
        <f t="shared" si="238"/>
        <v>1</v>
      </c>
    </row>
    <row r="970" spans="1:29" s="127" customFormat="1" ht="9.75" hidden="1" customHeight="1" x14ac:dyDescent="0.3">
      <c r="A970" s="98">
        <v>46255</v>
      </c>
      <c r="B970" s="48">
        <v>8189167</v>
      </c>
      <c r="C970" s="49" t="s">
        <v>44</v>
      </c>
      <c r="D970" s="49" t="s">
        <v>651</v>
      </c>
      <c r="E970" s="50">
        <v>0.375</v>
      </c>
      <c r="F970" s="49" t="s">
        <v>13</v>
      </c>
      <c r="G970" s="70" t="s">
        <v>31</v>
      </c>
      <c r="H970" s="51">
        <v>0.37569444444444444</v>
      </c>
      <c r="I970" s="113" t="str">
        <f t="shared" si="243"/>
        <v>21-08-2026T09:01:00</v>
      </c>
      <c r="J970" s="51">
        <v>46256.229861111111</v>
      </c>
      <c r="K970" s="51"/>
      <c r="L970" s="52">
        <f t="shared" si="239"/>
        <v>46255.854166666664</v>
      </c>
      <c r="M970" s="53">
        <v>0.75</v>
      </c>
      <c r="N970" s="54" t="str">
        <f t="shared" si="240"/>
        <v>-02:30:00</v>
      </c>
      <c r="O970" s="55">
        <v>600</v>
      </c>
      <c r="P970" s="147" t="s">
        <v>661</v>
      </c>
      <c r="Q970" s="56" t="s">
        <v>45</v>
      </c>
      <c r="R970" s="57">
        <v>46256.025000000001</v>
      </c>
      <c r="S970" s="57">
        <v>46256.107638888891</v>
      </c>
      <c r="T970" s="58">
        <f t="shared" si="241"/>
        <v>8.2638888889050577E-2</v>
      </c>
      <c r="U970" s="50"/>
      <c r="V970" s="74">
        <v>8.3333333333333329E-2</v>
      </c>
      <c r="W970" s="50">
        <f t="shared" si="242"/>
        <v>-6.9444444428275187E-4</v>
      </c>
      <c r="X970" s="171">
        <v>46255.375694444447</v>
      </c>
      <c r="Y970" s="171">
        <v>46256.229861111111</v>
      </c>
      <c r="Z970" s="168">
        <f t="shared" si="235"/>
        <v>0.85416666666424135</v>
      </c>
      <c r="AA970" s="169">
        <f t="shared" si="236"/>
        <v>0.75</v>
      </c>
      <c r="AB970" s="170" t="str">
        <f t="shared" si="237"/>
        <v>-02:30:00</v>
      </c>
      <c r="AC970" s="170" t="b">
        <f t="shared" si="238"/>
        <v>1</v>
      </c>
    </row>
    <row r="971" spans="1:29" s="127" customFormat="1" ht="9.75" hidden="1" customHeight="1" x14ac:dyDescent="0.3">
      <c r="A971" s="98">
        <v>46255</v>
      </c>
      <c r="B971" s="48">
        <v>8188988</v>
      </c>
      <c r="C971" s="49" t="s">
        <v>30</v>
      </c>
      <c r="D971" s="49" t="s">
        <v>286</v>
      </c>
      <c r="E971" s="50">
        <v>0.29166666666666669</v>
      </c>
      <c r="F971" s="49" t="s">
        <v>13</v>
      </c>
      <c r="G971" s="70" t="s">
        <v>31</v>
      </c>
      <c r="H971" s="51">
        <v>0.29166666666666669</v>
      </c>
      <c r="I971" s="113" t="str">
        <f t="shared" si="243"/>
        <v>21-08-2026T07:00:00</v>
      </c>
      <c r="J971" s="51">
        <v>46256.220138888886</v>
      </c>
      <c r="K971" s="51"/>
      <c r="L971" s="52">
        <f t="shared" si="239"/>
        <v>46255.928472222222</v>
      </c>
      <c r="M971" s="53">
        <v>0.625</v>
      </c>
      <c r="N971" s="54" t="str">
        <f t="shared" si="240"/>
        <v>-07:17:00</v>
      </c>
      <c r="O971" s="55">
        <v>1800</v>
      </c>
      <c r="P971" s="147" t="s">
        <v>652</v>
      </c>
      <c r="Q971" s="56"/>
      <c r="R971" s="57"/>
      <c r="S971" s="57"/>
      <c r="T971" s="58">
        <f t="shared" si="241"/>
        <v>0</v>
      </c>
      <c r="U971" s="50"/>
      <c r="V971" s="74">
        <v>0</v>
      </c>
      <c r="W971" s="50">
        <f t="shared" si="242"/>
        <v>0</v>
      </c>
      <c r="X971" s="171">
        <v>46255.291666666664</v>
      </c>
      <c r="Y971" s="171">
        <v>46256.220138888886</v>
      </c>
      <c r="Z971" s="168">
        <f t="shared" si="235"/>
        <v>0.92847222222189885</v>
      </c>
      <c r="AA971" s="169">
        <f t="shared" si="236"/>
        <v>0.625</v>
      </c>
      <c r="AB971" s="170" t="str">
        <f t="shared" si="237"/>
        <v>-07:17:00</v>
      </c>
      <c r="AC971" s="170" t="b">
        <f t="shared" si="238"/>
        <v>1</v>
      </c>
    </row>
    <row r="972" spans="1:29" s="128" customFormat="1" ht="9.75" hidden="1" customHeight="1" x14ac:dyDescent="0.3">
      <c r="A972" s="99">
        <v>46255</v>
      </c>
      <c r="B972" s="59">
        <v>8189168</v>
      </c>
      <c r="C972" s="60" t="s">
        <v>175</v>
      </c>
      <c r="D972" s="60" t="s">
        <v>306</v>
      </c>
      <c r="E972" s="61">
        <v>0.375</v>
      </c>
      <c r="F972" s="60" t="s">
        <v>13</v>
      </c>
      <c r="G972" s="71" t="s">
        <v>47</v>
      </c>
      <c r="H972" s="62">
        <v>46255.376388888886</v>
      </c>
      <c r="I972" s="113" t="str">
        <f t="shared" si="243"/>
        <v>21-08-2026T09:02:00</v>
      </c>
      <c r="J972" s="62">
        <v>46257.271527777775</v>
      </c>
      <c r="K972" s="62"/>
      <c r="L972" s="63">
        <f t="shared" si="239"/>
        <v>1.8951388888890506</v>
      </c>
      <c r="M972" s="64">
        <v>1.9166666666666667</v>
      </c>
      <c r="N972" s="65" t="str">
        <f t="shared" si="240"/>
        <v>00:31:00</v>
      </c>
      <c r="O972" s="66"/>
      <c r="P972" s="124"/>
      <c r="Q972" s="67" t="s">
        <v>96</v>
      </c>
      <c r="R972" s="68">
        <v>46257.091666666667</v>
      </c>
      <c r="S972" s="68">
        <v>46257.156944444447</v>
      </c>
      <c r="T972" s="69">
        <f t="shared" si="241"/>
        <v>6.5277777779556345E-2</v>
      </c>
      <c r="U972" s="61"/>
      <c r="V972" s="83">
        <v>8.3333333333333329E-2</v>
      </c>
      <c r="W972" s="61">
        <f t="shared" si="242"/>
        <v>-1.8055555553776984E-2</v>
      </c>
      <c r="X972" s="171">
        <v>46255.376388888886</v>
      </c>
      <c r="Y972" s="171">
        <v>46257.271527777775</v>
      </c>
      <c r="Z972" s="168">
        <f t="shared" si="235"/>
        <v>1.8951388888890506</v>
      </c>
      <c r="AA972" s="169">
        <f t="shared" si="236"/>
        <v>1.9166666666666667</v>
      </c>
      <c r="AB972" s="170" t="str">
        <f t="shared" si="237"/>
        <v>00:31:00</v>
      </c>
      <c r="AC972" s="170" t="b">
        <f t="shared" si="238"/>
        <v>1</v>
      </c>
    </row>
    <row r="973" spans="1:29" s="128" customFormat="1" ht="9.75" hidden="1" customHeight="1" x14ac:dyDescent="0.3">
      <c r="A973" s="99">
        <v>46255</v>
      </c>
      <c r="B973" s="59">
        <v>8189153</v>
      </c>
      <c r="C973" s="60" t="s">
        <v>51</v>
      </c>
      <c r="D973" s="60" t="s">
        <v>295</v>
      </c>
      <c r="E973" s="61">
        <v>0.375</v>
      </c>
      <c r="F973" s="60" t="s">
        <v>49</v>
      </c>
      <c r="G973" s="71" t="s">
        <v>13</v>
      </c>
      <c r="H973" s="62">
        <v>0.37152777777777779</v>
      </c>
      <c r="I973" s="113" t="str">
        <f t="shared" si="243"/>
        <v>21-08-2026T08:55:00</v>
      </c>
      <c r="J973" s="62">
        <v>0.94305555555555554</v>
      </c>
      <c r="K973" s="62"/>
      <c r="L973" s="63">
        <f t="shared" si="239"/>
        <v>0.57152777777777775</v>
      </c>
      <c r="M973" s="64">
        <v>0.58333333333333337</v>
      </c>
      <c r="N973" s="65" t="str">
        <f t="shared" si="240"/>
        <v>00:17:00</v>
      </c>
      <c r="O973" s="66"/>
      <c r="P973" s="124"/>
      <c r="Q973" s="67" t="s">
        <v>13</v>
      </c>
      <c r="R973" s="68">
        <v>0.86319444444444449</v>
      </c>
      <c r="S973" s="68">
        <v>0.93958333333333333</v>
      </c>
      <c r="T973" s="69">
        <f t="shared" si="241"/>
        <v>7.638888888888884E-2</v>
      </c>
      <c r="U973" s="61"/>
      <c r="V973" s="83">
        <v>8.3333333333333329E-2</v>
      </c>
      <c r="W973" s="61">
        <f t="shared" si="242"/>
        <v>-6.9444444444444892E-3</v>
      </c>
      <c r="X973" s="171">
        <v>46255.371527777781</v>
      </c>
      <c r="Y973" s="171">
        <v>46255.943055555559</v>
      </c>
      <c r="Z973" s="168">
        <f t="shared" si="235"/>
        <v>0.57152777777810115</v>
      </c>
      <c r="AA973" s="169">
        <f t="shared" si="236"/>
        <v>0.58333333333333337</v>
      </c>
      <c r="AB973" s="170" t="str">
        <f t="shared" si="237"/>
        <v>00:17:00</v>
      </c>
      <c r="AC973" s="170" t="b">
        <f t="shared" si="238"/>
        <v>1</v>
      </c>
    </row>
    <row r="974" spans="1:29" s="127" customFormat="1" ht="9.75" hidden="1" customHeight="1" x14ac:dyDescent="0.3">
      <c r="A974" s="98">
        <v>46255</v>
      </c>
      <c r="B974" s="48">
        <v>8189216</v>
      </c>
      <c r="C974" s="49" t="s">
        <v>40</v>
      </c>
      <c r="D974" s="49" t="s">
        <v>460</v>
      </c>
      <c r="E974" s="50">
        <v>0.41666666666666669</v>
      </c>
      <c r="F974" s="49" t="s">
        <v>31</v>
      </c>
      <c r="G974" s="70" t="s">
        <v>13</v>
      </c>
      <c r="H974" s="51">
        <v>0.41111111111111109</v>
      </c>
      <c r="I974" s="113" t="str">
        <f t="shared" si="243"/>
        <v>21-08-2026T09:52:00</v>
      </c>
      <c r="J974" s="51">
        <v>46256.193055555559</v>
      </c>
      <c r="K974" s="51"/>
      <c r="L974" s="52">
        <f t="shared" si="239"/>
        <v>46255.781944444447</v>
      </c>
      <c r="M974" s="53">
        <v>0.75</v>
      </c>
      <c r="N974" s="54" t="str">
        <f t="shared" si="240"/>
        <v>-00:46:00</v>
      </c>
      <c r="O974" s="55">
        <v>400</v>
      </c>
      <c r="P974" s="147" t="s">
        <v>662</v>
      </c>
      <c r="Q974" s="56" t="s">
        <v>45</v>
      </c>
      <c r="R974" s="57">
        <v>0.53680555555555554</v>
      </c>
      <c r="S974" s="57">
        <v>0.64583333333333337</v>
      </c>
      <c r="T974" s="47">
        <f t="shared" si="241"/>
        <v>0.10902777777777783</v>
      </c>
      <c r="U974" s="50"/>
      <c r="V974" s="74">
        <v>8.3333333333333329E-2</v>
      </c>
      <c r="W974" s="50">
        <f t="shared" si="242"/>
        <v>2.5694444444444506E-2</v>
      </c>
      <c r="X974" s="171">
        <v>46255.411111111112</v>
      </c>
      <c r="Y974" s="171">
        <v>46256.193055555559</v>
      </c>
      <c r="Z974" s="168">
        <f t="shared" si="235"/>
        <v>0.78194444444670808</v>
      </c>
      <c r="AA974" s="169">
        <f t="shared" si="236"/>
        <v>0.75</v>
      </c>
      <c r="AB974" s="170" t="str">
        <f t="shared" si="237"/>
        <v>-00:46:00</v>
      </c>
      <c r="AC974" s="170" t="b">
        <f t="shared" si="238"/>
        <v>1</v>
      </c>
    </row>
    <row r="975" spans="1:29" s="128" customFormat="1" ht="9.75" hidden="1" customHeight="1" x14ac:dyDescent="0.3">
      <c r="A975" s="99">
        <v>46255</v>
      </c>
      <c r="B975" s="59">
        <v>8189232</v>
      </c>
      <c r="C975" s="60" t="s">
        <v>48</v>
      </c>
      <c r="D975" s="60" t="s">
        <v>183</v>
      </c>
      <c r="E975" s="61">
        <v>0.41666666666666669</v>
      </c>
      <c r="F975" s="60" t="s">
        <v>13</v>
      </c>
      <c r="G975" s="71" t="s">
        <v>49</v>
      </c>
      <c r="H975" s="62">
        <v>0.41736111111111113</v>
      </c>
      <c r="I975" s="113" t="str">
        <f t="shared" si="243"/>
        <v>21-08-2026T10:01:00</v>
      </c>
      <c r="J975" s="62">
        <v>0.91111111111111109</v>
      </c>
      <c r="K975" s="62"/>
      <c r="L975" s="63">
        <f t="shared" si="239"/>
        <v>0.49374999999999997</v>
      </c>
      <c r="M975" s="64">
        <v>0.5</v>
      </c>
      <c r="N975" s="65" t="str">
        <f t="shared" si="240"/>
        <v>00:09:00</v>
      </c>
      <c r="O975" s="66"/>
      <c r="P975" s="124"/>
      <c r="Q975" s="67"/>
      <c r="R975" s="68"/>
      <c r="S975" s="68"/>
      <c r="T975" s="69">
        <f t="shared" si="241"/>
        <v>0</v>
      </c>
      <c r="U975" s="61" t="s">
        <v>234</v>
      </c>
      <c r="V975" s="83">
        <v>0</v>
      </c>
      <c r="W975" s="61">
        <f t="shared" si="242"/>
        <v>0</v>
      </c>
      <c r="X975" s="171">
        <v>46255.417361111111</v>
      </c>
      <c r="Y975" s="171">
        <v>46255.911111111112</v>
      </c>
      <c r="Z975" s="168">
        <f t="shared" si="235"/>
        <v>0.49375000000145519</v>
      </c>
      <c r="AA975" s="169">
        <f t="shared" si="236"/>
        <v>0.5</v>
      </c>
      <c r="AB975" s="170" t="str">
        <f t="shared" si="237"/>
        <v>00:09:00</v>
      </c>
      <c r="AC975" s="170" t="b">
        <f t="shared" si="238"/>
        <v>1</v>
      </c>
    </row>
    <row r="976" spans="1:29" s="128" customFormat="1" ht="9.75" customHeight="1" x14ac:dyDescent="0.3">
      <c r="A976" s="99">
        <v>46255</v>
      </c>
      <c r="B976" s="59">
        <v>8188143</v>
      </c>
      <c r="C976" s="60" t="s">
        <v>90</v>
      </c>
      <c r="D976" s="60" t="s">
        <v>290</v>
      </c>
      <c r="E976" s="61">
        <v>0.99930555555555556</v>
      </c>
      <c r="F976" s="60" t="s">
        <v>13</v>
      </c>
      <c r="G976" s="71" t="s">
        <v>15</v>
      </c>
      <c r="H976" s="62">
        <v>1.8055555555555554E-2</v>
      </c>
      <c r="I976" s="113" t="str">
        <f t="shared" si="243"/>
        <v>21-08-2026T00:26:00</v>
      </c>
      <c r="J976" s="62">
        <v>0.28819444444444442</v>
      </c>
      <c r="K976" s="113" t="str">
        <f t="shared" ref="K976:K977" si="244">TEXT(A976,"dd-mm-yyyy")&amp;"T"&amp;TEXT(J976,"hh:mm:ss")</f>
        <v>21-08-2026T06:55:00</v>
      </c>
      <c r="L976" s="63">
        <f t="shared" si="239"/>
        <v>0.27013888888888887</v>
      </c>
      <c r="M976" s="64">
        <v>0.27083333333333331</v>
      </c>
      <c r="N976" s="65" t="str">
        <f t="shared" si="240"/>
        <v>00:01:00</v>
      </c>
      <c r="O976" s="66"/>
      <c r="P976" s="124"/>
      <c r="Q976" s="67" t="s">
        <v>13</v>
      </c>
      <c r="R976" s="68">
        <v>3.3333333333333333E-2</v>
      </c>
      <c r="S976" s="68">
        <v>7.2916666666666671E-2</v>
      </c>
      <c r="T976" s="69">
        <f t="shared" si="241"/>
        <v>3.9583333333333338E-2</v>
      </c>
      <c r="U976" s="61"/>
      <c r="V976" s="83">
        <v>4.1666666666666664E-2</v>
      </c>
      <c r="W976" s="61">
        <f t="shared" si="242"/>
        <v>-2.0833333333333259E-3</v>
      </c>
      <c r="X976" s="171">
        <v>46255.018055555556</v>
      </c>
      <c r="Y976" s="171">
        <v>46255.288194444445</v>
      </c>
      <c r="Z976" s="168">
        <f t="shared" si="235"/>
        <v>0.27013888888905058</v>
      </c>
      <c r="AA976" s="169">
        <f t="shared" si="236"/>
        <v>0.27083333333333331</v>
      </c>
      <c r="AB976" s="170" t="str">
        <f t="shared" si="237"/>
        <v>00:01:00</v>
      </c>
      <c r="AC976" s="170" t="b">
        <f t="shared" si="238"/>
        <v>1</v>
      </c>
    </row>
    <row r="977" spans="1:29" s="127" customFormat="1" ht="9.75" hidden="1" customHeight="1" x14ac:dyDescent="0.3">
      <c r="A977" s="98">
        <v>46255</v>
      </c>
      <c r="B977" s="48">
        <v>8189263</v>
      </c>
      <c r="C977" s="49" t="s">
        <v>90</v>
      </c>
      <c r="D977" s="49" t="s">
        <v>290</v>
      </c>
      <c r="E977" s="50">
        <v>0.4375</v>
      </c>
      <c r="F977" s="49" t="s">
        <v>15</v>
      </c>
      <c r="G977" s="70" t="s">
        <v>13</v>
      </c>
      <c r="H977" s="51">
        <v>0.43541666666666667</v>
      </c>
      <c r="I977" s="113" t="str">
        <f t="shared" si="243"/>
        <v>21-08-2026T10:27:00</v>
      </c>
      <c r="J977" s="51">
        <v>0.69097222222222221</v>
      </c>
      <c r="K977" s="113" t="str">
        <f t="shared" si="244"/>
        <v>21-08-2026T16:35:00</v>
      </c>
      <c r="L977" s="52">
        <f t="shared" si="239"/>
        <v>0.25555555555555554</v>
      </c>
      <c r="M977" s="53">
        <v>0.20833333333333334</v>
      </c>
      <c r="N977" s="54" t="str">
        <f t="shared" si="240"/>
        <v>-01:08:00</v>
      </c>
      <c r="O977" s="55">
        <v>400</v>
      </c>
      <c r="P977" s="147" t="s">
        <v>653</v>
      </c>
      <c r="Q977" s="56"/>
      <c r="R977" s="57"/>
      <c r="S977" s="57"/>
      <c r="T977" s="58">
        <f t="shared" si="241"/>
        <v>0</v>
      </c>
      <c r="U977" s="50"/>
      <c r="V977" s="74">
        <v>0</v>
      </c>
      <c r="W977" s="50">
        <f t="shared" si="242"/>
        <v>0</v>
      </c>
      <c r="X977" s="171">
        <v>46255.435416666667</v>
      </c>
      <c r="Y977" s="171">
        <v>46255.690972222219</v>
      </c>
      <c r="Z977" s="168">
        <f t="shared" si="235"/>
        <v>0.25555555555183673</v>
      </c>
      <c r="AA977" s="169">
        <f t="shared" si="236"/>
        <v>0.20833333333333334</v>
      </c>
      <c r="AB977" s="170" t="str">
        <f t="shared" si="237"/>
        <v>-01:08:00</v>
      </c>
      <c r="AC977" s="170" t="b">
        <f t="shared" si="238"/>
        <v>1</v>
      </c>
    </row>
    <row r="978" spans="1:29" s="128" customFormat="1" ht="9.75" hidden="1" customHeight="1" x14ac:dyDescent="0.3">
      <c r="A978" s="99">
        <v>46255</v>
      </c>
      <c r="B978" s="59">
        <v>8189458</v>
      </c>
      <c r="C978" s="60" t="s">
        <v>20</v>
      </c>
      <c r="D978" s="60" t="s">
        <v>232</v>
      </c>
      <c r="E978" s="61">
        <v>0.5</v>
      </c>
      <c r="F978" s="60" t="s">
        <v>13</v>
      </c>
      <c r="G978" s="71" t="s">
        <v>21</v>
      </c>
      <c r="H978" s="62">
        <v>0.49861111111111112</v>
      </c>
      <c r="I978" s="113" t="str">
        <f t="shared" si="243"/>
        <v>21-08-2026T11:58:00</v>
      </c>
      <c r="J978" s="62">
        <v>0.74305555555555558</v>
      </c>
      <c r="K978" s="62"/>
      <c r="L978" s="63">
        <f t="shared" si="239"/>
        <v>0.24444444444444446</v>
      </c>
      <c r="M978" s="64">
        <v>0.25</v>
      </c>
      <c r="N978" s="65" t="str">
        <f t="shared" si="240"/>
        <v>00:08:00</v>
      </c>
      <c r="O978" s="66"/>
      <c r="P978" s="124"/>
      <c r="Q978" s="67"/>
      <c r="R978" s="68"/>
      <c r="S978" s="68"/>
      <c r="T978" s="69">
        <f t="shared" si="241"/>
        <v>0</v>
      </c>
      <c r="U978" s="61" t="s">
        <v>234</v>
      </c>
      <c r="V978" s="83">
        <v>0</v>
      </c>
      <c r="W978" s="61">
        <f t="shared" si="242"/>
        <v>0</v>
      </c>
      <c r="X978" s="171">
        <v>46255.498611111114</v>
      </c>
      <c r="Y978" s="171">
        <v>46255.743055555555</v>
      </c>
      <c r="Z978" s="168">
        <f t="shared" si="235"/>
        <v>0.24444444444088731</v>
      </c>
      <c r="AA978" s="169">
        <f t="shared" si="236"/>
        <v>0.25</v>
      </c>
      <c r="AB978" s="170" t="str">
        <f t="shared" si="237"/>
        <v>00:08:00</v>
      </c>
      <c r="AC978" s="170" t="b">
        <f t="shared" si="238"/>
        <v>1</v>
      </c>
    </row>
    <row r="979" spans="1:29" s="127" customFormat="1" ht="9.75" hidden="1" customHeight="1" x14ac:dyDescent="0.3">
      <c r="A979" s="98">
        <v>46255</v>
      </c>
      <c r="B979" s="48">
        <v>8189569</v>
      </c>
      <c r="C979" s="49" t="s">
        <v>99</v>
      </c>
      <c r="D979" s="49" t="s">
        <v>654</v>
      </c>
      <c r="E979" s="50">
        <v>0.54166666666666663</v>
      </c>
      <c r="F979" s="49" t="s">
        <v>103</v>
      </c>
      <c r="G979" s="70" t="s">
        <v>13</v>
      </c>
      <c r="H979" s="51">
        <v>46255.540972222225</v>
      </c>
      <c r="I979" s="113" t="str">
        <f t="shared" si="243"/>
        <v>21-08-2026T12:59:00</v>
      </c>
      <c r="J979" s="51">
        <v>46256.847916666666</v>
      </c>
      <c r="K979" s="51"/>
      <c r="L979" s="52">
        <f t="shared" si="239"/>
        <v>1.3069444444408873</v>
      </c>
      <c r="M979" s="53">
        <v>0.70833333333333337</v>
      </c>
      <c r="N979" s="54" t="str">
        <f t="shared" si="240"/>
        <v>-14:22:00</v>
      </c>
      <c r="O979" s="55">
        <f>250*15</f>
        <v>3750</v>
      </c>
      <c r="P979" s="147" t="s">
        <v>656</v>
      </c>
      <c r="Q979" s="56" t="s">
        <v>13</v>
      </c>
      <c r="R979" s="57">
        <v>46256.923611111109</v>
      </c>
      <c r="S979" s="57">
        <v>46256.95</v>
      </c>
      <c r="T979" s="58">
        <f t="shared" si="241"/>
        <v>2.6388888887595385E-2</v>
      </c>
      <c r="U979" s="50"/>
      <c r="V979" s="74">
        <v>8.3333333333333329E-2</v>
      </c>
      <c r="W979" s="50">
        <f t="shared" si="242"/>
        <v>-5.6944444445737943E-2</v>
      </c>
      <c r="X979" s="171">
        <v>46255.540972222225</v>
      </c>
      <c r="Y979" s="171">
        <v>46256.847916666666</v>
      </c>
      <c r="Z979" s="168">
        <f t="shared" si="235"/>
        <v>1.3069444444408873</v>
      </c>
      <c r="AA979" s="169">
        <f t="shared" si="236"/>
        <v>0.70833333333333337</v>
      </c>
      <c r="AB979" s="170" t="str">
        <f t="shared" si="237"/>
        <v>-14:22:00</v>
      </c>
      <c r="AC979" s="170" t="b">
        <f t="shared" si="238"/>
        <v>1</v>
      </c>
    </row>
    <row r="980" spans="1:29" s="128" customFormat="1" ht="9.75" hidden="1" customHeight="1" x14ac:dyDescent="0.3">
      <c r="A980" s="99">
        <v>46255</v>
      </c>
      <c r="B980" s="59">
        <v>8189567</v>
      </c>
      <c r="C980" s="60" t="s">
        <v>56</v>
      </c>
      <c r="D980" s="60" t="s">
        <v>472</v>
      </c>
      <c r="E980" s="61">
        <v>0.54166666666666663</v>
      </c>
      <c r="F980" s="60" t="s">
        <v>13</v>
      </c>
      <c r="G980" s="71" t="s">
        <v>15</v>
      </c>
      <c r="H980" s="62">
        <v>0.54027777777777775</v>
      </c>
      <c r="I980" s="113" t="str">
        <f t="shared" si="243"/>
        <v>21-08-2026T12:58:00</v>
      </c>
      <c r="J980" s="62">
        <v>0.73819444444444449</v>
      </c>
      <c r="K980" s="62"/>
      <c r="L980" s="63">
        <f t="shared" si="239"/>
        <v>0.19791666666666674</v>
      </c>
      <c r="M980" s="64">
        <v>0.20833333333333334</v>
      </c>
      <c r="N980" s="65" t="str">
        <f t="shared" si="240"/>
        <v>00:15:00</v>
      </c>
      <c r="O980" s="66"/>
      <c r="P980" s="124"/>
      <c r="Q980" s="67"/>
      <c r="R980" s="68"/>
      <c r="S980" s="68"/>
      <c r="T980" s="69">
        <f t="shared" si="241"/>
        <v>0</v>
      </c>
      <c r="U980" s="61" t="s">
        <v>234</v>
      </c>
      <c r="V980" s="83">
        <v>0</v>
      </c>
      <c r="W980" s="61">
        <f t="shared" si="242"/>
        <v>0</v>
      </c>
      <c r="X980" s="171">
        <v>46255.540277777778</v>
      </c>
      <c r="Y980" s="171">
        <v>46255.738194444442</v>
      </c>
      <c r="Z980" s="168">
        <f t="shared" si="235"/>
        <v>0.19791666666424135</v>
      </c>
      <c r="AA980" s="169">
        <f t="shared" si="236"/>
        <v>0.20833333333333334</v>
      </c>
      <c r="AB980" s="170" t="str">
        <f t="shared" si="237"/>
        <v>00:15:00</v>
      </c>
      <c r="AC980" s="170" t="b">
        <f t="shared" si="238"/>
        <v>1</v>
      </c>
    </row>
    <row r="981" spans="1:29" s="127" customFormat="1" ht="9.75" hidden="1" customHeight="1" x14ac:dyDescent="0.3">
      <c r="A981" s="98">
        <v>46255</v>
      </c>
      <c r="B981" s="48">
        <v>8189861</v>
      </c>
      <c r="C981" s="49" t="s">
        <v>53</v>
      </c>
      <c r="D981" s="49" t="s">
        <v>298</v>
      </c>
      <c r="E981" s="50">
        <v>0.64583333333333337</v>
      </c>
      <c r="F981" s="49" t="s">
        <v>19</v>
      </c>
      <c r="G981" s="70" t="s">
        <v>13</v>
      </c>
      <c r="H981" s="51">
        <v>0.64583333333333337</v>
      </c>
      <c r="I981" s="113" t="str">
        <f t="shared" si="243"/>
        <v>21-08-2026T15:30:00</v>
      </c>
      <c r="J981" s="51">
        <v>46256.084027777775</v>
      </c>
      <c r="K981" s="51"/>
      <c r="L981" s="52">
        <f t="shared" si="239"/>
        <v>46255.438194444439</v>
      </c>
      <c r="M981" s="53">
        <v>0.4375</v>
      </c>
      <c r="N981" s="54" t="str">
        <f t="shared" si="240"/>
        <v>-00:01:00</v>
      </c>
      <c r="O981" s="55">
        <v>200</v>
      </c>
      <c r="P981" s="147" t="s">
        <v>598</v>
      </c>
      <c r="Q981" s="56" t="s">
        <v>229</v>
      </c>
      <c r="R981" s="57">
        <v>0.76388888888888884</v>
      </c>
      <c r="S981" s="57">
        <v>0.8125</v>
      </c>
      <c r="T981" s="58">
        <f t="shared" si="241"/>
        <v>4.861111111111116E-2</v>
      </c>
      <c r="U981" s="50"/>
      <c r="V981" s="74">
        <v>8.3333333333333329E-2</v>
      </c>
      <c r="W981" s="50">
        <f t="shared" si="242"/>
        <v>-3.4722222222222168E-2</v>
      </c>
      <c r="X981" s="171">
        <v>46255.645833333336</v>
      </c>
      <c r="Y981" s="171">
        <v>46256.084027777775</v>
      </c>
      <c r="Z981" s="168">
        <f t="shared" si="235"/>
        <v>0.43819444443943212</v>
      </c>
      <c r="AA981" s="169">
        <f t="shared" si="236"/>
        <v>0.4375</v>
      </c>
      <c r="AB981" s="170" t="str">
        <f t="shared" si="237"/>
        <v>-00:01:00</v>
      </c>
      <c r="AC981" s="170" t="b">
        <f t="shared" si="238"/>
        <v>1</v>
      </c>
    </row>
    <row r="982" spans="1:29" s="127" customFormat="1" ht="9.75" hidden="1" customHeight="1" x14ac:dyDescent="0.3">
      <c r="A982" s="98">
        <v>46255</v>
      </c>
      <c r="B982" s="48">
        <v>8190093</v>
      </c>
      <c r="C982" s="49" t="s">
        <v>57</v>
      </c>
      <c r="D982" s="49" t="s">
        <v>390</v>
      </c>
      <c r="E982" s="50">
        <v>0.70833333333333337</v>
      </c>
      <c r="F982" s="49" t="s">
        <v>13</v>
      </c>
      <c r="G982" s="70" t="s">
        <v>24</v>
      </c>
      <c r="H982" s="51">
        <v>0.7104166666666667</v>
      </c>
      <c r="I982" s="113" t="str">
        <f t="shared" si="243"/>
        <v>21-08-2026T17:03:00</v>
      </c>
      <c r="J982" s="51">
        <v>0.79861111111111116</v>
      </c>
      <c r="K982" s="51"/>
      <c r="L982" s="52">
        <f t="shared" si="239"/>
        <v>8.8194444444444464E-2</v>
      </c>
      <c r="M982" s="53">
        <v>8.3333333333333329E-2</v>
      </c>
      <c r="N982" s="54" t="str">
        <f t="shared" si="240"/>
        <v>-00:07:00</v>
      </c>
      <c r="O982" s="55">
        <v>250</v>
      </c>
      <c r="P982" s="147" t="s">
        <v>655</v>
      </c>
      <c r="Q982" s="56"/>
      <c r="R982" s="57"/>
      <c r="S982" s="57"/>
      <c r="T982" s="58">
        <f t="shared" si="241"/>
        <v>0</v>
      </c>
      <c r="U982" s="50"/>
      <c r="V982" s="74">
        <v>0</v>
      </c>
      <c r="W982" s="50">
        <f t="shared" si="242"/>
        <v>0</v>
      </c>
      <c r="X982" s="171">
        <v>46255.710416666669</v>
      </c>
      <c r="Y982" s="171">
        <v>46255.798611111109</v>
      </c>
      <c r="Z982" s="168">
        <f t="shared" si="235"/>
        <v>8.819444444088731E-2</v>
      </c>
      <c r="AA982" s="169">
        <f t="shared" si="236"/>
        <v>8.3333333333333329E-2</v>
      </c>
      <c r="AB982" s="170" t="str">
        <f t="shared" si="237"/>
        <v>-00:07:00</v>
      </c>
      <c r="AC982" s="170" t="b">
        <f t="shared" si="238"/>
        <v>1</v>
      </c>
    </row>
    <row r="983" spans="1:29" s="128" customFormat="1" ht="9.75" hidden="1" customHeight="1" x14ac:dyDescent="0.3">
      <c r="A983" s="99">
        <v>46255</v>
      </c>
      <c r="B983" s="59">
        <v>8189356</v>
      </c>
      <c r="C983" s="60" t="s">
        <v>41</v>
      </c>
      <c r="D983" s="60" t="s">
        <v>299</v>
      </c>
      <c r="E983" s="61">
        <v>0.70833333333333337</v>
      </c>
      <c r="F983" s="60" t="s">
        <v>13</v>
      </c>
      <c r="G983" s="71" t="s">
        <v>24</v>
      </c>
      <c r="H983" s="62">
        <v>0.46944444444444444</v>
      </c>
      <c r="I983" s="113" t="str">
        <f t="shared" si="243"/>
        <v>21-08-2026T11:16:00</v>
      </c>
      <c r="J983" s="62">
        <v>0.54652777777777772</v>
      </c>
      <c r="K983" s="62"/>
      <c r="L983" s="63">
        <f t="shared" si="239"/>
        <v>7.7083333333333282E-2</v>
      </c>
      <c r="M983" s="64">
        <v>8.3333333333333329E-2</v>
      </c>
      <c r="N983" s="65" t="str">
        <f t="shared" si="240"/>
        <v>00:09:00</v>
      </c>
      <c r="O983" s="66"/>
      <c r="P983" s="124"/>
      <c r="Q983" s="67"/>
      <c r="R983" s="68"/>
      <c r="S983" s="68"/>
      <c r="T983" s="69">
        <f t="shared" si="241"/>
        <v>0</v>
      </c>
      <c r="U983" s="61" t="s">
        <v>234</v>
      </c>
      <c r="V983" s="83">
        <v>0</v>
      </c>
      <c r="W983" s="61">
        <f t="shared" si="242"/>
        <v>0</v>
      </c>
      <c r="X983" s="171">
        <v>46255.469444444447</v>
      </c>
      <c r="Y983" s="171">
        <v>46255.546527777777</v>
      </c>
      <c r="Z983" s="168">
        <f t="shared" si="235"/>
        <v>7.7083333329937886E-2</v>
      </c>
      <c r="AA983" s="169">
        <f t="shared" si="236"/>
        <v>8.3333333333333329E-2</v>
      </c>
      <c r="AB983" s="170" t="str">
        <f t="shared" si="237"/>
        <v>00:09:00</v>
      </c>
      <c r="AC983" s="170" t="b">
        <f t="shared" si="238"/>
        <v>1</v>
      </c>
    </row>
    <row r="984" spans="1:29" s="144" customFormat="1" ht="9.75" hidden="1" customHeight="1" x14ac:dyDescent="0.3">
      <c r="A984" s="129">
        <v>46255</v>
      </c>
      <c r="B984" s="130">
        <v>8190016</v>
      </c>
      <c r="C984" s="131" t="s">
        <v>87</v>
      </c>
      <c r="D984" s="131" t="s">
        <v>367</v>
      </c>
      <c r="E984" s="132">
        <v>0.70833333333333337</v>
      </c>
      <c r="F984" s="131" t="s">
        <v>85</v>
      </c>
      <c r="G984" s="133" t="s">
        <v>13</v>
      </c>
      <c r="H984" s="134">
        <v>0.68888888888888888</v>
      </c>
      <c r="I984" s="113" t="str">
        <f t="shared" si="243"/>
        <v>21-08-2026T16:32:00</v>
      </c>
      <c r="J984" s="134">
        <v>46256.060416666667</v>
      </c>
      <c r="K984" s="134"/>
      <c r="L984" s="135">
        <f t="shared" si="239"/>
        <v>46255.371527777781</v>
      </c>
      <c r="M984" s="136">
        <v>0.33333333333333331</v>
      </c>
      <c r="N984" s="137" t="str">
        <f t="shared" si="240"/>
        <v>-00:55:00</v>
      </c>
      <c r="O984" s="138"/>
      <c r="P984" s="145" t="s">
        <v>567</v>
      </c>
      <c r="Q984" s="140" t="s">
        <v>174</v>
      </c>
      <c r="R984" s="141">
        <v>0.74652777777777779</v>
      </c>
      <c r="S984" s="141">
        <v>0.83680555555555558</v>
      </c>
      <c r="T984" s="142">
        <f t="shared" si="241"/>
        <v>9.027777777777779E-2</v>
      </c>
      <c r="U984" s="132"/>
      <c r="V984" s="143">
        <v>4.1666666666666664E-2</v>
      </c>
      <c r="W984" s="132">
        <f t="shared" si="242"/>
        <v>4.8611111111111126E-2</v>
      </c>
      <c r="X984" s="171">
        <v>46255.688888888886</v>
      </c>
      <c r="Y984" s="171">
        <v>46256.060416666667</v>
      </c>
      <c r="Z984" s="168">
        <f t="shared" si="235"/>
        <v>0.37152777778101154</v>
      </c>
      <c r="AA984" s="169">
        <f t="shared" si="236"/>
        <v>0.33333333333333331</v>
      </c>
      <c r="AB984" s="170" t="str">
        <f t="shared" si="237"/>
        <v>-00:55:00</v>
      </c>
      <c r="AC984" s="170" t="b">
        <f t="shared" si="238"/>
        <v>1</v>
      </c>
    </row>
    <row r="985" spans="1:29" s="128" customFormat="1" ht="9.75" hidden="1" customHeight="1" x14ac:dyDescent="0.3">
      <c r="A985" s="99">
        <v>46255</v>
      </c>
      <c r="B985" s="59">
        <v>8190044</v>
      </c>
      <c r="C985" s="60" t="s">
        <v>94</v>
      </c>
      <c r="D985" s="60" t="s">
        <v>293</v>
      </c>
      <c r="E985" s="61">
        <v>0.70833333333333337</v>
      </c>
      <c r="F985" s="60" t="s">
        <v>13</v>
      </c>
      <c r="G985" s="71" t="s">
        <v>23</v>
      </c>
      <c r="H985" s="62">
        <v>46255.701388888891</v>
      </c>
      <c r="I985" s="113" t="str">
        <f t="shared" si="243"/>
        <v>21-08-2026T16:50:00</v>
      </c>
      <c r="J985" s="62">
        <v>46256.807638888888</v>
      </c>
      <c r="K985" s="62"/>
      <c r="L985" s="63">
        <f t="shared" si="239"/>
        <v>1.1062499999970896</v>
      </c>
      <c r="M985" s="64">
        <v>1</v>
      </c>
      <c r="N985" s="65" t="str">
        <f t="shared" si="240"/>
        <v>-02:33:00</v>
      </c>
      <c r="O985" s="66"/>
      <c r="P985" s="124" t="s">
        <v>681</v>
      </c>
      <c r="Q985" s="67"/>
      <c r="R985" s="68"/>
      <c r="S985" s="68"/>
      <c r="T985" s="69">
        <f t="shared" si="241"/>
        <v>0</v>
      </c>
      <c r="U985" s="61"/>
      <c r="V985" s="83">
        <v>0</v>
      </c>
      <c r="W985" s="61">
        <f t="shared" si="242"/>
        <v>0</v>
      </c>
      <c r="X985" s="172">
        <v>46255.701388888891</v>
      </c>
      <c r="Y985" s="172">
        <v>46256.807638888888</v>
      </c>
      <c r="Z985" s="173">
        <f t="shared" si="235"/>
        <v>1.1062499999970896</v>
      </c>
      <c r="AA985" s="174">
        <f t="shared" si="236"/>
        <v>1</v>
      </c>
      <c r="AB985" s="175" t="str">
        <f t="shared" si="237"/>
        <v>-02:33:00</v>
      </c>
      <c r="AC985" s="175" t="b">
        <f t="shared" si="238"/>
        <v>1</v>
      </c>
    </row>
    <row r="986" spans="1:29" s="127" customFormat="1" ht="9.75" hidden="1" customHeight="1" x14ac:dyDescent="0.3">
      <c r="A986" s="98">
        <v>46255</v>
      </c>
      <c r="B986" s="48">
        <v>8190109</v>
      </c>
      <c r="C986" s="49" t="s">
        <v>27</v>
      </c>
      <c r="D986" s="49" t="s">
        <v>378</v>
      </c>
      <c r="E986" s="50">
        <v>0.70833333333333337</v>
      </c>
      <c r="F986" s="49" t="s">
        <v>28</v>
      </c>
      <c r="G986" s="70" t="s">
        <v>13</v>
      </c>
      <c r="H986" s="51">
        <v>0.71597222222222223</v>
      </c>
      <c r="I986" s="113" t="str">
        <f t="shared" si="243"/>
        <v>21-08-2026T17:11:00</v>
      </c>
      <c r="J986" s="51">
        <v>0.8979166666666667</v>
      </c>
      <c r="K986" s="51"/>
      <c r="L986" s="52">
        <f t="shared" si="239"/>
        <v>0.18194444444444446</v>
      </c>
      <c r="M986" s="53">
        <v>0.16666666666666666</v>
      </c>
      <c r="N986" s="54" t="str">
        <f t="shared" si="240"/>
        <v>-00:22:00</v>
      </c>
      <c r="O986" s="55">
        <v>150</v>
      </c>
      <c r="P986" s="147" t="s">
        <v>521</v>
      </c>
      <c r="Q986" s="56"/>
      <c r="R986" s="57"/>
      <c r="S986" s="57"/>
      <c r="T986" s="58">
        <f t="shared" si="241"/>
        <v>0</v>
      </c>
      <c r="U986" s="50"/>
      <c r="V986" s="74">
        <v>0</v>
      </c>
      <c r="W986" s="50">
        <f t="shared" si="242"/>
        <v>0</v>
      </c>
      <c r="X986" s="171">
        <v>46255.71597222222</v>
      </c>
      <c r="Y986" s="171">
        <v>46255.897916666669</v>
      </c>
      <c r="Z986" s="168">
        <f t="shared" si="235"/>
        <v>0.18194444444816327</v>
      </c>
      <c r="AA986" s="169">
        <f t="shared" si="236"/>
        <v>0.16666666666666666</v>
      </c>
      <c r="AB986" s="170" t="str">
        <f t="shared" si="237"/>
        <v>-00:22:00</v>
      </c>
      <c r="AC986" s="170" t="b">
        <f t="shared" si="238"/>
        <v>1</v>
      </c>
    </row>
    <row r="987" spans="1:29" s="128" customFormat="1" ht="9.75" hidden="1" customHeight="1" x14ac:dyDescent="0.3">
      <c r="A987" s="99">
        <v>46255</v>
      </c>
      <c r="B987" s="59">
        <v>8190137</v>
      </c>
      <c r="C987" s="60" t="s">
        <v>89</v>
      </c>
      <c r="D987" s="60" t="s">
        <v>294</v>
      </c>
      <c r="E987" s="61">
        <v>0.75</v>
      </c>
      <c r="F987" s="60" t="s">
        <v>35</v>
      </c>
      <c r="G987" s="71" t="s">
        <v>13</v>
      </c>
      <c r="H987" s="62">
        <v>0.73124999999999996</v>
      </c>
      <c r="I987" s="113" t="str">
        <f t="shared" si="243"/>
        <v>21-08-2026T17:33:00</v>
      </c>
      <c r="J987" s="62">
        <v>0.76111111111111107</v>
      </c>
      <c r="K987" s="62"/>
      <c r="L987" s="63">
        <f t="shared" si="239"/>
        <v>2.9861111111111116E-2</v>
      </c>
      <c r="M987" s="64">
        <v>4.1666666666666664E-2</v>
      </c>
      <c r="N987" s="65" t="str">
        <f t="shared" si="240"/>
        <v>00:17:00</v>
      </c>
      <c r="O987" s="66"/>
      <c r="P987" s="124"/>
      <c r="Q987" s="67"/>
      <c r="R987" s="68"/>
      <c r="S987" s="68"/>
      <c r="T987" s="69">
        <f t="shared" si="241"/>
        <v>0</v>
      </c>
      <c r="U987" s="61"/>
      <c r="V987" s="83">
        <v>0</v>
      </c>
      <c r="W987" s="61">
        <f t="shared" si="242"/>
        <v>0</v>
      </c>
      <c r="X987" s="171">
        <v>46255.731249999997</v>
      </c>
      <c r="Y987" s="171">
        <v>46255.761111111111</v>
      </c>
      <c r="Z987" s="168">
        <f t="shared" si="235"/>
        <v>2.9861111113859806E-2</v>
      </c>
      <c r="AA987" s="169">
        <f t="shared" si="236"/>
        <v>4.1666666666666664E-2</v>
      </c>
      <c r="AB987" s="170" t="str">
        <f t="shared" si="237"/>
        <v>00:17:00</v>
      </c>
      <c r="AC987" s="170" t="b">
        <f t="shared" si="238"/>
        <v>1</v>
      </c>
    </row>
    <row r="988" spans="1:29" s="128" customFormat="1" ht="9.75" hidden="1" customHeight="1" x14ac:dyDescent="0.3">
      <c r="A988" s="99">
        <v>46255</v>
      </c>
      <c r="B988" s="59">
        <v>8190456</v>
      </c>
      <c r="C988" s="60" t="s">
        <v>32</v>
      </c>
      <c r="D988" s="60" t="s">
        <v>476</v>
      </c>
      <c r="E988" s="61">
        <v>0.83333333333333337</v>
      </c>
      <c r="F988" s="60" t="s">
        <v>287</v>
      </c>
      <c r="G988" s="71" t="s">
        <v>13</v>
      </c>
      <c r="H988" s="62">
        <v>0.82986111111111116</v>
      </c>
      <c r="I988" s="113" t="str">
        <f t="shared" si="243"/>
        <v>21-08-2026T19:55:00</v>
      </c>
      <c r="J988" s="62">
        <v>0.96527777777777779</v>
      </c>
      <c r="K988" s="62"/>
      <c r="L988" s="63">
        <f t="shared" si="239"/>
        <v>0.13541666666666663</v>
      </c>
      <c r="M988" s="64">
        <v>0.14583333333333334</v>
      </c>
      <c r="N988" s="65" t="str">
        <f t="shared" si="240"/>
        <v>00:15:00</v>
      </c>
      <c r="O988" s="66"/>
      <c r="P988" s="124"/>
      <c r="Q988" s="67"/>
      <c r="R988" s="68"/>
      <c r="S988" s="68"/>
      <c r="T988" s="69">
        <f t="shared" si="241"/>
        <v>0</v>
      </c>
      <c r="U988" s="61"/>
      <c r="V988" s="83">
        <v>0</v>
      </c>
      <c r="W988" s="61">
        <f t="shared" si="242"/>
        <v>0</v>
      </c>
      <c r="X988" s="171">
        <v>46255.829861111109</v>
      </c>
      <c r="Y988" s="171">
        <v>46255.965277777781</v>
      </c>
      <c r="Z988" s="168">
        <f t="shared" si="235"/>
        <v>0.13541666667151731</v>
      </c>
      <c r="AA988" s="169">
        <f t="shared" si="236"/>
        <v>0.14583333333333334</v>
      </c>
      <c r="AB988" s="170" t="str">
        <f t="shared" si="237"/>
        <v>00:15:00</v>
      </c>
      <c r="AC988" s="170" t="b">
        <f t="shared" si="238"/>
        <v>1</v>
      </c>
    </row>
    <row r="989" spans="1:29" s="128" customFormat="1" ht="9.75" hidden="1" customHeight="1" x14ac:dyDescent="0.3">
      <c r="A989" s="99">
        <v>46255</v>
      </c>
      <c r="B989" s="59">
        <v>8190622</v>
      </c>
      <c r="C989" s="60" t="s">
        <v>52</v>
      </c>
      <c r="D989" s="60" t="s">
        <v>616</v>
      </c>
      <c r="E989" s="61">
        <v>0.875</v>
      </c>
      <c r="F989" s="60" t="s">
        <v>13</v>
      </c>
      <c r="G989" s="71" t="s">
        <v>15</v>
      </c>
      <c r="H989" s="62">
        <v>46255.873611111114</v>
      </c>
      <c r="I989" s="113" t="str">
        <f t="shared" si="243"/>
        <v>21-08-2026T20:58:00</v>
      </c>
      <c r="J989" s="62">
        <v>46256.07708333333</v>
      </c>
      <c r="K989" s="62"/>
      <c r="L989" s="63">
        <f t="shared" si="239"/>
        <v>0.20347222221607808</v>
      </c>
      <c r="M989" s="64">
        <v>0.20833333333333334</v>
      </c>
      <c r="N989" s="65" t="str">
        <f t="shared" si="240"/>
        <v>00:07:00</v>
      </c>
      <c r="O989" s="66"/>
      <c r="P989" s="124"/>
      <c r="Q989" s="67"/>
      <c r="R989" s="68"/>
      <c r="S989" s="68"/>
      <c r="T989" s="69">
        <f t="shared" si="241"/>
        <v>0</v>
      </c>
      <c r="U989" s="61" t="s">
        <v>234</v>
      </c>
      <c r="V989" s="83">
        <v>0</v>
      </c>
      <c r="W989" s="61">
        <f t="shared" si="242"/>
        <v>0</v>
      </c>
      <c r="X989" s="171">
        <v>46255.873611111114</v>
      </c>
      <c r="Y989" s="171">
        <v>46256.07708333333</v>
      </c>
      <c r="Z989" s="168">
        <f t="shared" si="235"/>
        <v>0.20347222221607808</v>
      </c>
      <c r="AA989" s="169">
        <f t="shared" si="236"/>
        <v>0.20833333333333334</v>
      </c>
      <c r="AB989" s="170" t="str">
        <f t="shared" si="237"/>
        <v>00:07:00</v>
      </c>
      <c r="AC989" s="170" t="b">
        <f t="shared" si="238"/>
        <v>1</v>
      </c>
    </row>
    <row r="990" spans="1:29" s="128" customFormat="1" ht="9.75" hidden="1" customHeight="1" x14ac:dyDescent="0.3">
      <c r="A990" s="99">
        <v>46255</v>
      </c>
      <c r="B990" s="59">
        <v>8190781</v>
      </c>
      <c r="C990" s="60" t="s">
        <v>42</v>
      </c>
      <c r="D990" s="60" t="s">
        <v>181</v>
      </c>
      <c r="E990" s="61">
        <v>0.875</v>
      </c>
      <c r="F990" s="60" t="s">
        <v>55</v>
      </c>
      <c r="G990" s="71" t="s">
        <v>13</v>
      </c>
      <c r="H990" s="62">
        <v>0.92777777777777781</v>
      </c>
      <c r="I990" s="113" t="str">
        <f t="shared" si="243"/>
        <v>21-08-2026T22:16:00</v>
      </c>
      <c r="J990" s="62">
        <v>0.98055555555555551</v>
      </c>
      <c r="K990" s="62"/>
      <c r="L990" s="63">
        <f t="shared" si="239"/>
        <v>5.2777777777777701E-2</v>
      </c>
      <c r="M990" s="64">
        <v>6.25E-2</v>
      </c>
      <c r="N990" s="65" t="str">
        <f t="shared" si="240"/>
        <v>00:14:00</v>
      </c>
      <c r="O990" s="66"/>
      <c r="P990" s="124"/>
      <c r="Q990" s="67"/>
      <c r="R990" s="68"/>
      <c r="S990" s="68"/>
      <c r="T990" s="69">
        <f t="shared" si="241"/>
        <v>0</v>
      </c>
      <c r="U990" s="61"/>
      <c r="V990" s="83">
        <v>0</v>
      </c>
      <c r="W990" s="61">
        <f t="shared" si="242"/>
        <v>0</v>
      </c>
      <c r="X990" s="171">
        <v>46255.927777777775</v>
      </c>
      <c r="Y990" s="171">
        <v>46255.980555555558</v>
      </c>
      <c r="Z990" s="168">
        <f t="shared" si="235"/>
        <v>5.2777777782466728E-2</v>
      </c>
      <c r="AA990" s="169">
        <f t="shared" si="236"/>
        <v>6.25E-2</v>
      </c>
      <c r="AB990" s="170" t="str">
        <f t="shared" si="237"/>
        <v>00:14:00</v>
      </c>
      <c r="AC990" s="170" t="b">
        <f t="shared" si="238"/>
        <v>1</v>
      </c>
    </row>
    <row r="991" spans="1:29" s="128" customFormat="1" ht="9.75" hidden="1" customHeight="1" x14ac:dyDescent="0.3">
      <c r="A991" s="99">
        <v>46255</v>
      </c>
      <c r="B991" s="59">
        <v>8190608</v>
      </c>
      <c r="C991" s="60" t="s">
        <v>54</v>
      </c>
      <c r="D991" s="60" t="s">
        <v>288</v>
      </c>
      <c r="E991" s="61">
        <v>0.875</v>
      </c>
      <c r="F991" s="60" t="s">
        <v>24</v>
      </c>
      <c r="G991" s="71" t="s">
        <v>13</v>
      </c>
      <c r="H991" s="62">
        <v>0.87013888888888891</v>
      </c>
      <c r="I991" s="113" t="str">
        <f t="shared" si="243"/>
        <v>21-08-2026T20:53:00</v>
      </c>
      <c r="J991" s="62">
        <v>0.94374999999999998</v>
      </c>
      <c r="K991" s="62"/>
      <c r="L991" s="63">
        <f t="shared" si="239"/>
        <v>7.3611111111111072E-2</v>
      </c>
      <c r="M991" s="64">
        <v>8.3333333333333329E-2</v>
      </c>
      <c r="N991" s="65" t="str">
        <f t="shared" si="240"/>
        <v>00:14:00</v>
      </c>
      <c r="O991" s="66"/>
      <c r="P991" s="124"/>
      <c r="Q991" s="67"/>
      <c r="R991" s="68"/>
      <c r="S991" s="68"/>
      <c r="T991" s="69">
        <f t="shared" si="241"/>
        <v>0</v>
      </c>
      <c r="U991" s="61"/>
      <c r="V991" s="83">
        <v>0</v>
      </c>
      <c r="W991" s="61">
        <f t="shared" si="242"/>
        <v>0</v>
      </c>
      <c r="X991" s="171">
        <v>46255.870138888888</v>
      </c>
      <c r="Y991" s="171">
        <v>46255.943749999999</v>
      </c>
      <c r="Z991" s="168">
        <f t="shared" si="235"/>
        <v>7.3611111110949423E-2</v>
      </c>
      <c r="AA991" s="169">
        <f t="shared" si="236"/>
        <v>8.3333333333333329E-2</v>
      </c>
      <c r="AB991" s="170" t="str">
        <f t="shared" si="237"/>
        <v>00:14:00</v>
      </c>
      <c r="AC991" s="170" t="b">
        <f t="shared" si="238"/>
        <v>1</v>
      </c>
    </row>
    <row r="992" spans="1:29" s="128" customFormat="1" ht="9.75" hidden="1" customHeight="1" x14ac:dyDescent="0.3">
      <c r="A992" s="99">
        <v>46255</v>
      </c>
      <c r="B992" s="59">
        <v>8190884</v>
      </c>
      <c r="C992" s="60" t="s">
        <v>20</v>
      </c>
      <c r="D992" s="60" t="s">
        <v>232</v>
      </c>
      <c r="E992" s="61">
        <v>0.95833333333333337</v>
      </c>
      <c r="F992" s="60" t="s">
        <v>21</v>
      </c>
      <c r="G992" s="71" t="s">
        <v>13</v>
      </c>
      <c r="H992" s="62">
        <v>46255.975694444445</v>
      </c>
      <c r="I992" s="113" t="str">
        <f t="shared" si="243"/>
        <v>21-08-2026T23:25:00</v>
      </c>
      <c r="J992" s="62">
        <v>46256.222222222219</v>
      </c>
      <c r="K992" s="62"/>
      <c r="L992" s="63">
        <f t="shared" ref="L992:L1023" si="245">J992-H992</f>
        <v>0.24652777777373558</v>
      </c>
      <c r="M992" s="64">
        <v>0.25</v>
      </c>
      <c r="N992" s="65" t="str">
        <f t="shared" ref="N992:N1023" si="246">IF(M992-L992&gt;0,TEXT(M992-L992,"HH:MM:SS"),TEXT(ABS(M992-L992),"-HH:MM:SS"))</f>
        <v>00:05:00</v>
      </c>
      <c r="O992" s="66"/>
      <c r="P992" s="124"/>
      <c r="Q992" s="67"/>
      <c r="R992" s="68"/>
      <c r="S992" s="68"/>
      <c r="T992" s="69">
        <f t="shared" ref="T992:T1023" si="247">S992-R992</f>
        <v>0</v>
      </c>
      <c r="U992" s="61"/>
      <c r="V992" s="83">
        <v>0</v>
      </c>
      <c r="W992" s="61">
        <f t="shared" ref="W992:W1023" si="248">T992-V992</f>
        <v>0</v>
      </c>
      <c r="X992" s="171">
        <v>46255.975694444445</v>
      </c>
      <c r="Y992" s="171">
        <v>46256.222222222219</v>
      </c>
      <c r="Z992" s="168">
        <f t="shared" si="235"/>
        <v>0.24652777777373558</v>
      </c>
      <c r="AA992" s="169">
        <f t="shared" si="236"/>
        <v>0.25</v>
      </c>
      <c r="AB992" s="170" t="str">
        <f t="shared" si="237"/>
        <v>00:05:00</v>
      </c>
      <c r="AC992" s="170" t="b">
        <f t="shared" si="238"/>
        <v>1</v>
      </c>
    </row>
    <row r="993" spans="1:29" s="128" customFormat="1" ht="9.75" hidden="1" customHeight="1" x14ac:dyDescent="0.3">
      <c r="A993" s="99">
        <v>46255</v>
      </c>
      <c r="B993" s="59">
        <v>8190927</v>
      </c>
      <c r="C993" s="60" t="s">
        <v>56</v>
      </c>
      <c r="D993" s="60" t="s">
        <v>472</v>
      </c>
      <c r="E993" s="61">
        <v>0.99930555555555556</v>
      </c>
      <c r="F993" s="60" t="s">
        <v>15</v>
      </c>
      <c r="G993" s="71" t="s">
        <v>13</v>
      </c>
      <c r="H993" s="62">
        <v>46255.998611111114</v>
      </c>
      <c r="I993" s="113" t="str">
        <f t="shared" si="243"/>
        <v>21-08-2026T23:58:00</v>
      </c>
      <c r="J993" s="62">
        <v>46256.192361111112</v>
      </c>
      <c r="K993" s="62"/>
      <c r="L993" s="63">
        <f t="shared" si="245"/>
        <v>0.19374999999854481</v>
      </c>
      <c r="M993" s="64">
        <v>0.20833333333333334</v>
      </c>
      <c r="N993" s="65" t="str">
        <f t="shared" si="246"/>
        <v>00:21:00</v>
      </c>
      <c r="O993" s="66"/>
      <c r="P993" s="124"/>
      <c r="Q993" s="67"/>
      <c r="R993" s="68"/>
      <c r="S993" s="68"/>
      <c r="T993" s="69">
        <f t="shared" si="247"/>
        <v>0</v>
      </c>
      <c r="U993" s="61"/>
      <c r="V993" s="83">
        <v>0</v>
      </c>
      <c r="W993" s="61">
        <f t="shared" si="248"/>
        <v>0</v>
      </c>
      <c r="X993" s="171">
        <v>46255.998611111114</v>
      </c>
      <c r="Y993" s="171">
        <v>46256.192361111112</v>
      </c>
      <c r="Z993" s="168">
        <f t="shared" si="235"/>
        <v>0.19374999999854481</v>
      </c>
      <c r="AA993" s="169">
        <f t="shared" si="236"/>
        <v>0.20833333333333334</v>
      </c>
      <c r="AB993" s="170" t="str">
        <f t="shared" si="237"/>
        <v>00:21:00</v>
      </c>
      <c r="AC993" s="170" t="b">
        <f t="shared" si="238"/>
        <v>1</v>
      </c>
    </row>
    <row r="994" spans="1:29" s="128" customFormat="1" ht="9.75" hidden="1" customHeight="1" x14ac:dyDescent="0.3">
      <c r="A994" s="99">
        <v>46255</v>
      </c>
      <c r="B994" s="59">
        <v>8190925</v>
      </c>
      <c r="C994" s="60" t="s">
        <v>41</v>
      </c>
      <c r="D994" s="60" t="s">
        <v>299</v>
      </c>
      <c r="E994" s="61">
        <v>0.99930555555555556</v>
      </c>
      <c r="F994" s="60" t="s">
        <v>24</v>
      </c>
      <c r="G994" s="71" t="s">
        <v>13</v>
      </c>
      <c r="H994" s="62">
        <v>46255.998611111114</v>
      </c>
      <c r="I994" s="113" t="str">
        <f t="shared" si="243"/>
        <v>21-08-2026T23:58:00</v>
      </c>
      <c r="J994" s="62">
        <v>46256.074999999997</v>
      </c>
      <c r="K994" s="62"/>
      <c r="L994" s="63">
        <f t="shared" si="245"/>
        <v>7.6388888883229811E-2</v>
      </c>
      <c r="M994" s="64">
        <v>8.3333333333333329E-2</v>
      </c>
      <c r="N994" s="65" t="str">
        <f t="shared" si="246"/>
        <v>00:10:00</v>
      </c>
      <c r="O994" s="66"/>
      <c r="P994" s="124"/>
      <c r="Q994" s="67"/>
      <c r="R994" s="68"/>
      <c r="S994" s="68"/>
      <c r="T994" s="69">
        <f t="shared" si="247"/>
        <v>0</v>
      </c>
      <c r="U994" s="61"/>
      <c r="V994" s="83">
        <v>0</v>
      </c>
      <c r="W994" s="61">
        <f t="shared" si="248"/>
        <v>0</v>
      </c>
      <c r="X994" s="171">
        <v>46255.998611111114</v>
      </c>
      <c r="Y994" s="171">
        <v>46256.074999999997</v>
      </c>
      <c r="Z994" s="168">
        <f t="shared" si="235"/>
        <v>7.6388888883229811E-2</v>
      </c>
      <c r="AA994" s="169">
        <f t="shared" si="236"/>
        <v>8.3333333333333329E-2</v>
      </c>
      <c r="AB994" s="170" t="str">
        <f t="shared" si="237"/>
        <v>00:10:00</v>
      </c>
      <c r="AC994" s="170" t="b">
        <f t="shared" si="238"/>
        <v>1</v>
      </c>
    </row>
    <row r="995" spans="1:29" s="128" customFormat="1" ht="9.75" hidden="1" customHeight="1" x14ac:dyDescent="0.3">
      <c r="A995" s="99">
        <v>46255</v>
      </c>
      <c r="B995" s="59">
        <v>8190825</v>
      </c>
      <c r="C995" s="60" t="s">
        <v>203</v>
      </c>
      <c r="D995" s="60" t="s">
        <v>297</v>
      </c>
      <c r="E995" s="61" t="s">
        <v>184</v>
      </c>
      <c r="F995" s="60" t="s">
        <v>666</v>
      </c>
      <c r="G995" s="71" t="s">
        <v>13</v>
      </c>
      <c r="H995" s="62">
        <v>46255.948611111111</v>
      </c>
      <c r="I995" s="113" t="str">
        <f t="shared" si="243"/>
        <v>21-08-2026T22:46:00</v>
      </c>
      <c r="J995" s="62">
        <v>46256.695138888892</v>
      </c>
      <c r="K995" s="62"/>
      <c r="L995" s="63">
        <f t="shared" si="245"/>
        <v>0.74652777778101154</v>
      </c>
      <c r="M995" s="64">
        <v>0.75</v>
      </c>
      <c r="N995" s="65" t="str">
        <f t="shared" si="246"/>
        <v>00:05:00</v>
      </c>
      <c r="O995" s="66"/>
      <c r="P995" s="124" t="s">
        <v>184</v>
      </c>
      <c r="Q995" s="67" t="s">
        <v>587</v>
      </c>
      <c r="R995" s="68">
        <v>46255.979166666664</v>
      </c>
      <c r="S995" s="68">
        <v>46256.03125</v>
      </c>
      <c r="T995" s="69">
        <f t="shared" si="247"/>
        <v>5.2083333335758653E-2</v>
      </c>
      <c r="U995" s="61"/>
      <c r="V995" s="83" t="s">
        <v>393</v>
      </c>
      <c r="W995" s="61" t="e">
        <f t="shared" si="248"/>
        <v>#VALUE!</v>
      </c>
      <c r="X995" s="171">
        <v>46255.948611111111</v>
      </c>
      <c r="Y995" s="171">
        <v>46256.695138888892</v>
      </c>
      <c r="Z995" s="168">
        <f t="shared" si="235"/>
        <v>0.74652777778101154</v>
      </c>
      <c r="AA995" s="169">
        <f t="shared" si="236"/>
        <v>0.75</v>
      </c>
      <c r="AB995" s="170" t="str">
        <f t="shared" si="237"/>
        <v>00:05:00</v>
      </c>
      <c r="AC995" s="170" t="b">
        <f t="shared" si="238"/>
        <v>1</v>
      </c>
    </row>
    <row r="996" spans="1:29" s="128" customFormat="1" ht="9.75" hidden="1" customHeight="1" x14ac:dyDescent="0.3">
      <c r="A996" s="99">
        <v>46256</v>
      </c>
      <c r="B996" s="59">
        <v>8191058</v>
      </c>
      <c r="C996" s="60" t="s">
        <v>18</v>
      </c>
      <c r="D996" s="60" t="s">
        <v>389</v>
      </c>
      <c r="E996" s="61">
        <v>8.3333333333333329E-2</v>
      </c>
      <c r="F996" s="60" t="s">
        <v>13</v>
      </c>
      <c r="G996" s="71" t="s">
        <v>19</v>
      </c>
      <c r="H996" s="62">
        <v>8.3333333333333329E-2</v>
      </c>
      <c r="I996" s="113" t="str">
        <f t="shared" si="243"/>
        <v>22-08-2026T02:00:00</v>
      </c>
      <c r="J996" s="62">
        <v>0.49722222222222223</v>
      </c>
      <c r="K996" s="62"/>
      <c r="L996" s="63">
        <f t="shared" si="245"/>
        <v>0.41388888888888892</v>
      </c>
      <c r="M996" s="64">
        <v>0.41666666666666669</v>
      </c>
      <c r="N996" s="65" t="str">
        <f t="shared" si="246"/>
        <v>00:04:00</v>
      </c>
      <c r="O996" s="66"/>
      <c r="P996" s="124"/>
      <c r="Q996" s="67" t="s">
        <v>229</v>
      </c>
      <c r="R996" s="68">
        <v>0.375</v>
      </c>
      <c r="S996" s="68">
        <v>0.39583333333333331</v>
      </c>
      <c r="T996" s="69">
        <f t="shared" si="247"/>
        <v>2.0833333333333315E-2</v>
      </c>
      <c r="U996" s="61" t="s">
        <v>234</v>
      </c>
      <c r="V996" s="83">
        <v>6.25E-2</v>
      </c>
      <c r="W996" s="61">
        <f t="shared" si="248"/>
        <v>-4.1666666666666685E-2</v>
      </c>
      <c r="X996" s="171">
        <v>46256.083333333336</v>
      </c>
      <c r="Y996" s="171">
        <v>46256.49722222222</v>
      </c>
      <c r="Z996" s="168">
        <f t="shared" si="235"/>
        <v>0.413888888884685</v>
      </c>
      <c r="AA996" s="169">
        <f t="shared" si="236"/>
        <v>0.41666666666666669</v>
      </c>
      <c r="AB996" s="170" t="str">
        <f t="shared" si="237"/>
        <v>00:04:00</v>
      </c>
      <c r="AC996" s="170" t="b">
        <f t="shared" si="238"/>
        <v>1</v>
      </c>
    </row>
    <row r="997" spans="1:29" s="128" customFormat="1" ht="9.75" hidden="1" customHeight="1" x14ac:dyDescent="0.3">
      <c r="A997" s="99">
        <v>46256</v>
      </c>
      <c r="B997" s="59">
        <v>8191039</v>
      </c>
      <c r="C997" s="60" t="s">
        <v>29</v>
      </c>
      <c r="D997" s="60" t="s">
        <v>373</v>
      </c>
      <c r="E997" s="61">
        <v>8.3333333333333329E-2</v>
      </c>
      <c r="F997" s="60" t="s">
        <v>15</v>
      </c>
      <c r="G997" s="71" t="s">
        <v>17</v>
      </c>
      <c r="H997" s="62">
        <v>8.1250000000000003E-2</v>
      </c>
      <c r="I997" s="113" t="str">
        <f t="shared" si="243"/>
        <v>22-08-2026T01:57:00</v>
      </c>
      <c r="J997" s="62">
        <v>0.48888888888888887</v>
      </c>
      <c r="K997" s="62"/>
      <c r="L997" s="63">
        <f t="shared" si="245"/>
        <v>0.40763888888888888</v>
      </c>
      <c r="M997" s="64">
        <v>0.41666666666666669</v>
      </c>
      <c r="N997" s="65" t="str">
        <f t="shared" si="246"/>
        <v>00:13:00</v>
      </c>
      <c r="O997" s="66"/>
      <c r="P997" s="124"/>
      <c r="Q997" s="67"/>
      <c r="R997" s="68"/>
      <c r="S997" s="68"/>
      <c r="T997" s="69">
        <f t="shared" si="247"/>
        <v>0</v>
      </c>
      <c r="U997" s="61" t="s">
        <v>234</v>
      </c>
      <c r="V997" s="83">
        <v>0</v>
      </c>
      <c r="W997" s="61">
        <f t="shared" si="248"/>
        <v>0</v>
      </c>
      <c r="X997" s="171">
        <v>8.1250000000000003E-2</v>
      </c>
      <c r="Y997" s="171">
        <v>0.48888888888888887</v>
      </c>
      <c r="Z997" s="168">
        <f t="shared" si="235"/>
        <v>0.40763888888888888</v>
      </c>
      <c r="AA997" s="169">
        <f t="shared" si="236"/>
        <v>0.41666666666666669</v>
      </c>
      <c r="AB997" s="170" t="str">
        <f t="shared" si="237"/>
        <v>00:13:00</v>
      </c>
      <c r="AC997" s="170" t="b">
        <f t="shared" si="238"/>
        <v>1</v>
      </c>
    </row>
    <row r="998" spans="1:29" s="128" customFormat="1" ht="9.75" hidden="1" customHeight="1" x14ac:dyDescent="0.3">
      <c r="A998" s="99">
        <v>46256</v>
      </c>
      <c r="B998" s="59">
        <v>8191174</v>
      </c>
      <c r="C998" s="60" t="s">
        <v>97</v>
      </c>
      <c r="D998" s="60" t="s">
        <v>468</v>
      </c>
      <c r="E998" s="61">
        <v>0.125</v>
      </c>
      <c r="F998" s="60" t="s">
        <v>23</v>
      </c>
      <c r="G998" s="71" t="s">
        <v>13</v>
      </c>
      <c r="H998" s="62">
        <v>46256.134027777778</v>
      </c>
      <c r="I998" s="113" t="str">
        <f t="shared" si="243"/>
        <v>22-08-2026T03:13:00</v>
      </c>
      <c r="J998" s="62">
        <v>46257.359027777777</v>
      </c>
      <c r="K998" s="62"/>
      <c r="L998" s="63">
        <f t="shared" si="245"/>
        <v>1.2249999999985448</v>
      </c>
      <c r="M998" s="64">
        <v>1.0833333333333333</v>
      </c>
      <c r="N998" s="65" t="str">
        <f t="shared" si="246"/>
        <v>-03:24:00</v>
      </c>
      <c r="O998" s="66"/>
      <c r="P998" s="124" t="s">
        <v>670</v>
      </c>
      <c r="Q998" s="67" t="s">
        <v>13</v>
      </c>
      <c r="R998" s="68">
        <v>46257.270138888889</v>
      </c>
      <c r="S998" s="68">
        <v>46257.359027777777</v>
      </c>
      <c r="T998" s="69">
        <f t="shared" si="247"/>
        <v>8.8888888887595385E-2</v>
      </c>
      <c r="U998" s="61"/>
      <c r="V998" s="83">
        <v>8.3333333333333329E-2</v>
      </c>
      <c r="W998" s="61">
        <f t="shared" si="248"/>
        <v>5.5555555542620566E-3</v>
      </c>
      <c r="X998" s="172">
        <v>46256.134027777778</v>
      </c>
      <c r="Y998" s="172">
        <v>46257.359027777777</v>
      </c>
      <c r="Z998" s="173">
        <f t="shared" si="235"/>
        <v>1.2249999999985448</v>
      </c>
      <c r="AA998" s="174">
        <f t="shared" si="236"/>
        <v>1.0833333333333333</v>
      </c>
      <c r="AB998" s="175" t="str">
        <f t="shared" si="237"/>
        <v>-03:24:00</v>
      </c>
      <c r="AC998" s="175" t="b">
        <f t="shared" si="238"/>
        <v>1</v>
      </c>
    </row>
    <row r="999" spans="1:29" s="128" customFormat="1" ht="9.75" hidden="1" customHeight="1" x14ac:dyDescent="0.3">
      <c r="A999" s="99">
        <v>46256</v>
      </c>
      <c r="B999" s="59">
        <v>8191149</v>
      </c>
      <c r="C999" s="60" t="s">
        <v>84</v>
      </c>
      <c r="D999" s="60" t="s">
        <v>301</v>
      </c>
      <c r="E999" s="61">
        <v>0.125</v>
      </c>
      <c r="F999" s="60" t="s">
        <v>13</v>
      </c>
      <c r="G999" s="71" t="s">
        <v>284</v>
      </c>
      <c r="H999" s="62">
        <v>0.12430555555555556</v>
      </c>
      <c r="I999" s="113" t="str">
        <f t="shared" si="243"/>
        <v>22-08-2026T02:59:00</v>
      </c>
      <c r="J999" s="62">
        <v>0.47499999999999998</v>
      </c>
      <c r="K999" s="62"/>
      <c r="L999" s="63">
        <f t="shared" si="245"/>
        <v>0.35069444444444442</v>
      </c>
      <c r="M999" s="64">
        <v>0.35416666666666669</v>
      </c>
      <c r="N999" s="65" t="str">
        <f t="shared" si="246"/>
        <v>00:05:00</v>
      </c>
      <c r="O999" s="66"/>
      <c r="P999" s="124"/>
      <c r="Q999" s="67" t="s">
        <v>174</v>
      </c>
      <c r="R999" s="68">
        <v>0.3611111111111111</v>
      </c>
      <c r="S999" s="68">
        <v>0.4201388888888889</v>
      </c>
      <c r="T999" s="69">
        <f t="shared" si="247"/>
        <v>5.902777777777779E-2</v>
      </c>
      <c r="U999" s="61"/>
      <c r="V999" s="83">
        <v>6.25E-2</v>
      </c>
      <c r="W999" s="61">
        <f t="shared" si="248"/>
        <v>-3.4722222222222099E-3</v>
      </c>
      <c r="X999" s="171">
        <v>46256.124305555553</v>
      </c>
      <c r="Y999" s="171">
        <v>46256.474999999999</v>
      </c>
      <c r="Z999" s="168">
        <f t="shared" si="235"/>
        <v>0.35069444444525288</v>
      </c>
      <c r="AA999" s="169">
        <f t="shared" si="236"/>
        <v>0.35416666666666669</v>
      </c>
      <c r="AB999" s="170" t="str">
        <f t="shared" si="237"/>
        <v>00:05:00</v>
      </c>
      <c r="AC999" s="170" t="b">
        <f t="shared" si="238"/>
        <v>1</v>
      </c>
    </row>
    <row r="1000" spans="1:29" s="127" customFormat="1" ht="9.75" hidden="1" customHeight="1" x14ac:dyDescent="0.3">
      <c r="A1000" s="98">
        <v>46256</v>
      </c>
      <c r="B1000" s="48">
        <v>8191105</v>
      </c>
      <c r="C1000" s="49" t="s">
        <v>57</v>
      </c>
      <c r="D1000" s="49" t="s">
        <v>390</v>
      </c>
      <c r="E1000" s="50">
        <v>0.125</v>
      </c>
      <c r="F1000" s="49" t="s">
        <v>24</v>
      </c>
      <c r="G1000" s="70" t="s">
        <v>13</v>
      </c>
      <c r="H1000" s="51">
        <v>0.1125</v>
      </c>
      <c r="I1000" s="113" t="str">
        <f t="shared" si="243"/>
        <v>22-08-2026T02:42:00</v>
      </c>
      <c r="J1000" s="51">
        <v>0.28055555555555556</v>
      </c>
      <c r="K1000" s="51"/>
      <c r="L1000" s="52">
        <f t="shared" si="245"/>
        <v>0.16805555555555557</v>
      </c>
      <c r="M1000" s="53">
        <v>8.3333333333333329E-2</v>
      </c>
      <c r="N1000" s="54" t="str">
        <f t="shared" si="246"/>
        <v>-02:02:00</v>
      </c>
      <c r="O1000" s="55">
        <v>750</v>
      </c>
      <c r="P1000" s="147" t="s">
        <v>671</v>
      </c>
      <c r="Q1000" s="56"/>
      <c r="R1000" s="57"/>
      <c r="S1000" s="57"/>
      <c r="T1000" s="58">
        <f t="shared" si="247"/>
        <v>0</v>
      </c>
      <c r="U1000" s="50"/>
      <c r="V1000" s="74">
        <v>0</v>
      </c>
      <c r="W1000" s="50">
        <f t="shared" si="248"/>
        <v>0</v>
      </c>
      <c r="X1000" s="171">
        <v>46256.112500000003</v>
      </c>
      <c r="Y1000" s="171">
        <v>46256.280555555553</v>
      </c>
      <c r="Z1000" s="168">
        <f t="shared" si="235"/>
        <v>0.16805555555038154</v>
      </c>
      <c r="AA1000" s="169">
        <f t="shared" si="236"/>
        <v>8.3333333333333329E-2</v>
      </c>
      <c r="AB1000" s="170" t="str">
        <f t="shared" si="237"/>
        <v>-02:02:00</v>
      </c>
      <c r="AC1000" s="170" t="b">
        <f t="shared" si="238"/>
        <v>1</v>
      </c>
    </row>
    <row r="1001" spans="1:29" s="128" customFormat="1" ht="9.75" hidden="1" customHeight="1" x14ac:dyDescent="0.3">
      <c r="A1001" s="99">
        <v>46256</v>
      </c>
      <c r="B1001" s="59">
        <v>8192007</v>
      </c>
      <c r="C1001" s="60" t="s">
        <v>54</v>
      </c>
      <c r="D1001" s="60" t="s">
        <v>288</v>
      </c>
      <c r="E1001" s="61">
        <v>0.16666666666666666</v>
      </c>
      <c r="F1001" s="60" t="s">
        <v>13</v>
      </c>
      <c r="G1001" s="71" t="s">
        <v>24</v>
      </c>
      <c r="H1001" s="62">
        <v>0.39166666666666666</v>
      </c>
      <c r="I1001" s="113" t="str">
        <f t="shared" si="243"/>
        <v>22-08-2026T09:24:00</v>
      </c>
      <c r="J1001" s="62">
        <v>0.46458333333333335</v>
      </c>
      <c r="K1001" s="62"/>
      <c r="L1001" s="63">
        <f t="shared" si="245"/>
        <v>7.2916666666666685E-2</v>
      </c>
      <c r="M1001" s="64">
        <v>8.3333333333333329E-2</v>
      </c>
      <c r="N1001" s="65" t="str">
        <f t="shared" si="246"/>
        <v>00:15:00</v>
      </c>
      <c r="O1001" s="66"/>
      <c r="P1001" s="124"/>
      <c r="Q1001" s="67"/>
      <c r="R1001" s="68"/>
      <c r="S1001" s="68"/>
      <c r="T1001" s="69">
        <f t="shared" si="247"/>
        <v>0</v>
      </c>
      <c r="U1001" s="61"/>
      <c r="V1001" s="83">
        <v>0</v>
      </c>
      <c r="W1001" s="61">
        <f t="shared" si="248"/>
        <v>0</v>
      </c>
      <c r="X1001" s="171">
        <v>46256.39166666667</v>
      </c>
      <c r="Y1001" s="171">
        <v>46256.464583333334</v>
      </c>
      <c r="Z1001" s="168">
        <f t="shared" si="235"/>
        <v>7.2916666664241347E-2</v>
      </c>
      <c r="AA1001" s="169">
        <f t="shared" si="236"/>
        <v>8.3333333333333329E-2</v>
      </c>
      <c r="AB1001" s="170" t="str">
        <f t="shared" si="237"/>
        <v>00:15:00</v>
      </c>
      <c r="AC1001" s="170" t="b">
        <f t="shared" si="238"/>
        <v>1</v>
      </c>
    </row>
    <row r="1002" spans="1:29" s="128" customFormat="1" ht="9.75" hidden="1" customHeight="1" x14ac:dyDescent="0.3">
      <c r="A1002" s="99">
        <v>46256</v>
      </c>
      <c r="B1002" s="59">
        <v>8191271</v>
      </c>
      <c r="C1002" s="60" t="s">
        <v>27</v>
      </c>
      <c r="D1002" s="60" t="s">
        <v>378</v>
      </c>
      <c r="E1002" s="61">
        <v>0.16666666666666666</v>
      </c>
      <c r="F1002" s="60" t="s">
        <v>13</v>
      </c>
      <c r="G1002" s="71" t="s">
        <v>28</v>
      </c>
      <c r="H1002" s="62">
        <v>0.16666666666666666</v>
      </c>
      <c r="I1002" s="113" t="str">
        <f t="shared" si="243"/>
        <v>22-08-2026T04:00:00</v>
      </c>
      <c r="J1002" s="62">
        <v>0.3298611111111111</v>
      </c>
      <c r="K1002" s="62"/>
      <c r="L1002" s="63">
        <f t="shared" si="245"/>
        <v>0.16319444444444445</v>
      </c>
      <c r="M1002" s="64">
        <v>0.16666666666666666</v>
      </c>
      <c r="N1002" s="65" t="str">
        <f t="shared" si="246"/>
        <v>00:05:00</v>
      </c>
      <c r="O1002" s="66"/>
      <c r="P1002" s="124"/>
      <c r="Q1002" s="67"/>
      <c r="R1002" s="68"/>
      <c r="S1002" s="68"/>
      <c r="T1002" s="69">
        <f t="shared" si="247"/>
        <v>0</v>
      </c>
      <c r="U1002" s="61"/>
      <c r="V1002" s="83">
        <v>0</v>
      </c>
      <c r="W1002" s="61">
        <f t="shared" si="248"/>
        <v>0</v>
      </c>
      <c r="X1002" s="171">
        <v>46256.166666666664</v>
      </c>
      <c r="Y1002" s="171">
        <v>46256.329861111109</v>
      </c>
      <c r="Z1002" s="168">
        <f t="shared" si="235"/>
        <v>0.16319444444525288</v>
      </c>
      <c r="AA1002" s="169">
        <f t="shared" si="236"/>
        <v>0.16666666666666666</v>
      </c>
      <c r="AB1002" s="170" t="str">
        <f t="shared" si="237"/>
        <v>00:05:00</v>
      </c>
      <c r="AC1002" s="170" t="b">
        <f t="shared" si="238"/>
        <v>1</v>
      </c>
    </row>
    <row r="1003" spans="1:29" s="128" customFormat="1" ht="9.75" hidden="1" customHeight="1" x14ac:dyDescent="0.3">
      <c r="A1003" s="99">
        <v>46256</v>
      </c>
      <c r="B1003" s="59">
        <v>8191298</v>
      </c>
      <c r="C1003" s="60" t="s">
        <v>16</v>
      </c>
      <c r="D1003" s="60" t="s">
        <v>285</v>
      </c>
      <c r="E1003" s="61">
        <v>0.16666666666666666</v>
      </c>
      <c r="F1003" s="60" t="s">
        <v>17</v>
      </c>
      <c r="G1003" s="71" t="s">
        <v>15</v>
      </c>
      <c r="H1003" s="62">
        <v>0.16944444444444445</v>
      </c>
      <c r="I1003" s="113" t="str">
        <f t="shared" si="243"/>
        <v>22-08-2026T04:04:00</v>
      </c>
      <c r="J1003" s="62">
        <v>0.65625</v>
      </c>
      <c r="K1003" s="62"/>
      <c r="L1003" s="63">
        <f t="shared" si="245"/>
        <v>0.48680555555555555</v>
      </c>
      <c r="M1003" s="64">
        <v>0.5</v>
      </c>
      <c r="N1003" s="65" t="str">
        <f t="shared" si="246"/>
        <v>00:19:00</v>
      </c>
      <c r="O1003" s="66"/>
      <c r="P1003" s="124"/>
      <c r="Q1003" s="67" t="s">
        <v>98</v>
      </c>
      <c r="R1003" s="68">
        <v>0.375</v>
      </c>
      <c r="S1003" s="68">
        <v>0.4548611111111111</v>
      </c>
      <c r="T1003" s="69">
        <f t="shared" si="247"/>
        <v>7.9861111111111105E-2</v>
      </c>
      <c r="U1003" s="61" t="s">
        <v>234</v>
      </c>
      <c r="V1003" s="83">
        <v>8.3333333333333329E-2</v>
      </c>
      <c r="W1003" s="61">
        <f t="shared" si="248"/>
        <v>-3.4722222222222238E-3</v>
      </c>
      <c r="X1003" s="171">
        <v>0.16944444444444445</v>
      </c>
      <c r="Y1003" s="171">
        <v>0.65625</v>
      </c>
      <c r="Z1003" s="168">
        <f t="shared" si="235"/>
        <v>0.48680555555555555</v>
      </c>
      <c r="AA1003" s="169">
        <f t="shared" si="236"/>
        <v>0.5</v>
      </c>
      <c r="AB1003" s="170" t="str">
        <f t="shared" si="237"/>
        <v>00:19:00</v>
      </c>
      <c r="AC1003" s="170" t="b">
        <f t="shared" si="238"/>
        <v>1</v>
      </c>
    </row>
    <row r="1004" spans="1:29" s="128" customFormat="1" ht="9.75" hidden="1" customHeight="1" x14ac:dyDescent="0.3">
      <c r="A1004" s="99">
        <v>46256</v>
      </c>
      <c r="B1004" s="59">
        <v>8192016</v>
      </c>
      <c r="C1004" s="60" t="s">
        <v>30</v>
      </c>
      <c r="D1004" s="60" t="s">
        <v>286</v>
      </c>
      <c r="E1004" s="61">
        <v>0.16666666666666666</v>
      </c>
      <c r="F1004" s="60" t="s">
        <v>31</v>
      </c>
      <c r="G1004" s="71" t="s">
        <v>13</v>
      </c>
      <c r="H1004" s="62">
        <v>46256.398611111108</v>
      </c>
      <c r="I1004" s="113" t="str">
        <f t="shared" si="243"/>
        <v>22-08-2026T09:34:00</v>
      </c>
      <c r="J1004" s="62">
        <v>46257.088888888888</v>
      </c>
      <c r="K1004" s="62"/>
      <c r="L1004" s="63">
        <f t="shared" si="245"/>
        <v>0.69027777777955635</v>
      </c>
      <c r="M1004" s="64">
        <v>0.70833333333333337</v>
      </c>
      <c r="N1004" s="65" t="str">
        <f t="shared" si="246"/>
        <v>00:26:00</v>
      </c>
      <c r="O1004" s="66"/>
      <c r="P1004" s="124" t="s">
        <v>598</v>
      </c>
      <c r="Q1004" s="67" t="s">
        <v>13</v>
      </c>
      <c r="R1004" s="68">
        <v>46257.019444444442</v>
      </c>
      <c r="S1004" s="68">
        <v>46257.076388888891</v>
      </c>
      <c r="T1004" s="69">
        <f t="shared" si="247"/>
        <v>5.6944444448163267E-2</v>
      </c>
      <c r="U1004" s="61"/>
      <c r="V1004" s="83">
        <v>8.3333333333333329E-2</v>
      </c>
      <c r="W1004" s="61">
        <f t="shared" si="248"/>
        <v>-2.6388888885170061E-2</v>
      </c>
      <c r="X1004" s="172">
        <v>46256.398611111108</v>
      </c>
      <c r="Y1004" s="172">
        <v>46257.088888888888</v>
      </c>
      <c r="Z1004" s="173">
        <f t="shared" si="235"/>
        <v>0.69027777777955635</v>
      </c>
      <c r="AA1004" s="174">
        <f t="shared" si="236"/>
        <v>0.70833333333333337</v>
      </c>
      <c r="AB1004" s="175" t="str">
        <f t="shared" si="237"/>
        <v>00:26:00</v>
      </c>
      <c r="AC1004" s="175" t="b">
        <f t="shared" si="238"/>
        <v>1</v>
      </c>
    </row>
    <row r="1005" spans="1:29" s="127" customFormat="1" ht="9.75" hidden="1" customHeight="1" x14ac:dyDescent="0.3">
      <c r="A1005" s="98">
        <v>46256</v>
      </c>
      <c r="B1005" s="48">
        <v>8191287</v>
      </c>
      <c r="C1005" s="49" t="s">
        <v>12</v>
      </c>
      <c r="D1005" s="49" t="s">
        <v>586</v>
      </c>
      <c r="E1005" s="50">
        <v>0.16666666666666666</v>
      </c>
      <c r="F1005" s="49" t="s">
        <v>13</v>
      </c>
      <c r="G1005" s="70" t="s">
        <v>14</v>
      </c>
      <c r="H1005" s="51">
        <v>0.16805555555555557</v>
      </c>
      <c r="I1005" s="113" t="str">
        <f t="shared" si="243"/>
        <v>22-08-2026T04:02:00</v>
      </c>
      <c r="J1005" s="51">
        <v>0.76666666666666672</v>
      </c>
      <c r="K1005" s="51"/>
      <c r="L1005" s="52">
        <f t="shared" si="245"/>
        <v>0.5986111111111112</v>
      </c>
      <c r="M1005" s="53">
        <v>0.54166666666666663</v>
      </c>
      <c r="N1005" s="54" t="str">
        <f t="shared" si="246"/>
        <v>-01:22:00</v>
      </c>
      <c r="O1005" s="55">
        <v>400</v>
      </c>
      <c r="P1005" s="147" t="s">
        <v>598</v>
      </c>
      <c r="Q1005" s="56"/>
      <c r="R1005" s="57"/>
      <c r="S1005" s="57"/>
      <c r="T1005" s="58">
        <f t="shared" si="247"/>
        <v>0</v>
      </c>
      <c r="U1005" s="50"/>
      <c r="V1005" s="74">
        <v>0</v>
      </c>
      <c r="W1005" s="50">
        <f t="shared" si="248"/>
        <v>0</v>
      </c>
      <c r="X1005" s="171">
        <v>46256.168055555558</v>
      </c>
      <c r="Y1005" s="171">
        <v>46256.76666666667</v>
      </c>
      <c r="Z1005" s="168">
        <f t="shared" si="235"/>
        <v>0.59861111111240461</v>
      </c>
      <c r="AA1005" s="169">
        <f t="shared" si="236"/>
        <v>0.54166666666666663</v>
      </c>
      <c r="AB1005" s="170" t="str">
        <f t="shared" si="237"/>
        <v>-01:22:00</v>
      </c>
      <c r="AC1005" s="170" t="b">
        <f t="shared" si="238"/>
        <v>1</v>
      </c>
    </row>
    <row r="1006" spans="1:29" s="128" customFormat="1" ht="9.75" hidden="1" customHeight="1" x14ac:dyDescent="0.3">
      <c r="A1006" s="99">
        <v>46256</v>
      </c>
      <c r="B1006" s="59">
        <v>8191433</v>
      </c>
      <c r="C1006" s="60" t="s">
        <v>32</v>
      </c>
      <c r="D1006" s="60" t="s">
        <v>476</v>
      </c>
      <c r="E1006" s="61">
        <v>0.20833333333333334</v>
      </c>
      <c r="F1006" s="60" t="s">
        <v>13</v>
      </c>
      <c r="G1006" s="71" t="s">
        <v>287</v>
      </c>
      <c r="H1006" s="62">
        <v>0.20694444444444443</v>
      </c>
      <c r="I1006" s="113" t="str">
        <f t="shared" si="243"/>
        <v>22-08-2026T04:58:00</v>
      </c>
      <c r="J1006" s="62">
        <v>0.34722222222222221</v>
      </c>
      <c r="K1006" s="62"/>
      <c r="L1006" s="63">
        <f t="shared" si="245"/>
        <v>0.14027777777777778</v>
      </c>
      <c r="M1006" s="64">
        <v>0.14583333333333334</v>
      </c>
      <c r="N1006" s="65" t="str">
        <f t="shared" si="246"/>
        <v>00:08:00</v>
      </c>
      <c r="O1006" s="66"/>
      <c r="P1006" s="124"/>
      <c r="Q1006" s="67"/>
      <c r="R1006" s="68"/>
      <c r="S1006" s="68"/>
      <c r="T1006" s="69">
        <f t="shared" si="247"/>
        <v>0</v>
      </c>
      <c r="U1006" s="61"/>
      <c r="V1006" s="83">
        <v>0</v>
      </c>
      <c r="W1006" s="61">
        <f t="shared" si="248"/>
        <v>0</v>
      </c>
      <c r="X1006" s="171">
        <v>46256.206944444442</v>
      </c>
      <c r="Y1006" s="171">
        <v>46256.347222222219</v>
      </c>
      <c r="Z1006" s="168">
        <f t="shared" si="235"/>
        <v>0.14027777777664596</v>
      </c>
      <c r="AA1006" s="169">
        <f t="shared" si="236"/>
        <v>0.14583333333333334</v>
      </c>
      <c r="AB1006" s="170" t="str">
        <f t="shared" si="237"/>
        <v>00:08:00</v>
      </c>
      <c r="AC1006" s="170" t="b">
        <f t="shared" si="238"/>
        <v>1</v>
      </c>
    </row>
    <row r="1007" spans="1:29" s="128" customFormat="1" ht="9.75" hidden="1" customHeight="1" x14ac:dyDescent="0.3">
      <c r="A1007" s="99">
        <v>46256</v>
      </c>
      <c r="B1007" s="59">
        <v>8191398</v>
      </c>
      <c r="C1007" s="60" t="s">
        <v>82</v>
      </c>
      <c r="D1007" s="60" t="s">
        <v>333</v>
      </c>
      <c r="E1007" s="61">
        <v>0.20833333333333334</v>
      </c>
      <c r="F1007" s="60" t="s">
        <v>26</v>
      </c>
      <c r="G1007" s="71" t="s">
        <v>13</v>
      </c>
      <c r="H1007" s="62">
        <v>0.20416666666666666</v>
      </c>
      <c r="I1007" s="113" t="str">
        <f t="shared" si="243"/>
        <v>22-08-2026T04:54:00</v>
      </c>
      <c r="J1007" s="62">
        <v>0.62777777777777777</v>
      </c>
      <c r="K1007" s="62"/>
      <c r="L1007" s="63">
        <f t="shared" si="245"/>
        <v>0.4236111111111111</v>
      </c>
      <c r="M1007" s="64">
        <v>0.45833333333333331</v>
      </c>
      <c r="N1007" s="65" t="str">
        <f t="shared" si="246"/>
        <v>00:50:00</v>
      </c>
      <c r="O1007" s="66"/>
      <c r="P1007" s="124"/>
      <c r="Q1007" s="67" t="s">
        <v>13</v>
      </c>
      <c r="R1007" s="68">
        <v>0.56874999999999998</v>
      </c>
      <c r="S1007" s="68">
        <v>0.62361111111111112</v>
      </c>
      <c r="T1007" s="69">
        <f t="shared" si="247"/>
        <v>5.4861111111111138E-2</v>
      </c>
      <c r="U1007" s="61"/>
      <c r="V1007" s="83">
        <v>8.3333333333333329E-2</v>
      </c>
      <c r="W1007" s="61">
        <f t="shared" si="248"/>
        <v>-2.847222222222219E-2</v>
      </c>
      <c r="X1007" s="171">
        <v>46256.20416666667</v>
      </c>
      <c r="Y1007" s="171">
        <v>46256.62777777778</v>
      </c>
      <c r="Z1007" s="168">
        <f t="shared" si="235"/>
        <v>0.42361111110949423</v>
      </c>
      <c r="AA1007" s="169">
        <f t="shared" si="236"/>
        <v>0.45833333333333331</v>
      </c>
      <c r="AB1007" s="170" t="str">
        <f t="shared" si="237"/>
        <v>00:50:00</v>
      </c>
      <c r="AC1007" s="170" t="b">
        <f t="shared" si="238"/>
        <v>1</v>
      </c>
    </row>
    <row r="1008" spans="1:29" s="127" customFormat="1" ht="9.75" hidden="1" customHeight="1" x14ac:dyDescent="0.3">
      <c r="A1008" s="98">
        <v>46256</v>
      </c>
      <c r="B1008" s="48">
        <v>8191619</v>
      </c>
      <c r="C1008" s="49" t="s">
        <v>38</v>
      </c>
      <c r="D1008" s="49" t="s">
        <v>289</v>
      </c>
      <c r="E1008" s="50">
        <v>0.25</v>
      </c>
      <c r="F1008" s="49" t="s">
        <v>14</v>
      </c>
      <c r="G1008" s="70" t="s">
        <v>13</v>
      </c>
      <c r="H1008" s="51">
        <v>0.25</v>
      </c>
      <c r="I1008" s="113" t="str">
        <f t="shared" si="243"/>
        <v>22-08-2026T06:00:00</v>
      </c>
      <c r="J1008" s="51">
        <v>0.82499999999999996</v>
      </c>
      <c r="K1008" s="51"/>
      <c r="L1008" s="52">
        <f t="shared" si="245"/>
        <v>0.57499999999999996</v>
      </c>
      <c r="M1008" s="53">
        <v>0.54166666666666663</v>
      </c>
      <c r="N1008" s="54" t="str">
        <f t="shared" si="246"/>
        <v>-00:48:00</v>
      </c>
      <c r="O1008" s="55">
        <v>250</v>
      </c>
      <c r="P1008" s="147" t="s">
        <v>784</v>
      </c>
      <c r="Q1008" s="56"/>
      <c r="R1008" s="57"/>
      <c r="S1008" s="57"/>
      <c r="T1008" s="58">
        <f t="shared" si="247"/>
        <v>0</v>
      </c>
      <c r="U1008" s="50"/>
      <c r="V1008" s="74">
        <v>0</v>
      </c>
      <c r="W1008" s="50">
        <f t="shared" si="248"/>
        <v>0</v>
      </c>
      <c r="X1008" s="171">
        <v>46256.25</v>
      </c>
      <c r="Y1008" s="171">
        <v>46256.824999999997</v>
      </c>
      <c r="Z1008" s="168">
        <f t="shared" si="235"/>
        <v>0.57499999999708962</v>
      </c>
      <c r="AA1008" s="169">
        <f t="shared" si="236"/>
        <v>0.54166666666666663</v>
      </c>
      <c r="AB1008" s="170" t="str">
        <f t="shared" si="237"/>
        <v>-00:48:00</v>
      </c>
      <c r="AC1008" s="170" t="b">
        <f t="shared" si="238"/>
        <v>1</v>
      </c>
    </row>
    <row r="1009" spans="1:29" s="128" customFormat="1" ht="9.75" hidden="1" customHeight="1" x14ac:dyDescent="0.3">
      <c r="A1009" s="99">
        <v>46256</v>
      </c>
      <c r="B1009" s="59">
        <v>8191628</v>
      </c>
      <c r="C1009" s="60" t="s">
        <v>89</v>
      </c>
      <c r="D1009" s="60" t="s">
        <v>294</v>
      </c>
      <c r="E1009" s="61">
        <v>0.25</v>
      </c>
      <c r="F1009" s="60" t="s">
        <v>13</v>
      </c>
      <c r="G1009" s="71" t="s">
        <v>35</v>
      </c>
      <c r="H1009" s="62">
        <v>0.25</v>
      </c>
      <c r="I1009" s="113" t="str">
        <f t="shared" si="243"/>
        <v>22-08-2026T06:00:00</v>
      </c>
      <c r="J1009" s="62">
        <v>0.28472222222222221</v>
      </c>
      <c r="K1009" s="62"/>
      <c r="L1009" s="63">
        <f t="shared" si="245"/>
        <v>3.472222222222221E-2</v>
      </c>
      <c r="M1009" s="64">
        <v>4.1666666666666664E-2</v>
      </c>
      <c r="N1009" s="65" t="str">
        <f t="shared" si="246"/>
        <v>00:10:00</v>
      </c>
      <c r="O1009" s="66"/>
      <c r="P1009" s="124"/>
      <c r="Q1009" s="67"/>
      <c r="R1009" s="68"/>
      <c r="S1009" s="68"/>
      <c r="T1009" s="69">
        <f t="shared" si="247"/>
        <v>0</v>
      </c>
      <c r="U1009" s="61"/>
      <c r="V1009" s="83">
        <v>0</v>
      </c>
      <c r="W1009" s="61">
        <f t="shared" si="248"/>
        <v>0</v>
      </c>
      <c r="X1009" s="171">
        <v>46256.25</v>
      </c>
      <c r="Y1009" s="171">
        <v>46256.284722222219</v>
      </c>
      <c r="Z1009" s="168">
        <f t="shared" si="235"/>
        <v>3.4722222218988463E-2</v>
      </c>
      <c r="AA1009" s="169">
        <f t="shared" si="236"/>
        <v>4.1666666666666664E-2</v>
      </c>
      <c r="AB1009" s="170" t="str">
        <f t="shared" si="237"/>
        <v>00:10:00</v>
      </c>
      <c r="AC1009" s="170" t="b">
        <f t="shared" si="238"/>
        <v>1</v>
      </c>
    </row>
    <row r="1010" spans="1:29" s="127" customFormat="1" ht="9.75" hidden="1" customHeight="1" x14ac:dyDescent="0.3">
      <c r="A1010" s="98">
        <v>46256</v>
      </c>
      <c r="B1010" s="48">
        <v>8191703</v>
      </c>
      <c r="C1010" s="49" t="s">
        <v>83</v>
      </c>
      <c r="D1010" s="49" t="s">
        <v>454</v>
      </c>
      <c r="E1010" s="50">
        <v>0.27083333333333331</v>
      </c>
      <c r="F1010" s="49" t="s">
        <v>14</v>
      </c>
      <c r="G1010" s="70" t="s">
        <v>13</v>
      </c>
      <c r="H1010" s="51">
        <v>0.26944444444444443</v>
      </c>
      <c r="I1010" s="113" t="str">
        <f t="shared" si="243"/>
        <v>22-08-2026T06:28:00</v>
      </c>
      <c r="J1010" s="51">
        <v>0.97291666666666665</v>
      </c>
      <c r="K1010" s="51"/>
      <c r="L1010" s="52">
        <f t="shared" si="245"/>
        <v>0.70347222222222228</v>
      </c>
      <c r="M1010" s="53">
        <v>0.625</v>
      </c>
      <c r="N1010" s="54" t="str">
        <f t="shared" si="246"/>
        <v>-01:53:00</v>
      </c>
      <c r="O1010" s="55">
        <v>400</v>
      </c>
      <c r="P1010" s="147" t="s">
        <v>658</v>
      </c>
      <c r="Q1010" s="56" t="s">
        <v>126</v>
      </c>
      <c r="R1010" s="57">
        <v>0.375</v>
      </c>
      <c r="S1010" s="57">
        <v>0.47152777777777777</v>
      </c>
      <c r="T1010" s="47">
        <f t="shared" si="247"/>
        <v>9.6527777777777768E-2</v>
      </c>
      <c r="U1010" s="50"/>
      <c r="V1010" s="74">
        <v>6.25E-2</v>
      </c>
      <c r="W1010" s="50">
        <f t="shared" si="248"/>
        <v>3.4027777777777768E-2</v>
      </c>
      <c r="X1010" s="171">
        <v>46256.269444444442</v>
      </c>
      <c r="Y1010" s="171">
        <v>46256.972916666666</v>
      </c>
      <c r="Z1010" s="168">
        <f t="shared" si="235"/>
        <v>0.70347222222335404</v>
      </c>
      <c r="AA1010" s="169">
        <f t="shared" si="236"/>
        <v>0.625</v>
      </c>
      <c r="AB1010" s="170" t="str">
        <f t="shared" si="237"/>
        <v>-01:53:00</v>
      </c>
      <c r="AC1010" s="170" t="b">
        <f t="shared" si="238"/>
        <v>1</v>
      </c>
    </row>
    <row r="1011" spans="1:29" s="128" customFormat="1" ht="9.75" hidden="1" customHeight="1" x14ac:dyDescent="0.3">
      <c r="A1011" s="99">
        <v>46256</v>
      </c>
      <c r="B1011" s="59">
        <v>8191711</v>
      </c>
      <c r="C1011" s="60" t="s">
        <v>36</v>
      </c>
      <c r="D1011" s="60" t="s">
        <v>300</v>
      </c>
      <c r="E1011" s="61">
        <v>0.27083333333333331</v>
      </c>
      <c r="F1011" s="60" t="s">
        <v>13</v>
      </c>
      <c r="G1011" s="71" t="s">
        <v>14</v>
      </c>
      <c r="H1011" s="62">
        <v>0.27013888888888887</v>
      </c>
      <c r="I1011" s="113" t="str">
        <f t="shared" si="243"/>
        <v>22-08-2026T06:29:00</v>
      </c>
      <c r="J1011" s="62">
        <v>0.8666666666666667</v>
      </c>
      <c r="K1011" s="62"/>
      <c r="L1011" s="63">
        <f t="shared" si="245"/>
        <v>0.59652777777777777</v>
      </c>
      <c r="M1011" s="64">
        <v>0.625</v>
      </c>
      <c r="N1011" s="65" t="str">
        <f t="shared" si="246"/>
        <v>00:41:00</v>
      </c>
      <c r="O1011" s="66"/>
      <c r="P1011" s="124"/>
      <c r="Q1011" s="67" t="s">
        <v>15</v>
      </c>
      <c r="R1011" s="68">
        <v>0.48402777777777778</v>
      </c>
      <c r="S1011" s="68">
        <v>0.52152777777777781</v>
      </c>
      <c r="T1011" s="69">
        <f t="shared" si="247"/>
        <v>3.7500000000000033E-2</v>
      </c>
      <c r="U1011" s="61"/>
      <c r="V1011" s="83">
        <v>6.25E-2</v>
      </c>
      <c r="W1011" s="61">
        <f t="shared" si="248"/>
        <v>-2.4999999999999967E-2</v>
      </c>
      <c r="X1011" s="171">
        <v>46256.270138888889</v>
      </c>
      <c r="Y1011" s="171">
        <v>46256.866666666669</v>
      </c>
      <c r="Z1011" s="168">
        <f t="shared" si="235"/>
        <v>0.59652777777955635</v>
      </c>
      <c r="AA1011" s="169">
        <f t="shared" si="236"/>
        <v>0.625</v>
      </c>
      <c r="AB1011" s="170" t="str">
        <f t="shared" si="237"/>
        <v>00:41:00</v>
      </c>
      <c r="AC1011" s="170" t="b">
        <f t="shared" si="238"/>
        <v>1</v>
      </c>
    </row>
    <row r="1012" spans="1:29" s="127" customFormat="1" ht="9.75" hidden="1" customHeight="1" x14ac:dyDescent="0.3">
      <c r="A1012" s="98">
        <v>46256</v>
      </c>
      <c r="B1012" s="48">
        <v>8191980</v>
      </c>
      <c r="C1012" s="49" t="s">
        <v>34</v>
      </c>
      <c r="D1012" s="49" t="s">
        <v>379</v>
      </c>
      <c r="E1012" s="50">
        <v>0.29166666666666669</v>
      </c>
      <c r="F1012" s="49" t="s">
        <v>13</v>
      </c>
      <c r="G1012" s="70" t="s">
        <v>103</v>
      </c>
      <c r="H1012" s="51">
        <v>46256.379166666666</v>
      </c>
      <c r="I1012" s="113" t="str">
        <f t="shared" si="243"/>
        <v>22-08-2026T09:06:00</v>
      </c>
      <c r="J1012" s="51">
        <v>46257.111805555556</v>
      </c>
      <c r="K1012" s="51"/>
      <c r="L1012" s="52">
        <f t="shared" si="245"/>
        <v>0.73263888889050577</v>
      </c>
      <c r="M1012" s="53">
        <v>0.625</v>
      </c>
      <c r="N1012" s="54" t="str">
        <f t="shared" si="246"/>
        <v>-02:35:00</v>
      </c>
      <c r="O1012" s="55">
        <v>750</v>
      </c>
      <c r="P1012" s="147" t="s">
        <v>682</v>
      </c>
      <c r="Q1012" s="56"/>
      <c r="R1012" s="57"/>
      <c r="S1012" s="57"/>
      <c r="T1012" s="58">
        <f t="shared" si="247"/>
        <v>0</v>
      </c>
      <c r="U1012" s="50"/>
      <c r="V1012" s="74">
        <v>0</v>
      </c>
      <c r="W1012" s="50">
        <f t="shared" si="248"/>
        <v>0</v>
      </c>
      <c r="X1012" s="171">
        <v>46256.379166666666</v>
      </c>
      <c r="Y1012" s="171">
        <v>46257.111805555556</v>
      </c>
      <c r="Z1012" s="168">
        <f t="shared" si="235"/>
        <v>0.73263888889050577</v>
      </c>
      <c r="AA1012" s="169">
        <f t="shared" si="236"/>
        <v>0.625</v>
      </c>
      <c r="AB1012" s="170" t="str">
        <f t="shared" si="237"/>
        <v>-02:35:00</v>
      </c>
      <c r="AC1012" s="170" t="b">
        <f t="shared" si="238"/>
        <v>1</v>
      </c>
    </row>
    <row r="1013" spans="1:29" s="128" customFormat="1" ht="9.75" hidden="1" customHeight="1" x14ac:dyDescent="0.3">
      <c r="A1013" s="99">
        <v>46256</v>
      </c>
      <c r="B1013" s="59">
        <v>8191831</v>
      </c>
      <c r="C1013" s="60" t="s">
        <v>52</v>
      </c>
      <c r="D1013" s="60" t="s">
        <v>616</v>
      </c>
      <c r="E1013" s="61">
        <v>0.3125</v>
      </c>
      <c r="F1013" s="60" t="s">
        <v>15</v>
      </c>
      <c r="G1013" s="71" t="s">
        <v>13</v>
      </c>
      <c r="H1013" s="62">
        <v>0.3125</v>
      </c>
      <c r="I1013" s="113" t="str">
        <f t="shared" si="243"/>
        <v>22-08-2026T07:30:00</v>
      </c>
      <c r="J1013" s="62">
        <v>0.54166666666666663</v>
      </c>
      <c r="K1013" s="62"/>
      <c r="L1013" s="63">
        <f t="shared" si="245"/>
        <v>0.22916666666666663</v>
      </c>
      <c r="M1013" s="64">
        <v>0.25</v>
      </c>
      <c r="N1013" s="65" t="str">
        <f t="shared" si="246"/>
        <v>00:30:00</v>
      </c>
      <c r="O1013" s="66"/>
      <c r="P1013" s="124"/>
      <c r="Q1013" s="67" t="s">
        <v>205</v>
      </c>
      <c r="R1013" s="68">
        <v>0.3888888888888889</v>
      </c>
      <c r="S1013" s="68">
        <v>0.40972222222222221</v>
      </c>
      <c r="T1013" s="69">
        <f t="shared" si="247"/>
        <v>2.0833333333333315E-2</v>
      </c>
      <c r="U1013" s="61"/>
      <c r="V1013" s="83">
        <v>4.1666666666666664E-2</v>
      </c>
      <c r="W1013" s="61">
        <f t="shared" si="248"/>
        <v>-2.083333333333335E-2</v>
      </c>
      <c r="X1013" s="171">
        <v>0.3125</v>
      </c>
      <c r="Y1013" s="171">
        <v>0.54166666666666663</v>
      </c>
      <c r="Z1013" s="168">
        <f t="shared" si="235"/>
        <v>0.22916666666666663</v>
      </c>
      <c r="AA1013" s="169">
        <f t="shared" si="236"/>
        <v>0.25</v>
      </c>
      <c r="AB1013" s="170" t="str">
        <f t="shared" si="237"/>
        <v>00:30:00</v>
      </c>
      <c r="AC1013" s="170" t="b">
        <f t="shared" si="238"/>
        <v>1</v>
      </c>
    </row>
    <row r="1014" spans="1:29" s="128" customFormat="1" ht="9.75" hidden="1" customHeight="1" x14ac:dyDescent="0.3">
      <c r="A1014" s="99">
        <v>46256</v>
      </c>
      <c r="B1014" s="59">
        <v>8191789</v>
      </c>
      <c r="C1014" s="60" t="s">
        <v>86</v>
      </c>
      <c r="D1014" s="60" t="s">
        <v>182</v>
      </c>
      <c r="E1014" s="61">
        <v>0.29166666666666669</v>
      </c>
      <c r="F1014" s="60" t="s">
        <v>13</v>
      </c>
      <c r="G1014" s="71" t="s">
        <v>31</v>
      </c>
      <c r="H1014" s="62">
        <v>0.29444444444444445</v>
      </c>
      <c r="I1014" s="113" t="str">
        <f t="shared" si="243"/>
        <v>22-08-2026T07:04:00</v>
      </c>
      <c r="J1014" s="62">
        <v>0.86527777777777781</v>
      </c>
      <c r="K1014" s="62"/>
      <c r="L1014" s="63">
        <f t="shared" si="245"/>
        <v>0.5708333333333333</v>
      </c>
      <c r="M1014" s="64">
        <v>0.625</v>
      </c>
      <c r="N1014" s="65" t="str">
        <f t="shared" si="246"/>
        <v>01:18:00</v>
      </c>
      <c r="O1014" s="66"/>
      <c r="P1014" s="124"/>
      <c r="Q1014" s="67"/>
      <c r="R1014" s="68"/>
      <c r="S1014" s="68"/>
      <c r="T1014" s="69">
        <f t="shared" si="247"/>
        <v>0</v>
      </c>
      <c r="U1014" s="61"/>
      <c r="V1014" s="83">
        <v>0</v>
      </c>
      <c r="W1014" s="61">
        <f t="shared" si="248"/>
        <v>0</v>
      </c>
      <c r="X1014" s="172">
        <v>46256.294444444444</v>
      </c>
      <c r="Y1014" s="172">
        <v>46256.865277777775</v>
      </c>
      <c r="Z1014" s="173">
        <f t="shared" si="235"/>
        <v>0.57083333333139308</v>
      </c>
      <c r="AA1014" s="174">
        <f t="shared" si="236"/>
        <v>0.625</v>
      </c>
      <c r="AB1014" s="175" t="str">
        <f t="shared" si="237"/>
        <v>01:18:00</v>
      </c>
      <c r="AC1014" s="175" t="b">
        <f t="shared" si="238"/>
        <v>1</v>
      </c>
    </row>
    <row r="1015" spans="1:29" s="128" customFormat="1" ht="9.75" hidden="1" customHeight="1" x14ac:dyDescent="0.3">
      <c r="A1015" s="99">
        <v>46256</v>
      </c>
      <c r="B1015" s="59">
        <v>8191839</v>
      </c>
      <c r="C1015" s="60" t="s">
        <v>42</v>
      </c>
      <c r="D1015" s="60" t="s">
        <v>181</v>
      </c>
      <c r="E1015" s="61">
        <v>0.3125</v>
      </c>
      <c r="F1015" s="60" t="s">
        <v>13</v>
      </c>
      <c r="G1015" s="71" t="s">
        <v>55</v>
      </c>
      <c r="H1015" s="62">
        <v>0.3125</v>
      </c>
      <c r="I1015" s="113" t="str">
        <f t="shared" si="243"/>
        <v>22-08-2026T07:30:00</v>
      </c>
      <c r="J1015" s="62">
        <v>0.37291666666666667</v>
      </c>
      <c r="K1015" s="62"/>
      <c r="L1015" s="63">
        <f t="shared" si="245"/>
        <v>6.0416666666666674E-2</v>
      </c>
      <c r="M1015" s="64">
        <v>6.25E-2</v>
      </c>
      <c r="N1015" s="65" t="str">
        <f t="shared" si="246"/>
        <v>00:03:00</v>
      </c>
      <c r="O1015" s="66"/>
      <c r="P1015" s="124"/>
      <c r="Q1015" s="67"/>
      <c r="R1015" s="68"/>
      <c r="S1015" s="68"/>
      <c r="T1015" s="69">
        <f t="shared" si="247"/>
        <v>0</v>
      </c>
      <c r="U1015" s="61" t="s">
        <v>234</v>
      </c>
      <c r="V1015" s="83">
        <v>0</v>
      </c>
      <c r="W1015" s="61">
        <f t="shared" si="248"/>
        <v>0</v>
      </c>
      <c r="X1015" s="171">
        <v>46256.3125</v>
      </c>
      <c r="Y1015" s="171">
        <v>46256.372916666667</v>
      </c>
      <c r="Z1015" s="168">
        <f t="shared" si="235"/>
        <v>6.0416666667151731E-2</v>
      </c>
      <c r="AA1015" s="169">
        <f t="shared" si="236"/>
        <v>6.25E-2</v>
      </c>
      <c r="AB1015" s="170" t="str">
        <f t="shared" si="237"/>
        <v>00:03:00</v>
      </c>
      <c r="AC1015" s="170" t="b">
        <f t="shared" si="238"/>
        <v>1</v>
      </c>
    </row>
    <row r="1016" spans="1:29" s="128" customFormat="1" ht="9.75" hidden="1" customHeight="1" x14ac:dyDescent="0.3">
      <c r="A1016" s="99">
        <v>46256</v>
      </c>
      <c r="B1016" s="59">
        <v>8191975</v>
      </c>
      <c r="C1016" s="60" t="s">
        <v>50</v>
      </c>
      <c r="D1016" s="60" t="s">
        <v>329</v>
      </c>
      <c r="E1016" s="61">
        <v>0.375</v>
      </c>
      <c r="F1016" s="60" t="s">
        <v>13</v>
      </c>
      <c r="G1016" s="71" t="s">
        <v>31</v>
      </c>
      <c r="H1016" s="62">
        <v>46256.37777777778</v>
      </c>
      <c r="I1016" s="113" t="str">
        <f t="shared" si="243"/>
        <v>22-08-2026T09:04:00</v>
      </c>
      <c r="J1016" s="62">
        <v>46257.113194444442</v>
      </c>
      <c r="K1016" s="62"/>
      <c r="L1016" s="63">
        <f t="shared" si="245"/>
        <v>0.73541666666278616</v>
      </c>
      <c r="M1016" s="64">
        <v>0.75</v>
      </c>
      <c r="N1016" s="65" t="str">
        <f t="shared" si="246"/>
        <v>00:21:00</v>
      </c>
      <c r="O1016" s="66"/>
      <c r="P1016" s="124" t="s">
        <v>662</v>
      </c>
      <c r="Q1016" s="67" t="s">
        <v>45</v>
      </c>
      <c r="R1016" s="68">
        <v>0.91319444444444442</v>
      </c>
      <c r="S1016" s="68">
        <v>0.99097222222222225</v>
      </c>
      <c r="T1016" s="69">
        <f t="shared" si="247"/>
        <v>7.7777777777777835E-2</v>
      </c>
      <c r="U1016" s="61"/>
      <c r="V1016" s="83">
        <v>8.3333333333333329E-2</v>
      </c>
      <c r="W1016" s="61">
        <f t="shared" si="248"/>
        <v>-5.5555555555554942E-3</v>
      </c>
      <c r="X1016" s="172">
        <v>46256.37777777778</v>
      </c>
      <c r="Y1016" s="172">
        <v>46257.113194444442</v>
      </c>
      <c r="Z1016" s="173">
        <f t="shared" si="235"/>
        <v>0.73541666666278616</v>
      </c>
      <c r="AA1016" s="174">
        <f t="shared" si="236"/>
        <v>0.75</v>
      </c>
      <c r="AB1016" s="175" t="str">
        <f t="shared" si="237"/>
        <v>00:21:00</v>
      </c>
      <c r="AC1016" s="175" t="b">
        <f t="shared" si="238"/>
        <v>1</v>
      </c>
    </row>
    <row r="1017" spans="1:29" s="127" customFormat="1" ht="9.75" hidden="1" customHeight="1" x14ac:dyDescent="0.3">
      <c r="A1017" s="98">
        <v>46256</v>
      </c>
      <c r="B1017" s="48">
        <v>8191971</v>
      </c>
      <c r="C1017" s="49" t="s">
        <v>104</v>
      </c>
      <c r="D1017" s="49" t="s">
        <v>382</v>
      </c>
      <c r="E1017" s="50">
        <v>0.375</v>
      </c>
      <c r="F1017" s="49" t="s">
        <v>13</v>
      </c>
      <c r="G1017" s="70" t="s">
        <v>47</v>
      </c>
      <c r="H1017" s="51">
        <v>46256.375694444447</v>
      </c>
      <c r="I1017" s="113" t="str">
        <f t="shared" si="243"/>
        <v>22-08-2026T09:01:00</v>
      </c>
      <c r="J1017" s="51">
        <v>46258.324305555558</v>
      </c>
      <c r="K1017" s="51"/>
      <c r="L1017" s="52">
        <f t="shared" si="245"/>
        <v>1.9486111111109494</v>
      </c>
      <c r="M1017" s="53">
        <v>1.9166666666666667</v>
      </c>
      <c r="N1017" s="54" t="str">
        <f t="shared" si="246"/>
        <v>-00:46:00</v>
      </c>
      <c r="O1017" s="55">
        <v>200</v>
      </c>
      <c r="P1017" s="147" t="s">
        <v>647</v>
      </c>
      <c r="Q1017" s="56" t="s">
        <v>96</v>
      </c>
      <c r="R1017" s="57">
        <v>46259.093055555553</v>
      </c>
      <c r="S1017" s="57">
        <v>46259.173611111109</v>
      </c>
      <c r="T1017" s="58">
        <f t="shared" si="247"/>
        <v>8.0555555556202307E-2</v>
      </c>
      <c r="U1017" s="50"/>
      <c r="V1017" s="74">
        <v>8.3333333333333329E-2</v>
      </c>
      <c r="W1017" s="50">
        <f t="shared" si="248"/>
        <v>-2.7777777771310214E-3</v>
      </c>
      <c r="X1017" s="171">
        <v>46256.375694444447</v>
      </c>
      <c r="Y1017" s="171">
        <v>46258.324305555558</v>
      </c>
      <c r="Z1017" s="168">
        <f t="shared" si="235"/>
        <v>1.9486111111109494</v>
      </c>
      <c r="AA1017" s="169">
        <f t="shared" si="236"/>
        <v>1.9166666666666667</v>
      </c>
      <c r="AB1017" s="170" t="str">
        <f t="shared" si="237"/>
        <v>-00:46:00</v>
      </c>
      <c r="AC1017" s="170" t="b">
        <f t="shared" si="238"/>
        <v>1</v>
      </c>
    </row>
    <row r="1018" spans="1:29" s="144" customFormat="1" ht="9.75" hidden="1" customHeight="1" x14ac:dyDescent="0.3">
      <c r="A1018" s="129">
        <v>46256</v>
      </c>
      <c r="B1018" s="130">
        <v>8191961</v>
      </c>
      <c r="C1018" s="131" t="s">
        <v>48</v>
      </c>
      <c r="D1018" s="131" t="s">
        <v>183</v>
      </c>
      <c r="E1018" s="132">
        <v>0.375</v>
      </c>
      <c r="F1018" s="131" t="s">
        <v>49</v>
      </c>
      <c r="G1018" s="133" t="s">
        <v>13</v>
      </c>
      <c r="H1018" s="134">
        <v>0.37430555555555556</v>
      </c>
      <c r="I1018" s="113" t="str">
        <f t="shared" si="243"/>
        <v>22-08-2026T08:59:00</v>
      </c>
      <c r="J1018" s="134">
        <v>0.96736111111111112</v>
      </c>
      <c r="K1018" s="134"/>
      <c r="L1018" s="135">
        <f t="shared" si="245"/>
        <v>0.59305555555555556</v>
      </c>
      <c r="M1018" s="136">
        <v>0.58333333333333337</v>
      </c>
      <c r="N1018" s="137" t="str">
        <f t="shared" si="246"/>
        <v>-00:14:00</v>
      </c>
      <c r="O1018" s="138"/>
      <c r="P1018" s="145" t="s">
        <v>125</v>
      </c>
      <c r="Q1018" s="140" t="s">
        <v>13</v>
      </c>
      <c r="R1018" s="141">
        <v>46256.861111111109</v>
      </c>
      <c r="S1018" s="141">
        <v>46256.957638888889</v>
      </c>
      <c r="T1018" s="142">
        <f t="shared" si="247"/>
        <v>9.6527777779556345E-2</v>
      </c>
      <c r="U1018" s="132"/>
      <c r="V1018" s="143">
        <v>8.3333333333333329E-2</v>
      </c>
      <c r="W1018" s="132">
        <f t="shared" si="248"/>
        <v>1.3194444446223016E-2</v>
      </c>
      <c r="X1018" s="171">
        <v>46256.374305555553</v>
      </c>
      <c r="Y1018" s="171">
        <v>46256.967361111114</v>
      </c>
      <c r="Z1018" s="168">
        <f t="shared" si="235"/>
        <v>0.59305555556056788</v>
      </c>
      <c r="AA1018" s="169">
        <f t="shared" si="236"/>
        <v>0.58333333333333337</v>
      </c>
      <c r="AB1018" s="170" t="str">
        <f t="shared" si="237"/>
        <v>-00:14:00</v>
      </c>
      <c r="AC1018" s="170" t="b">
        <f t="shared" si="238"/>
        <v>1</v>
      </c>
    </row>
    <row r="1019" spans="1:29" s="127" customFormat="1" ht="9.75" hidden="1" customHeight="1" x14ac:dyDescent="0.3">
      <c r="A1019" s="98">
        <v>46256</v>
      </c>
      <c r="B1019" s="48">
        <v>8192019</v>
      </c>
      <c r="C1019" s="49" t="s">
        <v>44</v>
      </c>
      <c r="D1019" s="49" t="s">
        <v>651</v>
      </c>
      <c r="E1019" s="50">
        <v>0.41666666666666669</v>
      </c>
      <c r="F1019" s="49" t="s">
        <v>31</v>
      </c>
      <c r="G1019" s="70" t="s">
        <v>13</v>
      </c>
      <c r="H1019" s="51">
        <v>46256.40347222222</v>
      </c>
      <c r="I1019" s="113" t="str">
        <f t="shared" si="243"/>
        <v>22-08-2026T09:41:00</v>
      </c>
      <c r="J1019" s="51">
        <v>46257.200694444444</v>
      </c>
      <c r="K1019" s="51"/>
      <c r="L1019" s="52">
        <f t="shared" si="245"/>
        <v>0.79722222222335404</v>
      </c>
      <c r="M1019" s="53">
        <v>0.75</v>
      </c>
      <c r="N1019" s="54" t="str">
        <f t="shared" si="246"/>
        <v>-01:08:00</v>
      </c>
      <c r="O1019" s="55">
        <v>400</v>
      </c>
      <c r="P1019" s="147" t="s">
        <v>684</v>
      </c>
      <c r="Q1019" s="56" t="s">
        <v>45</v>
      </c>
      <c r="R1019" s="57">
        <v>0.5493055555555556</v>
      </c>
      <c r="S1019" s="57">
        <v>0.64236111111111116</v>
      </c>
      <c r="T1019" s="47">
        <f t="shared" si="247"/>
        <v>9.3055555555555558E-2</v>
      </c>
      <c r="U1019" s="50"/>
      <c r="V1019" s="74">
        <v>8.3333333333333329E-2</v>
      </c>
      <c r="W1019" s="50">
        <f t="shared" si="248"/>
        <v>9.7222222222222293E-3</v>
      </c>
      <c r="X1019" s="171">
        <v>46256.40347222222</v>
      </c>
      <c r="Y1019" s="171">
        <v>46257.200694444444</v>
      </c>
      <c r="Z1019" s="168">
        <f t="shared" si="235"/>
        <v>0.79722222222335404</v>
      </c>
      <c r="AA1019" s="169">
        <f t="shared" si="236"/>
        <v>0.75</v>
      </c>
      <c r="AB1019" s="170" t="str">
        <f t="shared" si="237"/>
        <v>-01:08:00</v>
      </c>
      <c r="AC1019" s="170" t="b">
        <f t="shared" si="238"/>
        <v>1</v>
      </c>
    </row>
    <row r="1020" spans="1:29" s="128" customFormat="1" ht="9.75" hidden="1" customHeight="1" x14ac:dyDescent="0.3">
      <c r="A1020" s="99">
        <v>46256</v>
      </c>
      <c r="B1020" s="59">
        <v>8192070</v>
      </c>
      <c r="C1020" s="60" t="s">
        <v>51</v>
      </c>
      <c r="D1020" s="60" t="s">
        <v>295</v>
      </c>
      <c r="E1020" s="61">
        <v>0.41666666666666669</v>
      </c>
      <c r="F1020" s="60" t="s">
        <v>13</v>
      </c>
      <c r="G1020" s="71" t="s">
        <v>49</v>
      </c>
      <c r="H1020" s="62">
        <v>0.43472222222222223</v>
      </c>
      <c r="I1020" s="113" t="str">
        <f t="shared" si="243"/>
        <v>22-08-2026T10:26:00</v>
      </c>
      <c r="J1020" s="62">
        <v>0.90972222222222221</v>
      </c>
      <c r="K1020" s="62"/>
      <c r="L1020" s="63">
        <f t="shared" si="245"/>
        <v>0.47499999999999998</v>
      </c>
      <c r="M1020" s="64">
        <v>0.5</v>
      </c>
      <c r="N1020" s="65" t="str">
        <f t="shared" si="246"/>
        <v>00:36:00</v>
      </c>
      <c r="O1020" s="66"/>
      <c r="P1020" s="124"/>
      <c r="Q1020" s="67"/>
      <c r="R1020" s="68"/>
      <c r="S1020" s="68"/>
      <c r="T1020" s="69">
        <f t="shared" si="247"/>
        <v>0</v>
      </c>
      <c r="U1020" s="61" t="s">
        <v>234</v>
      </c>
      <c r="V1020" s="83">
        <v>0</v>
      </c>
      <c r="W1020" s="61">
        <f t="shared" si="248"/>
        <v>0</v>
      </c>
      <c r="X1020" s="171">
        <v>46256.43472222222</v>
      </c>
      <c r="Y1020" s="171">
        <v>46256.909722222219</v>
      </c>
      <c r="Z1020" s="168">
        <f t="shared" si="235"/>
        <v>0.47499999999854481</v>
      </c>
      <c r="AA1020" s="169">
        <f t="shared" si="236"/>
        <v>0.5</v>
      </c>
      <c r="AB1020" s="170" t="str">
        <f t="shared" si="237"/>
        <v>00:36:00</v>
      </c>
      <c r="AC1020" s="170" t="b">
        <f t="shared" si="238"/>
        <v>1</v>
      </c>
    </row>
    <row r="1021" spans="1:29" s="128" customFormat="1" ht="9.75" customHeight="1" x14ac:dyDescent="0.3">
      <c r="A1021" s="99">
        <v>46256</v>
      </c>
      <c r="B1021" s="59">
        <v>8190935</v>
      </c>
      <c r="C1021" s="60" t="s">
        <v>90</v>
      </c>
      <c r="D1021" s="60" t="s">
        <v>290</v>
      </c>
      <c r="E1021" s="61">
        <v>0.99930555555555556</v>
      </c>
      <c r="F1021" s="60" t="s">
        <v>13</v>
      </c>
      <c r="G1021" s="71" t="s">
        <v>15</v>
      </c>
      <c r="H1021" s="62">
        <v>1.2500000000000001E-2</v>
      </c>
      <c r="I1021" s="113" t="str">
        <f t="shared" si="243"/>
        <v>22-08-2026T00:18:00</v>
      </c>
      <c r="J1021" s="62">
        <v>0.26527777777777778</v>
      </c>
      <c r="K1021" s="113" t="str">
        <f t="shared" ref="K1021:K1022" si="249">TEXT(A1021,"dd-mm-yyyy")&amp;"T"&amp;TEXT(J1021,"hh:mm:ss")</f>
        <v>22-08-2026T06:22:00</v>
      </c>
      <c r="L1021" s="63">
        <f t="shared" si="245"/>
        <v>0.25277777777777777</v>
      </c>
      <c r="M1021" s="64">
        <v>0.27083333333333331</v>
      </c>
      <c r="N1021" s="65" t="str">
        <f t="shared" si="246"/>
        <v>00:26:00</v>
      </c>
      <c r="O1021" s="66"/>
      <c r="P1021" s="124"/>
      <c r="Q1021" s="67" t="s">
        <v>13</v>
      </c>
      <c r="R1021" s="68">
        <v>2.361111111111111E-2</v>
      </c>
      <c r="S1021" s="68">
        <v>6.3888888888888884E-2</v>
      </c>
      <c r="T1021" s="69">
        <f t="shared" si="247"/>
        <v>4.0277777777777773E-2</v>
      </c>
      <c r="U1021" s="61"/>
      <c r="V1021" s="83">
        <v>4.1666666666666664E-2</v>
      </c>
      <c r="W1021" s="61">
        <f t="shared" si="248"/>
        <v>-1.3888888888888909E-3</v>
      </c>
      <c r="X1021" s="171">
        <v>46256.012499999997</v>
      </c>
      <c r="Y1021" s="171">
        <v>46256.265277777777</v>
      </c>
      <c r="Z1021" s="168">
        <f t="shared" ref="Z1021:Z1084" si="250">Y1021-X1021</f>
        <v>0.25277777777955635</v>
      </c>
      <c r="AA1021" s="169">
        <f t="shared" ref="AA1021:AA1085" si="251">M1021</f>
        <v>0.27083333333333331</v>
      </c>
      <c r="AB1021" s="170" t="str">
        <f t="shared" ref="AB1021:AB1084" si="252">IF(AA1021-Z1021&gt;0,TEXT(AA1021-Z1021,"HH:MM:SS"),TEXT(ABS(AA1021-Z1021),"-HH:MM:SS"))</f>
        <v>00:26:00</v>
      </c>
      <c r="AC1021" s="170" t="b">
        <f t="shared" ref="AC1021:AC1084" si="253">AB1021=N1021</f>
        <v>1</v>
      </c>
    </row>
    <row r="1022" spans="1:29" s="128" customFormat="1" ht="9.75" hidden="1" customHeight="1" x14ac:dyDescent="0.3">
      <c r="A1022" s="99">
        <v>46256</v>
      </c>
      <c r="B1022" s="59">
        <v>8192084</v>
      </c>
      <c r="C1022" s="60" t="s">
        <v>90</v>
      </c>
      <c r="D1022" s="60" t="s">
        <v>290</v>
      </c>
      <c r="E1022" s="61">
        <v>0.4375</v>
      </c>
      <c r="F1022" s="60" t="s">
        <v>15</v>
      </c>
      <c r="G1022" s="71" t="s">
        <v>13</v>
      </c>
      <c r="H1022" s="62">
        <v>0.44027777777777777</v>
      </c>
      <c r="I1022" s="113" t="str">
        <f t="shared" si="243"/>
        <v>22-08-2026T10:34:00</v>
      </c>
      <c r="J1022" s="62">
        <v>0.64375000000000004</v>
      </c>
      <c r="K1022" s="113" t="str">
        <f t="shared" si="249"/>
        <v>22-08-2026T15:27:00</v>
      </c>
      <c r="L1022" s="63">
        <f t="shared" si="245"/>
        <v>0.20347222222222228</v>
      </c>
      <c r="M1022" s="64">
        <v>0.20833333333333334</v>
      </c>
      <c r="N1022" s="65" t="str">
        <f t="shared" si="246"/>
        <v>00:07:00</v>
      </c>
      <c r="O1022" s="66"/>
      <c r="P1022" s="124"/>
      <c r="Q1022" s="67"/>
      <c r="R1022" s="68"/>
      <c r="S1022" s="68"/>
      <c r="T1022" s="69">
        <f t="shared" si="247"/>
        <v>0</v>
      </c>
      <c r="U1022" s="61"/>
      <c r="V1022" s="83">
        <v>0</v>
      </c>
      <c r="W1022" s="61">
        <f t="shared" si="248"/>
        <v>0</v>
      </c>
      <c r="X1022" s="171">
        <v>46256.44027777778</v>
      </c>
      <c r="Y1022" s="171">
        <v>46256.643750000003</v>
      </c>
      <c r="Z1022" s="168">
        <f t="shared" si="250"/>
        <v>0.20347222222335404</v>
      </c>
      <c r="AA1022" s="169">
        <f t="shared" si="251"/>
        <v>0.20833333333333334</v>
      </c>
      <c r="AB1022" s="170" t="str">
        <f t="shared" si="252"/>
        <v>00:07:00</v>
      </c>
      <c r="AC1022" s="170" t="b">
        <f t="shared" si="253"/>
        <v>1</v>
      </c>
    </row>
    <row r="1023" spans="1:29" s="128" customFormat="1" ht="9.75" hidden="1" customHeight="1" x14ac:dyDescent="0.3">
      <c r="A1023" s="99">
        <v>46256</v>
      </c>
      <c r="B1023" s="59">
        <v>8192150</v>
      </c>
      <c r="C1023" s="60" t="s">
        <v>41</v>
      </c>
      <c r="D1023" s="60" t="s">
        <v>299</v>
      </c>
      <c r="E1023" s="61">
        <v>0.45833333333333331</v>
      </c>
      <c r="F1023" s="60" t="s">
        <v>13</v>
      </c>
      <c r="G1023" s="71" t="s">
        <v>24</v>
      </c>
      <c r="H1023" s="62">
        <v>0.46250000000000002</v>
      </c>
      <c r="I1023" s="113" t="str">
        <f t="shared" si="243"/>
        <v>22-08-2026T11:06:00</v>
      </c>
      <c r="J1023" s="62">
        <v>0.54097222222222219</v>
      </c>
      <c r="K1023" s="62"/>
      <c r="L1023" s="63">
        <f t="shared" si="245"/>
        <v>7.8472222222222165E-2</v>
      </c>
      <c r="M1023" s="64">
        <v>8.3333333333333329E-2</v>
      </c>
      <c r="N1023" s="65" t="str">
        <f t="shared" si="246"/>
        <v>00:07:00</v>
      </c>
      <c r="O1023" s="66"/>
      <c r="P1023" s="124"/>
      <c r="Q1023" s="67"/>
      <c r="R1023" s="68"/>
      <c r="S1023" s="68"/>
      <c r="T1023" s="69">
        <f t="shared" si="247"/>
        <v>0</v>
      </c>
      <c r="U1023" s="61"/>
      <c r="V1023" s="83">
        <v>0</v>
      </c>
      <c r="W1023" s="61">
        <f t="shared" si="248"/>
        <v>0</v>
      </c>
      <c r="X1023" s="171">
        <v>46256.462500000001</v>
      </c>
      <c r="Y1023" s="171">
        <v>46256.540972222225</v>
      </c>
      <c r="Z1023" s="168">
        <f t="shared" si="250"/>
        <v>7.8472222223354038E-2</v>
      </c>
      <c r="AA1023" s="169">
        <f t="shared" si="251"/>
        <v>8.3333333333333329E-2</v>
      </c>
      <c r="AB1023" s="170" t="str">
        <f t="shared" si="252"/>
        <v>00:07:00</v>
      </c>
      <c r="AC1023" s="170" t="b">
        <f t="shared" si="253"/>
        <v>1</v>
      </c>
    </row>
    <row r="1024" spans="1:29" s="128" customFormat="1" ht="9.75" hidden="1" customHeight="1" x14ac:dyDescent="0.3">
      <c r="A1024" s="99">
        <v>46256</v>
      </c>
      <c r="B1024" s="59">
        <v>8192483</v>
      </c>
      <c r="C1024" s="60" t="s">
        <v>20</v>
      </c>
      <c r="D1024" s="60" t="s">
        <v>232</v>
      </c>
      <c r="E1024" s="61">
        <v>0.5</v>
      </c>
      <c r="F1024" s="60" t="s">
        <v>13</v>
      </c>
      <c r="G1024" s="71" t="s">
        <v>21</v>
      </c>
      <c r="H1024" s="62">
        <v>0.57847222222222228</v>
      </c>
      <c r="I1024" s="113" t="str">
        <f t="shared" si="243"/>
        <v>22-08-2026T13:53:00</v>
      </c>
      <c r="J1024" s="62">
        <v>0.82638888888888884</v>
      </c>
      <c r="K1024" s="62"/>
      <c r="L1024" s="63">
        <f t="shared" ref="L1024:L1055" si="254">J1024-H1024</f>
        <v>0.24791666666666656</v>
      </c>
      <c r="M1024" s="64">
        <v>0.25</v>
      </c>
      <c r="N1024" s="65" t="str">
        <f t="shared" ref="N1024:N1055" si="255">IF(M1024-L1024&gt;0,TEXT(M1024-L1024,"HH:MM:SS"),TEXT(ABS(M1024-L1024),"-HH:MM:SS"))</f>
        <v>00:03:00</v>
      </c>
      <c r="O1024" s="66"/>
      <c r="P1024" s="124"/>
      <c r="Q1024" s="67"/>
      <c r="R1024" s="68"/>
      <c r="S1024" s="68"/>
      <c r="T1024" s="69">
        <f t="shared" ref="T1024:T1055" si="256">S1024-R1024</f>
        <v>0</v>
      </c>
      <c r="U1024" s="61"/>
      <c r="V1024" s="83">
        <v>0</v>
      </c>
      <c r="W1024" s="61">
        <f t="shared" ref="W1024:W1055" si="257">T1024-V1024</f>
        <v>0</v>
      </c>
      <c r="X1024" s="171">
        <v>46256.578472222223</v>
      </c>
      <c r="Y1024" s="171">
        <v>46256.826388888891</v>
      </c>
      <c r="Z1024" s="168">
        <f t="shared" si="250"/>
        <v>0.24791666666715173</v>
      </c>
      <c r="AA1024" s="169">
        <f t="shared" si="251"/>
        <v>0.25</v>
      </c>
      <c r="AB1024" s="170" t="str">
        <f t="shared" si="252"/>
        <v>00:03:00</v>
      </c>
      <c r="AC1024" s="170" t="b">
        <f t="shared" si="253"/>
        <v>1</v>
      </c>
    </row>
    <row r="1025" spans="1:29" s="128" customFormat="1" ht="9.75" hidden="1" customHeight="1" x14ac:dyDescent="0.3">
      <c r="A1025" s="99">
        <v>46256</v>
      </c>
      <c r="B1025" s="59">
        <v>8192428</v>
      </c>
      <c r="C1025" s="60" t="s">
        <v>56</v>
      </c>
      <c r="D1025" s="60" t="s">
        <v>472</v>
      </c>
      <c r="E1025" s="61">
        <v>0.54166666666666663</v>
      </c>
      <c r="F1025" s="60" t="s">
        <v>13</v>
      </c>
      <c r="G1025" s="71" t="s">
        <v>15</v>
      </c>
      <c r="H1025" s="62">
        <v>0.55694444444444446</v>
      </c>
      <c r="I1025" s="113" t="str">
        <f t="shared" si="243"/>
        <v>22-08-2026T13:22:00</v>
      </c>
      <c r="J1025" s="62">
        <v>0.76041666666666663</v>
      </c>
      <c r="K1025" s="62"/>
      <c r="L1025" s="63">
        <f t="shared" si="254"/>
        <v>0.20347222222222217</v>
      </c>
      <c r="M1025" s="64">
        <v>0.20833333333333334</v>
      </c>
      <c r="N1025" s="65" t="str">
        <f t="shared" si="255"/>
        <v>00:07:00</v>
      </c>
      <c r="O1025" s="66"/>
      <c r="P1025" s="124"/>
      <c r="Q1025" s="67"/>
      <c r="R1025" s="68"/>
      <c r="S1025" s="68"/>
      <c r="T1025" s="69">
        <f t="shared" si="256"/>
        <v>0</v>
      </c>
      <c r="U1025" s="61" t="s">
        <v>234</v>
      </c>
      <c r="V1025" s="83">
        <v>0</v>
      </c>
      <c r="W1025" s="61">
        <f t="shared" si="257"/>
        <v>0</v>
      </c>
      <c r="X1025" s="171">
        <v>46256.556944444441</v>
      </c>
      <c r="Y1025" s="171">
        <v>46256.760416666664</v>
      </c>
      <c r="Z1025" s="168">
        <f t="shared" si="250"/>
        <v>0.20347222222335404</v>
      </c>
      <c r="AA1025" s="169">
        <f t="shared" si="251"/>
        <v>0.20833333333333334</v>
      </c>
      <c r="AB1025" s="170" t="str">
        <f t="shared" si="252"/>
        <v>00:07:00</v>
      </c>
      <c r="AC1025" s="170" t="b">
        <f t="shared" si="253"/>
        <v>1</v>
      </c>
    </row>
    <row r="1026" spans="1:29" s="128" customFormat="1" ht="9.75" hidden="1" customHeight="1" x14ac:dyDescent="0.3">
      <c r="A1026" s="99">
        <v>46256</v>
      </c>
      <c r="B1026" s="59">
        <v>8192662</v>
      </c>
      <c r="C1026" s="60" t="s">
        <v>18</v>
      </c>
      <c r="D1026" s="60" t="s">
        <v>389</v>
      </c>
      <c r="E1026" s="61">
        <v>0.64583333333333337</v>
      </c>
      <c r="F1026" s="60" t="s">
        <v>19</v>
      </c>
      <c r="G1026" s="71" t="s">
        <v>13</v>
      </c>
      <c r="H1026" s="62">
        <v>46256.642361111109</v>
      </c>
      <c r="I1026" s="113" t="str">
        <f t="shared" si="243"/>
        <v>22-08-2026T15:25:00</v>
      </c>
      <c r="J1026" s="62">
        <v>46257.063888888886</v>
      </c>
      <c r="K1026" s="62"/>
      <c r="L1026" s="63">
        <f t="shared" si="254"/>
        <v>0.42152777777664596</v>
      </c>
      <c r="M1026" s="64">
        <v>0.4375</v>
      </c>
      <c r="N1026" s="65" t="str">
        <f t="shared" si="255"/>
        <v>00:23:00</v>
      </c>
      <c r="O1026" s="66"/>
      <c r="P1026" s="124"/>
      <c r="Q1026" s="67" t="s">
        <v>229</v>
      </c>
      <c r="R1026" s="68">
        <v>0.75</v>
      </c>
      <c r="S1026" s="68">
        <v>0.81944444444444442</v>
      </c>
      <c r="T1026" s="69">
        <f t="shared" si="256"/>
        <v>6.944444444444442E-2</v>
      </c>
      <c r="U1026" s="61" t="s">
        <v>234</v>
      </c>
      <c r="V1026" s="83">
        <v>8.3333333333333329E-2</v>
      </c>
      <c r="W1026" s="61">
        <f t="shared" si="257"/>
        <v>-1.3888888888888909E-2</v>
      </c>
      <c r="X1026" s="171">
        <v>46256.642361111109</v>
      </c>
      <c r="Y1026" s="171">
        <v>46257.063888888886</v>
      </c>
      <c r="Z1026" s="168">
        <f t="shared" si="250"/>
        <v>0.42152777777664596</v>
      </c>
      <c r="AA1026" s="169">
        <f t="shared" si="251"/>
        <v>0.4375</v>
      </c>
      <c r="AB1026" s="170" t="str">
        <f t="shared" si="252"/>
        <v>00:23:00</v>
      </c>
      <c r="AC1026" s="170" t="b">
        <f t="shared" si="253"/>
        <v>1</v>
      </c>
    </row>
    <row r="1027" spans="1:29" s="127" customFormat="1" ht="9.75" hidden="1" customHeight="1" x14ac:dyDescent="0.3">
      <c r="A1027" s="98">
        <v>46256</v>
      </c>
      <c r="B1027" s="48">
        <v>8192891</v>
      </c>
      <c r="C1027" s="49" t="s">
        <v>57</v>
      </c>
      <c r="D1027" s="49" t="s">
        <v>294</v>
      </c>
      <c r="E1027" s="50">
        <v>0.70833333333333337</v>
      </c>
      <c r="F1027" s="49" t="s">
        <v>13</v>
      </c>
      <c r="G1027" s="70" t="s">
        <v>24</v>
      </c>
      <c r="H1027" s="51">
        <v>0.71527777777777779</v>
      </c>
      <c r="I1027" s="113" t="str">
        <f t="shared" si="243"/>
        <v>22-08-2026T17:10:00</v>
      </c>
      <c r="J1027" s="51">
        <v>0.86805555555555558</v>
      </c>
      <c r="K1027" s="51"/>
      <c r="L1027" s="52">
        <f t="shared" si="254"/>
        <v>0.15277777777777779</v>
      </c>
      <c r="M1027" s="53">
        <v>8.3333333333333329E-2</v>
      </c>
      <c r="N1027" s="54" t="str">
        <f t="shared" si="255"/>
        <v>-01:40:00</v>
      </c>
      <c r="O1027" s="55">
        <v>500</v>
      </c>
      <c r="P1027" s="147" t="s">
        <v>598</v>
      </c>
      <c r="Q1027" s="56"/>
      <c r="R1027" s="57"/>
      <c r="S1027" s="57"/>
      <c r="T1027" s="58">
        <f t="shared" si="256"/>
        <v>0</v>
      </c>
      <c r="U1027" s="50"/>
      <c r="V1027" s="74">
        <v>0</v>
      </c>
      <c r="W1027" s="50">
        <f t="shared" si="257"/>
        <v>0</v>
      </c>
      <c r="X1027" s="171">
        <v>46256.715277777781</v>
      </c>
      <c r="Y1027" s="171">
        <v>46256.868055555555</v>
      </c>
      <c r="Z1027" s="168">
        <f t="shared" si="250"/>
        <v>0.15277777777373558</v>
      </c>
      <c r="AA1027" s="169">
        <f t="shared" si="251"/>
        <v>8.3333333333333329E-2</v>
      </c>
      <c r="AB1027" s="170" t="str">
        <f t="shared" si="252"/>
        <v>-01:40:00</v>
      </c>
      <c r="AC1027" s="170" t="b">
        <f t="shared" si="253"/>
        <v>1</v>
      </c>
    </row>
    <row r="1028" spans="1:29" s="128" customFormat="1" ht="9.75" hidden="1" customHeight="1" x14ac:dyDescent="0.3">
      <c r="A1028" s="99">
        <v>46256</v>
      </c>
      <c r="B1028" s="59">
        <v>8192902</v>
      </c>
      <c r="C1028" s="60" t="s">
        <v>84</v>
      </c>
      <c r="D1028" s="60" t="s">
        <v>301</v>
      </c>
      <c r="E1028" s="61">
        <v>0.70833333333333337</v>
      </c>
      <c r="F1028" s="60" t="s">
        <v>85</v>
      </c>
      <c r="G1028" s="71" t="s">
        <v>13</v>
      </c>
      <c r="H1028" s="62">
        <v>46256.720138888886</v>
      </c>
      <c r="I1028" s="113" t="str">
        <f t="shared" ref="I1028:I1091" si="258">TEXT(A1028,"dd-mm-yyyy")&amp;"T"&amp;TEXT(H1028,"hh:mm:ss")</f>
        <v>22-08-2026T17:17:00</v>
      </c>
      <c r="J1028" s="62">
        <v>46257.038194444445</v>
      </c>
      <c r="K1028" s="62"/>
      <c r="L1028" s="63">
        <f t="shared" si="254"/>
        <v>0.31805555555911269</v>
      </c>
      <c r="M1028" s="64">
        <v>0.33333333333333331</v>
      </c>
      <c r="N1028" s="65" t="str">
        <f t="shared" si="255"/>
        <v>00:22:00</v>
      </c>
      <c r="O1028" s="66"/>
      <c r="P1028" s="124"/>
      <c r="Q1028" s="67" t="s">
        <v>174</v>
      </c>
      <c r="R1028" s="68">
        <v>0.78819444444444442</v>
      </c>
      <c r="S1028" s="68">
        <v>0.80208333333333337</v>
      </c>
      <c r="T1028" s="69">
        <f t="shared" si="256"/>
        <v>1.3888888888888951E-2</v>
      </c>
      <c r="U1028" s="61"/>
      <c r="V1028" s="83">
        <v>4.1666666666666664E-2</v>
      </c>
      <c r="W1028" s="61">
        <f t="shared" si="257"/>
        <v>-2.7777777777777714E-2</v>
      </c>
      <c r="X1028" s="171">
        <v>46256.720138888886</v>
      </c>
      <c r="Y1028" s="171">
        <v>46257.038194444445</v>
      </c>
      <c r="Z1028" s="168">
        <f t="shared" si="250"/>
        <v>0.31805555555911269</v>
      </c>
      <c r="AA1028" s="169">
        <f t="shared" si="251"/>
        <v>0.33333333333333331</v>
      </c>
      <c r="AB1028" s="170" t="str">
        <f t="shared" si="252"/>
        <v>00:22:00</v>
      </c>
      <c r="AC1028" s="170" t="b">
        <f t="shared" si="253"/>
        <v>1</v>
      </c>
    </row>
    <row r="1029" spans="1:29" s="128" customFormat="1" ht="9.75" hidden="1" customHeight="1" x14ac:dyDescent="0.3">
      <c r="A1029" s="99">
        <v>46256</v>
      </c>
      <c r="B1029" s="59">
        <v>8192824</v>
      </c>
      <c r="C1029" s="60" t="s">
        <v>102</v>
      </c>
      <c r="D1029" s="60" t="s">
        <v>384</v>
      </c>
      <c r="E1029" s="61">
        <v>0.70833333333333337</v>
      </c>
      <c r="F1029" s="60" t="s">
        <v>13</v>
      </c>
      <c r="G1029" s="71" t="s">
        <v>23</v>
      </c>
      <c r="H1029" s="62">
        <v>46256.697222222225</v>
      </c>
      <c r="I1029" s="113" t="str">
        <f t="shared" si="258"/>
        <v>22-08-2026T16:44:00</v>
      </c>
      <c r="J1029" s="62">
        <v>46257.780555555553</v>
      </c>
      <c r="K1029" s="62"/>
      <c r="L1029" s="63">
        <f t="shared" si="254"/>
        <v>1.0833333333284827</v>
      </c>
      <c r="M1029" s="64">
        <v>1</v>
      </c>
      <c r="N1029" s="65" t="str">
        <f t="shared" si="255"/>
        <v>-02:00:00</v>
      </c>
      <c r="O1029" s="66"/>
      <c r="P1029" s="124" t="s">
        <v>569</v>
      </c>
      <c r="Q1029" s="67"/>
      <c r="R1029" s="68"/>
      <c r="S1029" s="68"/>
      <c r="T1029" s="69">
        <f t="shared" si="256"/>
        <v>0</v>
      </c>
      <c r="U1029" s="61"/>
      <c r="V1029" s="83">
        <v>0</v>
      </c>
      <c r="W1029" s="61">
        <f t="shared" si="257"/>
        <v>0</v>
      </c>
      <c r="X1029" s="172">
        <v>46256.697222222225</v>
      </c>
      <c r="Y1029" s="172">
        <v>46257.780555555553</v>
      </c>
      <c r="Z1029" s="173">
        <f t="shared" si="250"/>
        <v>1.0833333333284827</v>
      </c>
      <c r="AA1029" s="174">
        <f t="shared" si="251"/>
        <v>1</v>
      </c>
      <c r="AB1029" s="175" t="str">
        <f t="shared" si="252"/>
        <v>-02:00:00</v>
      </c>
      <c r="AC1029" s="175" t="b">
        <f t="shared" si="253"/>
        <v>1</v>
      </c>
    </row>
    <row r="1030" spans="1:29" s="127" customFormat="1" ht="9.75" hidden="1" customHeight="1" x14ac:dyDescent="0.3">
      <c r="A1030" s="98">
        <v>46256</v>
      </c>
      <c r="B1030" s="48">
        <v>8192903</v>
      </c>
      <c r="C1030" s="49" t="s">
        <v>27</v>
      </c>
      <c r="D1030" s="49" t="s">
        <v>378</v>
      </c>
      <c r="E1030" s="50">
        <v>0.70833333333333337</v>
      </c>
      <c r="F1030" s="49" t="s">
        <v>28</v>
      </c>
      <c r="G1030" s="70" t="s">
        <v>13</v>
      </c>
      <c r="H1030" s="51">
        <v>0.72083333333333333</v>
      </c>
      <c r="I1030" s="113" t="str">
        <f t="shared" si="258"/>
        <v>22-08-2026T17:18:00</v>
      </c>
      <c r="J1030" s="51">
        <v>0.89166666666666672</v>
      </c>
      <c r="K1030" s="51"/>
      <c r="L1030" s="52">
        <f t="shared" si="254"/>
        <v>0.17083333333333339</v>
      </c>
      <c r="M1030" s="53">
        <v>0.16666666666666666</v>
      </c>
      <c r="N1030" s="54" t="str">
        <f t="shared" si="255"/>
        <v>-00:06:00</v>
      </c>
      <c r="O1030" s="55">
        <v>150</v>
      </c>
      <c r="P1030" s="147" t="s">
        <v>551</v>
      </c>
      <c r="Q1030" s="56"/>
      <c r="R1030" s="57"/>
      <c r="S1030" s="57"/>
      <c r="T1030" s="58">
        <f t="shared" si="256"/>
        <v>0</v>
      </c>
      <c r="U1030" s="50"/>
      <c r="V1030" s="74">
        <v>0</v>
      </c>
      <c r="W1030" s="50">
        <f t="shared" si="257"/>
        <v>0</v>
      </c>
      <c r="X1030" s="171">
        <v>46256.720833333333</v>
      </c>
      <c r="Y1030" s="171">
        <v>46256.89166666667</v>
      </c>
      <c r="Z1030" s="168">
        <f t="shared" si="250"/>
        <v>0.17083333333721384</v>
      </c>
      <c r="AA1030" s="169">
        <f t="shared" si="251"/>
        <v>0.16666666666666666</v>
      </c>
      <c r="AB1030" s="170" t="str">
        <f t="shared" si="252"/>
        <v>-00:06:00</v>
      </c>
      <c r="AC1030" s="170" t="b">
        <f t="shared" si="253"/>
        <v>1</v>
      </c>
    </row>
    <row r="1031" spans="1:29" s="128" customFormat="1" ht="9.75" hidden="1" customHeight="1" x14ac:dyDescent="0.3">
      <c r="A1031" s="99">
        <v>46256</v>
      </c>
      <c r="B1031" s="59">
        <v>8192931</v>
      </c>
      <c r="C1031" s="60" t="s">
        <v>89</v>
      </c>
      <c r="D1031" s="60" t="s">
        <v>294</v>
      </c>
      <c r="E1031" s="61">
        <v>0.75</v>
      </c>
      <c r="F1031" s="60" t="s">
        <v>35</v>
      </c>
      <c r="G1031" s="71" t="s">
        <v>13</v>
      </c>
      <c r="H1031" s="62">
        <v>0.72986111111111107</v>
      </c>
      <c r="I1031" s="113" t="str">
        <f t="shared" si="258"/>
        <v>22-08-2026T17:31:00</v>
      </c>
      <c r="J1031" s="62">
        <v>0.7631944444444444</v>
      </c>
      <c r="K1031" s="62"/>
      <c r="L1031" s="63">
        <f t="shared" si="254"/>
        <v>3.3333333333333326E-2</v>
      </c>
      <c r="M1031" s="64">
        <v>4.1666666666666664E-2</v>
      </c>
      <c r="N1031" s="65" t="str">
        <f t="shared" si="255"/>
        <v>00:12:00</v>
      </c>
      <c r="O1031" s="66"/>
      <c r="P1031" s="124"/>
      <c r="Q1031" s="67"/>
      <c r="R1031" s="68"/>
      <c r="S1031" s="68"/>
      <c r="T1031" s="69">
        <f t="shared" si="256"/>
        <v>0</v>
      </c>
      <c r="U1031" s="61"/>
      <c r="V1031" s="83">
        <v>0</v>
      </c>
      <c r="W1031" s="61">
        <f t="shared" si="257"/>
        <v>0</v>
      </c>
      <c r="X1031" s="171">
        <v>46256.729861111111</v>
      </c>
      <c r="Y1031" s="171">
        <v>46256.763194444444</v>
      </c>
      <c r="Z1031" s="168">
        <f t="shared" si="250"/>
        <v>3.3333333332848269E-2</v>
      </c>
      <c r="AA1031" s="169">
        <f t="shared" si="251"/>
        <v>4.1666666666666664E-2</v>
      </c>
      <c r="AB1031" s="170" t="str">
        <f t="shared" si="252"/>
        <v>00:12:00</v>
      </c>
      <c r="AC1031" s="170" t="b">
        <f t="shared" si="253"/>
        <v>1</v>
      </c>
    </row>
    <row r="1032" spans="1:29" s="128" customFormat="1" ht="9.75" hidden="1" customHeight="1" x14ac:dyDescent="0.3">
      <c r="A1032" s="99">
        <v>46256</v>
      </c>
      <c r="B1032" s="59">
        <v>8193310</v>
      </c>
      <c r="C1032" s="60" t="s">
        <v>32</v>
      </c>
      <c r="D1032" s="60" t="s">
        <v>476</v>
      </c>
      <c r="E1032" s="61">
        <v>0.83333333333333337</v>
      </c>
      <c r="F1032" s="60" t="s">
        <v>287</v>
      </c>
      <c r="G1032" s="71" t="s">
        <v>13</v>
      </c>
      <c r="H1032" s="62">
        <v>0.85138888888888886</v>
      </c>
      <c r="I1032" s="113" t="str">
        <f t="shared" si="258"/>
        <v>22-08-2026T20:26:00</v>
      </c>
      <c r="J1032" s="62">
        <v>0.97986111111111107</v>
      </c>
      <c r="K1032" s="62"/>
      <c r="L1032" s="63">
        <f t="shared" si="254"/>
        <v>0.12847222222222221</v>
      </c>
      <c r="M1032" s="64">
        <v>0.14583333333333334</v>
      </c>
      <c r="N1032" s="65" t="str">
        <f t="shared" si="255"/>
        <v>00:25:00</v>
      </c>
      <c r="O1032" s="66"/>
      <c r="P1032" s="124"/>
      <c r="Q1032" s="67"/>
      <c r="R1032" s="68"/>
      <c r="S1032" s="68"/>
      <c r="T1032" s="69">
        <f t="shared" si="256"/>
        <v>0</v>
      </c>
      <c r="U1032" s="61"/>
      <c r="V1032" s="83">
        <v>0</v>
      </c>
      <c r="W1032" s="61">
        <f t="shared" si="257"/>
        <v>0</v>
      </c>
      <c r="X1032" s="171">
        <v>46256.851388888892</v>
      </c>
      <c r="Y1032" s="171">
        <v>46256.979861111111</v>
      </c>
      <c r="Z1032" s="168">
        <f t="shared" si="250"/>
        <v>0.12847222221898846</v>
      </c>
      <c r="AA1032" s="169">
        <f t="shared" si="251"/>
        <v>0.14583333333333334</v>
      </c>
      <c r="AB1032" s="170" t="str">
        <f t="shared" si="252"/>
        <v>00:25:00</v>
      </c>
      <c r="AC1032" s="170" t="b">
        <f t="shared" si="253"/>
        <v>1</v>
      </c>
    </row>
    <row r="1033" spans="1:29" s="128" customFormat="1" ht="9.75" hidden="1" customHeight="1" x14ac:dyDescent="0.3">
      <c r="A1033" s="99">
        <v>46256</v>
      </c>
      <c r="B1033" s="59">
        <v>8193394</v>
      </c>
      <c r="C1033" s="60" t="s">
        <v>52</v>
      </c>
      <c r="D1033" s="60" t="s">
        <v>616</v>
      </c>
      <c r="E1033" s="61">
        <v>0.875</v>
      </c>
      <c r="F1033" s="60" t="s">
        <v>13</v>
      </c>
      <c r="G1033" s="71" t="s">
        <v>15</v>
      </c>
      <c r="H1033" s="62">
        <v>46256.872916666667</v>
      </c>
      <c r="I1033" s="113" t="str">
        <f t="shared" si="258"/>
        <v>22-08-2026T20:57:00</v>
      </c>
      <c r="J1033" s="62">
        <v>46257.076388888891</v>
      </c>
      <c r="K1033" s="62"/>
      <c r="L1033" s="63">
        <f t="shared" si="254"/>
        <v>0.20347222222335404</v>
      </c>
      <c r="M1033" s="64">
        <v>0.20833333333333334</v>
      </c>
      <c r="N1033" s="65" t="str">
        <f t="shared" si="255"/>
        <v>00:07:00</v>
      </c>
      <c r="O1033" s="66"/>
      <c r="P1033" s="124"/>
      <c r="Q1033" s="67"/>
      <c r="R1033" s="68"/>
      <c r="S1033" s="68"/>
      <c r="T1033" s="69">
        <f t="shared" si="256"/>
        <v>0</v>
      </c>
      <c r="U1033" s="61" t="s">
        <v>234</v>
      </c>
      <c r="V1033" s="83">
        <v>0</v>
      </c>
      <c r="W1033" s="61">
        <f t="shared" si="257"/>
        <v>0</v>
      </c>
      <c r="X1033" s="171">
        <v>46256.872916666667</v>
      </c>
      <c r="Y1033" s="171">
        <v>46257.076388888891</v>
      </c>
      <c r="Z1033" s="168">
        <f t="shared" si="250"/>
        <v>0.20347222222335404</v>
      </c>
      <c r="AA1033" s="169">
        <f t="shared" si="251"/>
        <v>0.20833333333333334</v>
      </c>
      <c r="AB1033" s="170" t="str">
        <f t="shared" si="252"/>
        <v>00:07:00</v>
      </c>
      <c r="AC1033" s="170" t="b">
        <f t="shared" si="253"/>
        <v>1</v>
      </c>
    </row>
    <row r="1034" spans="1:29" s="128" customFormat="1" ht="9.75" hidden="1" customHeight="1" x14ac:dyDescent="0.3">
      <c r="A1034" s="99">
        <v>46256</v>
      </c>
      <c r="B1034" s="59">
        <v>8193388</v>
      </c>
      <c r="C1034" s="60" t="s">
        <v>42</v>
      </c>
      <c r="D1034" s="60" t="s">
        <v>181</v>
      </c>
      <c r="E1034" s="61">
        <v>0.875</v>
      </c>
      <c r="F1034" s="60" t="s">
        <v>55</v>
      </c>
      <c r="G1034" s="71" t="s">
        <v>13</v>
      </c>
      <c r="H1034" s="62">
        <v>0.87152777777777779</v>
      </c>
      <c r="I1034" s="113" t="str">
        <f t="shared" si="258"/>
        <v>22-08-2026T20:55:00</v>
      </c>
      <c r="J1034" s="62">
        <v>0.92013888888888884</v>
      </c>
      <c r="K1034" s="62"/>
      <c r="L1034" s="63">
        <f t="shared" si="254"/>
        <v>4.8611111111111049E-2</v>
      </c>
      <c r="M1034" s="64">
        <v>6.25E-2</v>
      </c>
      <c r="N1034" s="65" t="str">
        <f t="shared" si="255"/>
        <v>00:20:00</v>
      </c>
      <c r="O1034" s="66"/>
      <c r="P1034" s="124"/>
      <c r="Q1034" s="67"/>
      <c r="R1034" s="68"/>
      <c r="S1034" s="68"/>
      <c r="T1034" s="69">
        <f t="shared" si="256"/>
        <v>0</v>
      </c>
      <c r="U1034" s="61"/>
      <c r="V1034" s="83">
        <v>0</v>
      </c>
      <c r="W1034" s="61">
        <f t="shared" si="257"/>
        <v>0</v>
      </c>
      <c r="X1034" s="171">
        <v>46256.871527777781</v>
      </c>
      <c r="Y1034" s="171">
        <v>46256.920138888891</v>
      </c>
      <c r="Z1034" s="168">
        <f t="shared" si="250"/>
        <v>4.8611111109494232E-2</v>
      </c>
      <c r="AA1034" s="169">
        <f t="shared" si="251"/>
        <v>6.25E-2</v>
      </c>
      <c r="AB1034" s="170" t="str">
        <f t="shared" si="252"/>
        <v>00:20:00</v>
      </c>
      <c r="AC1034" s="170" t="b">
        <f t="shared" si="253"/>
        <v>1</v>
      </c>
    </row>
    <row r="1035" spans="1:29" s="128" customFormat="1" ht="9.75" hidden="1" customHeight="1" x14ac:dyDescent="0.3">
      <c r="A1035" s="99">
        <v>46256</v>
      </c>
      <c r="B1035" s="59">
        <v>8192935</v>
      </c>
      <c r="C1035" s="60" t="s">
        <v>54</v>
      </c>
      <c r="D1035" s="60" t="s">
        <v>288</v>
      </c>
      <c r="E1035" s="61">
        <v>0.875</v>
      </c>
      <c r="F1035" s="60" t="s">
        <v>24</v>
      </c>
      <c r="G1035" s="71" t="s">
        <v>13</v>
      </c>
      <c r="H1035" s="62">
        <v>0.7319444444444444</v>
      </c>
      <c r="I1035" s="113" t="str">
        <f t="shared" si="258"/>
        <v>22-08-2026T17:34:00</v>
      </c>
      <c r="J1035" s="62">
        <v>0.80555555555555558</v>
      </c>
      <c r="K1035" s="62"/>
      <c r="L1035" s="63">
        <f t="shared" si="254"/>
        <v>7.3611111111111183E-2</v>
      </c>
      <c r="M1035" s="64">
        <v>8.3333333333333329E-2</v>
      </c>
      <c r="N1035" s="65" t="str">
        <f t="shared" si="255"/>
        <v>00:14:00</v>
      </c>
      <c r="O1035" s="66"/>
      <c r="P1035" s="124"/>
      <c r="Q1035" s="67"/>
      <c r="R1035" s="68"/>
      <c r="S1035" s="68"/>
      <c r="T1035" s="69">
        <f t="shared" si="256"/>
        <v>0</v>
      </c>
      <c r="U1035" s="61"/>
      <c r="V1035" s="83">
        <v>0</v>
      </c>
      <c r="W1035" s="61">
        <f t="shared" si="257"/>
        <v>0</v>
      </c>
      <c r="X1035" s="171">
        <v>46256.731944444444</v>
      </c>
      <c r="Y1035" s="171">
        <v>46256.805555555555</v>
      </c>
      <c r="Z1035" s="168">
        <f t="shared" si="250"/>
        <v>7.3611111110949423E-2</v>
      </c>
      <c r="AA1035" s="169">
        <f t="shared" si="251"/>
        <v>8.3333333333333329E-2</v>
      </c>
      <c r="AB1035" s="170" t="str">
        <f t="shared" si="252"/>
        <v>00:14:00</v>
      </c>
      <c r="AC1035" s="170" t="b">
        <f t="shared" si="253"/>
        <v>1</v>
      </c>
    </row>
    <row r="1036" spans="1:29" s="128" customFormat="1" ht="9.75" hidden="1" customHeight="1" x14ac:dyDescent="0.3">
      <c r="A1036" s="99">
        <v>46256</v>
      </c>
      <c r="B1036" s="59">
        <v>8193385</v>
      </c>
      <c r="C1036" s="60" t="s">
        <v>41</v>
      </c>
      <c r="D1036" s="60" t="s">
        <v>299</v>
      </c>
      <c r="E1036" s="61">
        <v>0.875</v>
      </c>
      <c r="F1036" s="60" t="s">
        <v>24</v>
      </c>
      <c r="G1036" s="71" t="s">
        <v>13</v>
      </c>
      <c r="H1036" s="62">
        <v>0.87083333333333335</v>
      </c>
      <c r="I1036" s="113" t="str">
        <f t="shared" si="258"/>
        <v>22-08-2026T20:54:00</v>
      </c>
      <c r="J1036" s="62">
        <v>0.94722222222222219</v>
      </c>
      <c r="K1036" s="62"/>
      <c r="L1036" s="63">
        <f t="shared" si="254"/>
        <v>7.638888888888884E-2</v>
      </c>
      <c r="M1036" s="64">
        <v>8.3333333333333329E-2</v>
      </c>
      <c r="N1036" s="65" t="str">
        <f t="shared" si="255"/>
        <v>00:10:00</v>
      </c>
      <c r="O1036" s="66"/>
      <c r="P1036" s="124"/>
      <c r="Q1036" s="67"/>
      <c r="R1036" s="68"/>
      <c r="S1036" s="68"/>
      <c r="T1036" s="69">
        <f t="shared" si="256"/>
        <v>0</v>
      </c>
      <c r="U1036" s="61"/>
      <c r="V1036" s="83">
        <v>0</v>
      </c>
      <c r="W1036" s="61">
        <f t="shared" si="257"/>
        <v>0</v>
      </c>
      <c r="X1036" s="171">
        <v>46256.870833333334</v>
      </c>
      <c r="Y1036" s="171">
        <v>46256.947222222225</v>
      </c>
      <c r="Z1036" s="168">
        <f t="shared" si="250"/>
        <v>7.6388888890505768E-2</v>
      </c>
      <c r="AA1036" s="169">
        <f t="shared" si="251"/>
        <v>8.3333333333333329E-2</v>
      </c>
      <c r="AB1036" s="170" t="str">
        <f t="shared" si="252"/>
        <v>00:10:00</v>
      </c>
      <c r="AC1036" s="170" t="b">
        <f t="shared" si="253"/>
        <v>1</v>
      </c>
    </row>
    <row r="1037" spans="1:29" s="128" customFormat="1" ht="9.75" hidden="1" customHeight="1" x14ac:dyDescent="0.3">
      <c r="A1037" s="99">
        <v>46256</v>
      </c>
      <c r="B1037" s="59">
        <v>8193637</v>
      </c>
      <c r="C1037" s="60" t="s">
        <v>46</v>
      </c>
      <c r="D1037" s="60" t="s">
        <v>374</v>
      </c>
      <c r="E1037" s="61">
        <v>0.95833333333333337</v>
      </c>
      <c r="F1037" s="60" t="s">
        <v>173</v>
      </c>
      <c r="G1037" s="71" t="s">
        <v>13</v>
      </c>
      <c r="H1037" s="62">
        <v>46256.955555555556</v>
      </c>
      <c r="I1037" s="113" t="str">
        <f t="shared" si="258"/>
        <v>22-08-2026T22:56:00</v>
      </c>
      <c r="J1037" s="62">
        <v>46258.830555555556</v>
      </c>
      <c r="K1037" s="62"/>
      <c r="L1037" s="63">
        <f t="shared" si="254"/>
        <v>1.875</v>
      </c>
      <c r="M1037" s="64">
        <v>1.9166666666666667</v>
      </c>
      <c r="N1037" s="65" t="str">
        <f t="shared" si="255"/>
        <v>01:00:00</v>
      </c>
      <c r="O1037" s="66"/>
      <c r="P1037" s="124"/>
      <c r="Q1037" s="67" t="s">
        <v>96</v>
      </c>
      <c r="R1037" s="68">
        <v>46257.109722222223</v>
      </c>
      <c r="S1037" s="68">
        <v>46257.154166666667</v>
      </c>
      <c r="T1037" s="69">
        <f t="shared" si="256"/>
        <v>4.4444444443797693E-2</v>
      </c>
      <c r="U1037" s="61"/>
      <c r="V1037" s="83">
        <v>8.3333333333333329E-2</v>
      </c>
      <c r="W1037" s="61">
        <f t="shared" si="257"/>
        <v>-3.8888888889535636E-2</v>
      </c>
      <c r="X1037" s="171">
        <v>46256.955555555556</v>
      </c>
      <c r="Y1037" s="171">
        <v>46258.830555555556</v>
      </c>
      <c r="Z1037" s="168">
        <f t="shared" si="250"/>
        <v>1.875</v>
      </c>
      <c r="AA1037" s="169">
        <f t="shared" si="251"/>
        <v>1.9166666666666667</v>
      </c>
      <c r="AB1037" s="170" t="str">
        <f t="shared" si="252"/>
        <v>01:00:00</v>
      </c>
      <c r="AC1037" s="170" t="b">
        <f t="shared" si="253"/>
        <v>1</v>
      </c>
    </row>
    <row r="1038" spans="1:29" s="128" customFormat="1" ht="9.75" hidden="1" customHeight="1" x14ac:dyDescent="0.3">
      <c r="A1038" s="99">
        <v>46256</v>
      </c>
      <c r="B1038" s="59">
        <v>8193719</v>
      </c>
      <c r="C1038" s="60" t="s">
        <v>56</v>
      </c>
      <c r="D1038" s="60" t="s">
        <v>472</v>
      </c>
      <c r="E1038" s="61">
        <v>0.99930555555555556</v>
      </c>
      <c r="F1038" s="60" t="s">
        <v>15</v>
      </c>
      <c r="G1038" s="71" t="s">
        <v>13</v>
      </c>
      <c r="H1038" s="62">
        <v>46256.998611111114</v>
      </c>
      <c r="I1038" s="113" t="str">
        <f t="shared" si="258"/>
        <v>22-08-2026T23:58:00</v>
      </c>
      <c r="J1038" s="62">
        <v>46257.197222222225</v>
      </c>
      <c r="K1038" s="62"/>
      <c r="L1038" s="63">
        <f t="shared" si="254"/>
        <v>0.19861111111094942</v>
      </c>
      <c r="M1038" s="64">
        <v>0.20833333333333334</v>
      </c>
      <c r="N1038" s="65" t="str">
        <f t="shared" si="255"/>
        <v>00:14:00</v>
      </c>
      <c r="O1038" s="66"/>
      <c r="P1038" s="124"/>
      <c r="Q1038" s="67"/>
      <c r="R1038" s="68"/>
      <c r="S1038" s="68"/>
      <c r="T1038" s="69">
        <f t="shared" si="256"/>
        <v>0</v>
      </c>
      <c r="U1038" s="61"/>
      <c r="V1038" s="83">
        <v>0</v>
      </c>
      <c r="W1038" s="61">
        <f t="shared" si="257"/>
        <v>0</v>
      </c>
      <c r="X1038" s="171">
        <v>46256.998611111114</v>
      </c>
      <c r="Y1038" s="171">
        <v>46257.197222222225</v>
      </c>
      <c r="Z1038" s="168">
        <f t="shared" si="250"/>
        <v>0.19861111111094942</v>
      </c>
      <c r="AA1038" s="169">
        <f t="shared" si="251"/>
        <v>0.20833333333333334</v>
      </c>
      <c r="AB1038" s="170" t="str">
        <f t="shared" si="252"/>
        <v>00:14:00</v>
      </c>
      <c r="AC1038" s="170" t="b">
        <f t="shared" si="253"/>
        <v>1</v>
      </c>
    </row>
    <row r="1039" spans="1:29" s="128" customFormat="1" ht="9.75" hidden="1" customHeight="1" x14ac:dyDescent="0.3">
      <c r="A1039" s="99">
        <v>46256</v>
      </c>
      <c r="B1039" s="59">
        <v>8191010</v>
      </c>
      <c r="C1039" s="60" t="s">
        <v>100</v>
      </c>
      <c r="D1039" s="60" t="s">
        <v>391</v>
      </c>
      <c r="E1039" s="61" t="s">
        <v>184</v>
      </c>
      <c r="F1039" s="60" t="s">
        <v>13</v>
      </c>
      <c r="G1039" s="71" t="s">
        <v>26</v>
      </c>
      <c r="H1039" s="62">
        <v>6.3194444444444442E-2</v>
      </c>
      <c r="I1039" s="113" t="str">
        <f t="shared" si="258"/>
        <v>22-08-2026T01:31:00</v>
      </c>
      <c r="J1039" s="62">
        <v>0.54722222222222228</v>
      </c>
      <c r="K1039" s="62"/>
      <c r="L1039" s="63">
        <f t="shared" si="254"/>
        <v>0.48402777777777783</v>
      </c>
      <c r="M1039" s="64">
        <v>0.54166666666666663</v>
      </c>
      <c r="N1039" s="65" t="str">
        <f t="shared" si="255"/>
        <v>01:23:00</v>
      </c>
      <c r="O1039" s="66"/>
      <c r="P1039" s="124" t="s">
        <v>184</v>
      </c>
      <c r="Q1039" s="67" t="s">
        <v>312</v>
      </c>
      <c r="R1039" s="68">
        <v>0.25</v>
      </c>
      <c r="S1039" s="68">
        <v>0.37638888888888888</v>
      </c>
      <c r="T1039" s="69">
        <f t="shared" si="256"/>
        <v>0.12638888888888888</v>
      </c>
      <c r="U1039" s="61" t="s">
        <v>234</v>
      </c>
      <c r="V1039" s="83" t="s">
        <v>319</v>
      </c>
      <c r="W1039" s="61" t="e">
        <f t="shared" si="257"/>
        <v>#VALUE!</v>
      </c>
      <c r="X1039" s="171">
        <v>46256.063194444447</v>
      </c>
      <c r="Y1039" s="171">
        <v>46256.547222222223</v>
      </c>
      <c r="Z1039" s="168">
        <f t="shared" si="250"/>
        <v>0.48402777777664596</v>
      </c>
      <c r="AA1039" s="169">
        <f t="shared" si="251"/>
        <v>0.54166666666666663</v>
      </c>
      <c r="AB1039" s="170" t="str">
        <f t="shared" si="252"/>
        <v>01:23:00</v>
      </c>
      <c r="AC1039" s="170" t="b">
        <f t="shared" si="253"/>
        <v>1</v>
      </c>
    </row>
    <row r="1040" spans="1:29" s="127" customFormat="1" ht="9.75" hidden="1" customHeight="1" x14ac:dyDescent="0.3">
      <c r="A1040" s="98">
        <v>46256</v>
      </c>
      <c r="B1040" s="48">
        <v>8193239</v>
      </c>
      <c r="C1040" s="49" t="s">
        <v>105</v>
      </c>
      <c r="D1040" s="49" t="s">
        <v>634</v>
      </c>
      <c r="E1040" s="50" t="s">
        <v>184</v>
      </c>
      <c r="F1040" s="49" t="s">
        <v>583</v>
      </c>
      <c r="G1040" s="70" t="s">
        <v>13</v>
      </c>
      <c r="H1040" s="51">
        <v>46256.831944444442</v>
      </c>
      <c r="I1040" s="113" t="str">
        <f t="shared" si="258"/>
        <v>22-08-2026T19:58:00</v>
      </c>
      <c r="J1040" s="51">
        <v>46258.521527777775</v>
      </c>
      <c r="K1040" s="51"/>
      <c r="L1040" s="52">
        <f t="shared" si="254"/>
        <v>1.6895833333328483</v>
      </c>
      <c r="M1040" s="53">
        <v>0.33333333333333331</v>
      </c>
      <c r="N1040" s="54" t="str">
        <f t="shared" si="255"/>
        <v>-08:33:00</v>
      </c>
      <c r="O1040" s="55"/>
      <c r="P1040" s="147" t="s">
        <v>184</v>
      </c>
      <c r="Q1040" s="56"/>
      <c r="R1040" s="57"/>
      <c r="S1040" s="57"/>
      <c r="T1040" s="58">
        <f t="shared" si="256"/>
        <v>0</v>
      </c>
      <c r="U1040" s="50"/>
      <c r="V1040" s="74" t="s">
        <v>393</v>
      </c>
      <c r="W1040" s="50" t="e">
        <f t="shared" si="257"/>
        <v>#VALUE!</v>
      </c>
      <c r="X1040" s="171">
        <v>46256.831944444442</v>
      </c>
      <c r="Y1040" s="171">
        <v>46258.521527777775</v>
      </c>
      <c r="Z1040" s="168">
        <f t="shared" si="250"/>
        <v>1.6895833333328483</v>
      </c>
      <c r="AA1040" s="169">
        <f t="shared" si="251"/>
        <v>0.33333333333333331</v>
      </c>
      <c r="AB1040" s="170" t="str">
        <f t="shared" si="252"/>
        <v>-08:33:00</v>
      </c>
      <c r="AC1040" s="170" t="b">
        <f t="shared" si="253"/>
        <v>1</v>
      </c>
    </row>
    <row r="1041" spans="1:29" s="144" customFormat="1" ht="9.75" hidden="1" customHeight="1" x14ac:dyDescent="0.3">
      <c r="A1041" s="129">
        <v>46257</v>
      </c>
      <c r="B1041" s="130">
        <v>8193825</v>
      </c>
      <c r="C1041" s="131" t="s">
        <v>82</v>
      </c>
      <c r="D1041" s="131" t="s">
        <v>333</v>
      </c>
      <c r="E1041" s="132">
        <v>6.25E-2</v>
      </c>
      <c r="F1041" s="131" t="s">
        <v>13</v>
      </c>
      <c r="G1041" s="133" t="s">
        <v>26</v>
      </c>
      <c r="H1041" s="134">
        <v>7.7777777777777779E-2</v>
      </c>
      <c r="I1041" s="113" t="str">
        <f t="shared" si="258"/>
        <v>23-08-2026T01:52:00</v>
      </c>
      <c r="J1041" s="134">
        <v>0.53472222222222221</v>
      </c>
      <c r="K1041" s="134"/>
      <c r="L1041" s="135">
        <f t="shared" si="254"/>
        <v>0.45694444444444443</v>
      </c>
      <c r="M1041" s="136">
        <v>0.41666666666666669</v>
      </c>
      <c r="N1041" s="137" t="str">
        <f t="shared" si="255"/>
        <v>-00:58:00</v>
      </c>
      <c r="O1041" s="138"/>
      <c r="P1041" s="145" t="s">
        <v>125</v>
      </c>
      <c r="Q1041" s="140" t="s">
        <v>312</v>
      </c>
      <c r="R1041" s="141">
        <v>0.25</v>
      </c>
      <c r="S1041" s="141">
        <v>0.37638888888888888</v>
      </c>
      <c r="T1041" s="142">
        <f t="shared" si="256"/>
        <v>0.12638888888888888</v>
      </c>
      <c r="U1041" s="132"/>
      <c r="V1041" s="143">
        <v>4.1666666666666664E-2</v>
      </c>
      <c r="W1041" s="132">
        <f t="shared" si="257"/>
        <v>8.4722222222222227E-2</v>
      </c>
      <c r="X1041" s="171">
        <v>46257.077777777777</v>
      </c>
      <c r="Y1041" s="171">
        <v>46257.534722222219</v>
      </c>
      <c r="Z1041" s="168">
        <f t="shared" si="250"/>
        <v>0.4569444444423425</v>
      </c>
      <c r="AA1041" s="169">
        <f t="shared" si="251"/>
        <v>0.41666666666666669</v>
      </c>
      <c r="AB1041" s="170" t="str">
        <f t="shared" si="252"/>
        <v>-00:58:00</v>
      </c>
      <c r="AC1041" s="170" t="b">
        <f t="shared" si="253"/>
        <v>1</v>
      </c>
    </row>
    <row r="1042" spans="1:29" s="127" customFormat="1" ht="9.75" hidden="1" customHeight="1" x14ac:dyDescent="0.3">
      <c r="A1042" s="98">
        <v>46257</v>
      </c>
      <c r="B1042" s="48">
        <v>8193859</v>
      </c>
      <c r="C1042" s="49" t="s">
        <v>53</v>
      </c>
      <c r="D1042" s="49" t="s">
        <v>298</v>
      </c>
      <c r="E1042" s="50">
        <v>8.3333333333333329E-2</v>
      </c>
      <c r="F1042" s="49" t="s">
        <v>13</v>
      </c>
      <c r="G1042" s="70" t="s">
        <v>19</v>
      </c>
      <c r="H1042" s="51">
        <v>8.3333333333333329E-2</v>
      </c>
      <c r="I1042" s="113" t="str">
        <f t="shared" si="258"/>
        <v>23-08-2026T02:00:00</v>
      </c>
      <c r="J1042" s="51">
        <v>0.52569444444444446</v>
      </c>
      <c r="K1042" s="51"/>
      <c r="L1042" s="52">
        <f t="shared" si="254"/>
        <v>0.44236111111111115</v>
      </c>
      <c r="M1042" s="53">
        <v>0.41666666666666669</v>
      </c>
      <c r="N1042" s="54" t="str">
        <f t="shared" si="255"/>
        <v>-00:37:00</v>
      </c>
      <c r="O1042" s="55">
        <v>200</v>
      </c>
      <c r="P1042" s="147" t="s">
        <v>673</v>
      </c>
      <c r="Q1042" s="56" t="s">
        <v>229</v>
      </c>
      <c r="R1042" s="57">
        <v>0.35416666666666669</v>
      </c>
      <c r="S1042" s="57">
        <v>0.39583333333333331</v>
      </c>
      <c r="T1042" s="58">
        <f t="shared" si="256"/>
        <v>4.166666666666663E-2</v>
      </c>
      <c r="U1042" s="50" t="s">
        <v>234</v>
      </c>
      <c r="V1042" s="74">
        <v>6.25E-2</v>
      </c>
      <c r="W1042" s="50">
        <f t="shared" si="257"/>
        <v>-2.083333333333337E-2</v>
      </c>
      <c r="X1042" s="171">
        <v>46257.083333333336</v>
      </c>
      <c r="Y1042" s="171">
        <v>46257.525694444441</v>
      </c>
      <c r="Z1042" s="168">
        <f t="shared" si="250"/>
        <v>0.44236111110512866</v>
      </c>
      <c r="AA1042" s="169">
        <f t="shared" si="251"/>
        <v>0.41666666666666669</v>
      </c>
      <c r="AB1042" s="170" t="str">
        <f t="shared" si="252"/>
        <v>-00:37:00</v>
      </c>
      <c r="AC1042" s="170" t="b">
        <f t="shared" si="253"/>
        <v>1</v>
      </c>
    </row>
    <row r="1043" spans="1:29" s="128" customFormat="1" ht="9.75" hidden="1" customHeight="1" x14ac:dyDescent="0.3">
      <c r="A1043" s="99">
        <v>46257</v>
      </c>
      <c r="B1043" s="59">
        <v>8193845</v>
      </c>
      <c r="C1043" s="60" t="s">
        <v>16</v>
      </c>
      <c r="D1043" s="60" t="s">
        <v>285</v>
      </c>
      <c r="E1043" s="61">
        <v>8.3333333333333329E-2</v>
      </c>
      <c r="F1043" s="60" t="s">
        <v>15</v>
      </c>
      <c r="G1043" s="71" t="s">
        <v>17</v>
      </c>
      <c r="H1043" s="62">
        <v>8.1250000000000003E-2</v>
      </c>
      <c r="I1043" s="113" t="str">
        <f t="shared" si="258"/>
        <v>23-08-2026T01:57:00</v>
      </c>
      <c r="J1043" s="62">
        <v>0.48749999999999999</v>
      </c>
      <c r="K1043" s="62"/>
      <c r="L1043" s="63">
        <f t="shared" si="254"/>
        <v>0.40625</v>
      </c>
      <c r="M1043" s="64">
        <v>0.41666666666666669</v>
      </c>
      <c r="N1043" s="65" t="str">
        <f t="shared" si="255"/>
        <v>00:15:00</v>
      </c>
      <c r="O1043" s="66"/>
      <c r="P1043" s="124"/>
      <c r="Q1043" s="67"/>
      <c r="R1043" s="68"/>
      <c r="S1043" s="68"/>
      <c r="T1043" s="69">
        <f t="shared" si="256"/>
        <v>0</v>
      </c>
      <c r="U1043" s="61" t="s">
        <v>234</v>
      </c>
      <c r="V1043" s="83">
        <v>0</v>
      </c>
      <c r="W1043" s="61">
        <f t="shared" si="257"/>
        <v>0</v>
      </c>
      <c r="X1043" s="171">
        <v>8.1250000000000003E-2</v>
      </c>
      <c r="Y1043" s="171">
        <v>0.48749999999999999</v>
      </c>
      <c r="Z1043" s="168">
        <f t="shared" si="250"/>
        <v>0.40625</v>
      </c>
      <c r="AA1043" s="169">
        <f t="shared" si="251"/>
        <v>0.41666666666666669</v>
      </c>
      <c r="AB1043" s="170" t="str">
        <f t="shared" si="252"/>
        <v>00:15:00</v>
      </c>
      <c r="AC1043" s="170" t="b">
        <f t="shared" si="253"/>
        <v>1</v>
      </c>
    </row>
    <row r="1044" spans="1:29" s="128" customFormat="1" ht="9.75" hidden="1" customHeight="1" x14ac:dyDescent="0.3">
      <c r="A1044" s="99">
        <v>46257</v>
      </c>
      <c r="B1044" s="59">
        <v>8193977</v>
      </c>
      <c r="C1044" s="60" t="s">
        <v>94</v>
      </c>
      <c r="D1044" s="60" t="s">
        <v>293</v>
      </c>
      <c r="E1044" s="61">
        <v>0.125</v>
      </c>
      <c r="F1044" s="60" t="s">
        <v>23</v>
      </c>
      <c r="G1044" s="71" t="s">
        <v>13</v>
      </c>
      <c r="H1044" s="62">
        <v>46257.13958333333</v>
      </c>
      <c r="I1044" s="113" t="str">
        <f t="shared" si="258"/>
        <v>23-08-2026T03:21:00</v>
      </c>
      <c r="J1044" s="62">
        <v>46258.361111111109</v>
      </c>
      <c r="K1044" s="62"/>
      <c r="L1044" s="63">
        <f t="shared" si="254"/>
        <v>1.2215277777795563</v>
      </c>
      <c r="M1044" s="64">
        <v>1.0833333333333333</v>
      </c>
      <c r="N1044" s="65" t="str">
        <f t="shared" si="255"/>
        <v>-03:19:00</v>
      </c>
      <c r="O1044" s="66"/>
      <c r="P1044" s="124" t="s">
        <v>569</v>
      </c>
      <c r="Q1044" s="67" t="s">
        <v>13</v>
      </c>
      <c r="R1044" s="68">
        <v>46258.263194444444</v>
      </c>
      <c r="S1044" s="68">
        <v>46258.345833333333</v>
      </c>
      <c r="T1044" s="69">
        <f t="shared" si="256"/>
        <v>8.2638888889050577E-2</v>
      </c>
      <c r="U1044" s="61"/>
      <c r="V1044" s="83">
        <v>8.3333333333333329E-2</v>
      </c>
      <c r="W1044" s="61">
        <f t="shared" si="257"/>
        <v>-6.9444444428275187E-4</v>
      </c>
      <c r="X1044" s="172">
        <v>46257.13958333333</v>
      </c>
      <c r="Y1044" s="172">
        <v>46258.361111111109</v>
      </c>
      <c r="Z1044" s="173">
        <f t="shared" si="250"/>
        <v>1.2215277777795563</v>
      </c>
      <c r="AA1044" s="174">
        <f t="shared" si="251"/>
        <v>1.0833333333333333</v>
      </c>
      <c r="AB1044" s="175" t="str">
        <f t="shared" si="252"/>
        <v>-03:19:00</v>
      </c>
      <c r="AC1044" s="175" t="b">
        <f t="shared" si="253"/>
        <v>1</v>
      </c>
    </row>
    <row r="1045" spans="1:29" s="128" customFormat="1" ht="9.75" hidden="1" customHeight="1" x14ac:dyDescent="0.3">
      <c r="A1045" s="99">
        <v>46257</v>
      </c>
      <c r="B1045" s="59">
        <v>8193934</v>
      </c>
      <c r="C1045" s="60" t="s">
        <v>57</v>
      </c>
      <c r="D1045" s="60" t="s">
        <v>294</v>
      </c>
      <c r="E1045" s="61">
        <v>0.125</v>
      </c>
      <c r="F1045" s="60" t="s">
        <v>24</v>
      </c>
      <c r="G1045" s="71" t="s">
        <v>13</v>
      </c>
      <c r="H1045" s="62">
        <v>0.12152777777777778</v>
      </c>
      <c r="I1045" s="113" t="str">
        <f t="shared" si="258"/>
        <v>23-08-2026T02:55:00</v>
      </c>
      <c r="J1045" s="62">
        <v>0.20069444444444445</v>
      </c>
      <c r="K1045" s="62"/>
      <c r="L1045" s="63">
        <f t="shared" si="254"/>
        <v>7.9166666666666677E-2</v>
      </c>
      <c r="M1045" s="64">
        <v>8.3333333333333329E-2</v>
      </c>
      <c r="N1045" s="65" t="str">
        <f t="shared" si="255"/>
        <v>00:06:00</v>
      </c>
      <c r="O1045" s="66"/>
      <c r="P1045" s="124"/>
      <c r="Q1045" s="67"/>
      <c r="R1045" s="68"/>
      <c r="S1045" s="68"/>
      <c r="T1045" s="69">
        <f t="shared" si="256"/>
        <v>0</v>
      </c>
      <c r="U1045" s="61"/>
      <c r="V1045" s="83">
        <v>0</v>
      </c>
      <c r="W1045" s="61">
        <f t="shared" si="257"/>
        <v>0</v>
      </c>
      <c r="X1045" s="171">
        <v>46257.121527777781</v>
      </c>
      <c r="Y1045" s="171">
        <v>46257.200694444444</v>
      </c>
      <c r="Z1045" s="168">
        <f t="shared" si="250"/>
        <v>7.9166666662786156E-2</v>
      </c>
      <c r="AA1045" s="169">
        <f t="shared" si="251"/>
        <v>8.3333333333333329E-2</v>
      </c>
      <c r="AB1045" s="170" t="str">
        <f t="shared" si="252"/>
        <v>00:06:00</v>
      </c>
      <c r="AC1045" s="170" t="b">
        <f t="shared" si="253"/>
        <v>1</v>
      </c>
    </row>
    <row r="1046" spans="1:29" s="128" customFormat="1" ht="9.75" hidden="1" customHeight="1" x14ac:dyDescent="0.3">
      <c r="A1046" s="99">
        <v>46257</v>
      </c>
      <c r="B1046" s="59">
        <v>8194038</v>
      </c>
      <c r="C1046" s="60" t="s">
        <v>54</v>
      </c>
      <c r="D1046" s="60" t="s">
        <v>288</v>
      </c>
      <c r="E1046" s="61">
        <v>0.16666666666666666</v>
      </c>
      <c r="F1046" s="60" t="s">
        <v>13</v>
      </c>
      <c r="G1046" s="71" t="s">
        <v>24</v>
      </c>
      <c r="H1046" s="62">
        <v>0.16319444444444445</v>
      </c>
      <c r="I1046" s="113" t="str">
        <f t="shared" si="258"/>
        <v>23-08-2026T03:55:00</v>
      </c>
      <c r="J1046" s="62">
        <v>0.2361111111111111</v>
      </c>
      <c r="K1046" s="62"/>
      <c r="L1046" s="63">
        <f t="shared" si="254"/>
        <v>7.2916666666666657E-2</v>
      </c>
      <c r="M1046" s="64">
        <v>8.3333333333333329E-2</v>
      </c>
      <c r="N1046" s="65" t="str">
        <f t="shared" si="255"/>
        <v>00:15:00</v>
      </c>
      <c r="O1046" s="66"/>
      <c r="P1046" s="124"/>
      <c r="Q1046" s="67"/>
      <c r="R1046" s="68"/>
      <c r="S1046" s="68"/>
      <c r="T1046" s="69">
        <f t="shared" si="256"/>
        <v>0</v>
      </c>
      <c r="U1046" s="61" t="s">
        <v>234</v>
      </c>
      <c r="V1046" s="83">
        <v>0</v>
      </c>
      <c r="W1046" s="61">
        <f t="shared" si="257"/>
        <v>0</v>
      </c>
      <c r="X1046" s="171">
        <v>46257.163194444445</v>
      </c>
      <c r="Y1046" s="171">
        <v>46257.236111111109</v>
      </c>
      <c r="Z1046" s="168">
        <f t="shared" si="250"/>
        <v>7.2916666664241347E-2</v>
      </c>
      <c r="AA1046" s="169">
        <f t="shared" si="251"/>
        <v>8.3333333333333329E-2</v>
      </c>
      <c r="AB1046" s="170" t="str">
        <f t="shared" si="252"/>
        <v>00:15:00</v>
      </c>
      <c r="AC1046" s="170" t="b">
        <f t="shared" si="253"/>
        <v>1</v>
      </c>
    </row>
    <row r="1047" spans="1:29" s="128" customFormat="1" ht="9.75" hidden="1" customHeight="1" x14ac:dyDescent="0.3">
      <c r="A1047" s="99">
        <v>46257</v>
      </c>
      <c r="B1047" s="59">
        <v>8194071</v>
      </c>
      <c r="C1047" s="60" t="s">
        <v>27</v>
      </c>
      <c r="D1047" s="60" t="s">
        <v>378</v>
      </c>
      <c r="E1047" s="61">
        <v>0.16666666666666666</v>
      </c>
      <c r="F1047" s="60" t="s">
        <v>13</v>
      </c>
      <c r="G1047" s="71" t="s">
        <v>28</v>
      </c>
      <c r="H1047" s="62">
        <v>0.1673611111111111</v>
      </c>
      <c r="I1047" s="113" t="str">
        <f t="shared" si="258"/>
        <v>23-08-2026T04:01:00</v>
      </c>
      <c r="J1047" s="62">
        <v>0.33124999999999999</v>
      </c>
      <c r="K1047" s="62"/>
      <c r="L1047" s="63">
        <f t="shared" si="254"/>
        <v>0.16388888888888889</v>
      </c>
      <c r="M1047" s="64">
        <v>0.16666666666666666</v>
      </c>
      <c r="N1047" s="65" t="str">
        <f t="shared" si="255"/>
        <v>00:04:00</v>
      </c>
      <c r="O1047" s="66"/>
      <c r="P1047" s="124"/>
      <c r="Q1047" s="67"/>
      <c r="R1047" s="68"/>
      <c r="S1047" s="68"/>
      <c r="T1047" s="69">
        <f t="shared" si="256"/>
        <v>0</v>
      </c>
      <c r="U1047" s="61" t="s">
        <v>234</v>
      </c>
      <c r="V1047" s="83">
        <v>0</v>
      </c>
      <c r="W1047" s="61">
        <f t="shared" si="257"/>
        <v>0</v>
      </c>
      <c r="X1047" s="171">
        <v>46257.167361111111</v>
      </c>
      <c r="Y1047" s="171">
        <v>46257.331250000003</v>
      </c>
      <c r="Z1047" s="168">
        <f t="shared" si="250"/>
        <v>0.16388888889196096</v>
      </c>
      <c r="AA1047" s="169">
        <f t="shared" si="251"/>
        <v>0.16666666666666666</v>
      </c>
      <c r="AB1047" s="170" t="str">
        <f t="shared" si="252"/>
        <v>00:04:00</v>
      </c>
      <c r="AC1047" s="170" t="b">
        <f t="shared" si="253"/>
        <v>1</v>
      </c>
    </row>
    <row r="1048" spans="1:29" s="127" customFormat="1" ht="9.75" hidden="1" customHeight="1" x14ac:dyDescent="0.3">
      <c r="A1048" s="98">
        <v>46257</v>
      </c>
      <c r="B1048" s="48">
        <v>8194034</v>
      </c>
      <c r="C1048" s="49" t="s">
        <v>29</v>
      </c>
      <c r="D1048" s="49" t="s">
        <v>373</v>
      </c>
      <c r="E1048" s="50">
        <v>0.16666666666666666</v>
      </c>
      <c r="F1048" s="49" t="s">
        <v>17</v>
      </c>
      <c r="G1048" s="70" t="s">
        <v>15</v>
      </c>
      <c r="H1048" s="51">
        <v>0.16180555555555556</v>
      </c>
      <c r="I1048" s="113" t="str">
        <f t="shared" si="258"/>
        <v>23-08-2026T03:53:00</v>
      </c>
      <c r="J1048" s="51">
        <v>0.68958333333333333</v>
      </c>
      <c r="K1048" s="51"/>
      <c r="L1048" s="52">
        <f t="shared" si="254"/>
        <v>0.52777777777777779</v>
      </c>
      <c r="M1048" s="53">
        <v>0.5</v>
      </c>
      <c r="N1048" s="54" t="str">
        <f t="shared" si="255"/>
        <v>-00:40:00</v>
      </c>
      <c r="O1048" s="55">
        <v>250</v>
      </c>
      <c r="P1048" s="147" t="s">
        <v>674</v>
      </c>
      <c r="Q1048" s="56" t="s">
        <v>98</v>
      </c>
      <c r="R1048" s="57">
        <v>0.375</v>
      </c>
      <c r="S1048" s="57">
        <v>0.47083333333333333</v>
      </c>
      <c r="T1048" s="47">
        <f t="shared" si="256"/>
        <v>9.5833333333333326E-2</v>
      </c>
      <c r="U1048" s="50" t="s">
        <v>234</v>
      </c>
      <c r="V1048" s="74">
        <v>8.3333333333333329E-2</v>
      </c>
      <c r="W1048" s="50">
        <f t="shared" si="257"/>
        <v>1.2499999999999997E-2</v>
      </c>
      <c r="X1048" s="171">
        <v>0.16180555555555556</v>
      </c>
      <c r="Y1048" s="171">
        <v>0.68958333333333333</v>
      </c>
      <c r="Z1048" s="168">
        <f t="shared" si="250"/>
        <v>0.52777777777777779</v>
      </c>
      <c r="AA1048" s="169">
        <f t="shared" si="251"/>
        <v>0.5</v>
      </c>
      <c r="AB1048" s="170" t="str">
        <f t="shared" si="252"/>
        <v>-00:40:00</v>
      </c>
      <c r="AC1048" s="170" t="b">
        <f t="shared" si="253"/>
        <v>1</v>
      </c>
    </row>
    <row r="1049" spans="1:29" s="128" customFormat="1" ht="9.75" hidden="1" customHeight="1" x14ac:dyDescent="0.3">
      <c r="A1049" s="99">
        <v>46257</v>
      </c>
      <c r="B1049" s="59">
        <v>8194513</v>
      </c>
      <c r="C1049" s="60" t="s">
        <v>50</v>
      </c>
      <c r="D1049" s="60" t="s">
        <v>329</v>
      </c>
      <c r="E1049" s="61">
        <v>0.16666666666666666</v>
      </c>
      <c r="F1049" s="60" t="s">
        <v>31</v>
      </c>
      <c r="G1049" s="71" t="s">
        <v>13</v>
      </c>
      <c r="H1049" s="62">
        <v>0.28194444444444444</v>
      </c>
      <c r="I1049" s="113" t="str">
        <f t="shared" si="258"/>
        <v>23-08-2026T06:46:00</v>
      </c>
      <c r="J1049" s="62">
        <v>0.93402777777777779</v>
      </c>
      <c r="K1049" s="62"/>
      <c r="L1049" s="63">
        <f t="shared" si="254"/>
        <v>0.65208333333333335</v>
      </c>
      <c r="M1049" s="64">
        <v>0.70833333333333337</v>
      </c>
      <c r="N1049" s="65" t="str">
        <f t="shared" si="255"/>
        <v>01:21:00</v>
      </c>
      <c r="O1049" s="66"/>
      <c r="P1049" s="124"/>
      <c r="Q1049" s="67" t="s">
        <v>13</v>
      </c>
      <c r="R1049" s="68">
        <v>0.9</v>
      </c>
      <c r="S1049" s="68">
        <v>0.9194444444444444</v>
      </c>
      <c r="T1049" s="69">
        <f t="shared" si="256"/>
        <v>1.9444444444444375E-2</v>
      </c>
      <c r="U1049" s="61"/>
      <c r="V1049" s="83">
        <v>8.3333333333333329E-2</v>
      </c>
      <c r="W1049" s="61">
        <f t="shared" si="257"/>
        <v>-6.3888888888888953E-2</v>
      </c>
      <c r="X1049" s="172">
        <v>46257.281944444447</v>
      </c>
      <c r="Y1049" s="172">
        <v>46257.934027777781</v>
      </c>
      <c r="Z1049" s="173">
        <f t="shared" si="250"/>
        <v>0.65208333333430346</v>
      </c>
      <c r="AA1049" s="174">
        <f t="shared" si="251"/>
        <v>0.70833333333333337</v>
      </c>
      <c r="AB1049" s="175" t="str">
        <f t="shared" si="252"/>
        <v>01:21:00</v>
      </c>
      <c r="AC1049" s="175" t="b">
        <f t="shared" si="253"/>
        <v>1</v>
      </c>
    </row>
    <row r="1050" spans="1:29" s="127" customFormat="1" ht="9.75" hidden="1" customHeight="1" x14ac:dyDescent="0.3">
      <c r="A1050" s="98">
        <v>46257</v>
      </c>
      <c r="B1050" s="48">
        <v>8194113</v>
      </c>
      <c r="C1050" s="49" t="s">
        <v>37</v>
      </c>
      <c r="D1050" s="49" t="s">
        <v>466</v>
      </c>
      <c r="E1050" s="50">
        <v>0.16666666666666666</v>
      </c>
      <c r="F1050" s="49" t="s">
        <v>13</v>
      </c>
      <c r="G1050" s="70" t="s">
        <v>14</v>
      </c>
      <c r="H1050" s="51">
        <v>0.18402777777777779</v>
      </c>
      <c r="I1050" s="113" t="str">
        <f t="shared" si="258"/>
        <v>23-08-2026T04:25:00</v>
      </c>
      <c r="J1050" s="51">
        <v>0.74861111111111112</v>
      </c>
      <c r="K1050" s="51"/>
      <c r="L1050" s="52">
        <f t="shared" si="254"/>
        <v>0.56458333333333333</v>
      </c>
      <c r="M1050" s="53">
        <v>0.54166666666666663</v>
      </c>
      <c r="N1050" s="54" t="str">
        <f t="shared" si="255"/>
        <v>-00:33:00</v>
      </c>
      <c r="O1050" s="55">
        <v>200</v>
      </c>
      <c r="P1050" s="147" t="s">
        <v>685</v>
      </c>
      <c r="Q1050" s="56"/>
      <c r="R1050" s="57"/>
      <c r="S1050" s="57"/>
      <c r="T1050" s="58">
        <f t="shared" si="256"/>
        <v>0</v>
      </c>
      <c r="U1050" s="50"/>
      <c r="V1050" s="74">
        <v>0</v>
      </c>
      <c r="W1050" s="50">
        <f t="shared" si="257"/>
        <v>0</v>
      </c>
      <c r="X1050" s="171">
        <v>46257.184027777781</v>
      </c>
      <c r="Y1050" s="171">
        <v>46257.748611111114</v>
      </c>
      <c r="Z1050" s="168">
        <f t="shared" si="250"/>
        <v>0.56458333333284827</v>
      </c>
      <c r="AA1050" s="169">
        <f t="shared" si="251"/>
        <v>0.54166666666666663</v>
      </c>
      <c r="AB1050" s="170" t="str">
        <f t="shared" si="252"/>
        <v>-00:33:00</v>
      </c>
      <c r="AC1050" s="170" t="b">
        <f t="shared" si="253"/>
        <v>1</v>
      </c>
    </row>
    <row r="1051" spans="1:29" s="127" customFormat="1" ht="9.75" hidden="1" customHeight="1" x14ac:dyDescent="0.3">
      <c r="A1051" s="98">
        <v>46257</v>
      </c>
      <c r="B1051" s="48">
        <v>8194244</v>
      </c>
      <c r="C1051" s="49" t="s">
        <v>32</v>
      </c>
      <c r="D1051" s="49" t="s">
        <v>476</v>
      </c>
      <c r="E1051" s="50">
        <v>0.20833333333333334</v>
      </c>
      <c r="F1051" s="49" t="s">
        <v>13</v>
      </c>
      <c r="G1051" s="70" t="s">
        <v>287</v>
      </c>
      <c r="H1051" s="51">
        <v>0.20972222222222223</v>
      </c>
      <c r="I1051" s="113" t="str">
        <f t="shared" si="258"/>
        <v>23-08-2026T05:02:00</v>
      </c>
      <c r="J1051" s="51">
        <v>0.60416666666666663</v>
      </c>
      <c r="K1051" s="51"/>
      <c r="L1051" s="52">
        <f t="shared" si="254"/>
        <v>0.39444444444444438</v>
      </c>
      <c r="M1051" s="53">
        <v>0.14583333333333334</v>
      </c>
      <c r="N1051" s="54" t="str">
        <f t="shared" si="255"/>
        <v>-05:58:00</v>
      </c>
      <c r="O1051" s="55">
        <v>600</v>
      </c>
      <c r="P1051" s="147" t="s">
        <v>675</v>
      </c>
      <c r="Q1051" s="56"/>
      <c r="R1051" s="57"/>
      <c r="S1051" s="57"/>
      <c r="T1051" s="58">
        <f t="shared" si="256"/>
        <v>0</v>
      </c>
      <c r="U1051" s="50" t="s">
        <v>234</v>
      </c>
      <c r="V1051" s="74">
        <v>0</v>
      </c>
      <c r="W1051" s="50">
        <f t="shared" si="257"/>
        <v>0</v>
      </c>
      <c r="X1051" s="171">
        <v>46257.209722222222</v>
      </c>
      <c r="Y1051" s="171">
        <v>46257.604166666664</v>
      </c>
      <c r="Z1051" s="168">
        <f t="shared" si="250"/>
        <v>0.3944444444423425</v>
      </c>
      <c r="AA1051" s="169">
        <f t="shared" si="251"/>
        <v>0.14583333333333334</v>
      </c>
      <c r="AB1051" s="170" t="str">
        <f t="shared" si="252"/>
        <v>-05:58:00</v>
      </c>
      <c r="AC1051" s="170" t="b">
        <f t="shared" si="253"/>
        <v>1</v>
      </c>
    </row>
    <row r="1052" spans="1:29" s="127" customFormat="1" ht="9.75" hidden="1" customHeight="1" x14ac:dyDescent="0.3">
      <c r="A1052" s="98">
        <v>46257</v>
      </c>
      <c r="B1052" s="48">
        <v>8194394</v>
      </c>
      <c r="C1052" s="49" t="s">
        <v>36</v>
      </c>
      <c r="D1052" s="49" t="s">
        <v>300</v>
      </c>
      <c r="E1052" s="50">
        <v>0.25</v>
      </c>
      <c r="F1052" s="49" t="s">
        <v>14</v>
      </c>
      <c r="G1052" s="70" t="s">
        <v>13</v>
      </c>
      <c r="H1052" s="51">
        <v>0.24930555555555556</v>
      </c>
      <c r="I1052" s="113" t="str">
        <f t="shared" si="258"/>
        <v>23-08-2026T05:59:00</v>
      </c>
      <c r="J1052" s="51">
        <v>0.95694444444444449</v>
      </c>
      <c r="K1052" s="51"/>
      <c r="L1052" s="52">
        <f t="shared" si="254"/>
        <v>0.70763888888888893</v>
      </c>
      <c r="M1052" s="53">
        <v>0.54166666666666663</v>
      </c>
      <c r="N1052" s="54" t="str">
        <f t="shared" si="255"/>
        <v>-03:59:00</v>
      </c>
      <c r="O1052" s="55"/>
      <c r="P1052" s="147" t="s">
        <v>686</v>
      </c>
      <c r="Q1052" s="56"/>
      <c r="R1052" s="57"/>
      <c r="S1052" s="57"/>
      <c r="T1052" s="58">
        <f t="shared" si="256"/>
        <v>0</v>
      </c>
      <c r="U1052" s="50"/>
      <c r="V1052" s="74">
        <v>0</v>
      </c>
      <c r="W1052" s="50">
        <f t="shared" si="257"/>
        <v>0</v>
      </c>
      <c r="X1052" s="171">
        <v>46257.249305555553</v>
      </c>
      <c r="Y1052" s="171">
        <v>46257.956944444442</v>
      </c>
      <c r="Z1052" s="168">
        <f t="shared" si="250"/>
        <v>0.70763888888905058</v>
      </c>
      <c r="AA1052" s="169">
        <f t="shared" si="251"/>
        <v>0.54166666666666663</v>
      </c>
      <c r="AB1052" s="170" t="str">
        <f t="shared" si="252"/>
        <v>-03:59:00</v>
      </c>
      <c r="AC1052" s="170" t="b">
        <f t="shared" si="253"/>
        <v>1</v>
      </c>
    </row>
    <row r="1053" spans="1:29" s="128" customFormat="1" ht="9.75" hidden="1" customHeight="1" x14ac:dyDescent="0.3">
      <c r="A1053" s="99">
        <v>46257</v>
      </c>
      <c r="B1053" s="59">
        <v>8194434</v>
      </c>
      <c r="C1053" s="60" t="s">
        <v>89</v>
      </c>
      <c r="D1053" s="60" t="s">
        <v>294</v>
      </c>
      <c r="E1053" s="61">
        <v>0.25</v>
      </c>
      <c r="F1053" s="60" t="s">
        <v>13</v>
      </c>
      <c r="G1053" s="71" t="s">
        <v>35</v>
      </c>
      <c r="H1053" s="62">
        <v>0.25486111111111109</v>
      </c>
      <c r="I1053" s="113" t="str">
        <f t="shared" si="258"/>
        <v>23-08-2026T06:07:00</v>
      </c>
      <c r="J1053" s="62">
        <v>0.2951388888888889</v>
      </c>
      <c r="K1053" s="62"/>
      <c r="L1053" s="63">
        <f t="shared" si="254"/>
        <v>4.0277777777777801E-2</v>
      </c>
      <c r="M1053" s="64">
        <v>4.1666666666666664E-2</v>
      </c>
      <c r="N1053" s="65" t="str">
        <f t="shared" si="255"/>
        <v>00:02:00</v>
      </c>
      <c r="O1053" s="66"/>
      <c r="P1053" s="124"/>
      <c r="Q1053" s="67"/>
      <c r="R1053" s="68"/>
      <c r="S1053" s="68"/>
      <c r="T1053" s="69">
        <f t="shared" si="256"/>
        <v>0</v>
      </c>
      <c r="U1053" s="61"/>
      <c r="V1053" s="83">
        <v>0</v>
      </c>
      <c r="W1053" s="61">
        <f t="shared" si="257"/>
        <v>0</v>
      </c>
      <c r="X1053" s="171">
        <v>46257.254861111112</v>
      </c>
      <c r="Y1053" s="171">
        <v>46257.295138888891</v>
      </c>
      <c r="Z1053" s="168">
        <f t="shared" si="250"/>
        <v>4.0277777778101154E-2</v>
      </c>
      <c r="AA1053" s="169">
        <f t="shared" si="251"/>
        <v>4.1666666666666664E-2</v>
      </c>
      <c r="AB1053" s="170" t="str">
        <f t="shared" si="252"/>
        <v>00:02:00</v>
      </c>
      <c r="AC1053" s="170" t="b">
        <f t="shared" si="253"/>
        <v>1</v>
      </c>
    </row>
    <row r="1054" spans="1:29" s="127" customFormat="1" ht="9.75" hidden="1" customHeight="1" x14ac:dyDescent="0.3">
      <c r="A1054" s="98">
        <v>46257</v>
      </c>
      <c r="B1054" s="48">
        <v>8194474</v>
      </c>
      <c r="C1054" s="49" t="s">
        <v>12</v>
      </c>
      <c r="D1054" s="49" t="s">
        <v>586</v>
      </c>
      <c r="E1054" s="50">
        <v>0.27083333333333331</v>
      </c>
      <c r="F1054" s="49" t="s">
        <v>14</v>
      </c>
      <c r="G1054" s="70" t="s">
        <v>13</v>
      </c>
      <c r="H1054" s="51">
        <v>46257.268055555556</v>
      </c>
      <c r="I1054" s="113" t="str">
        <f t="shared" si="258"/>
        <v>23-08-2026T06:26:00</v>
      </c>
      <c r="J1054" s="51">
        <v>46258.113888888889</v>
      </c>
      <c r="K1054" s="51"/>
      <c r="L1054" s="52">
        <f t="shared" si="254"/>
        <v>0.84583333333284827</v>
      </c>
      <c r="M1054" s="53">
        <v>0.79166666666666663</v>
      </c>
      <c r="N1054" s="54" t="str">
        <f t="shared" si="255"/>
        <v>-01:18:00</v>
      </c>
      <c r="O1054" s="55">
        <v>400</v>
      </c>
      <c r="P1054" s="147" t="s">
        <v>569</v>
      </c>
      <c r="Q1054" s="56" t="s">
        <v>126</v>
      </c>
      <c r="R1054" s="57">
        <v>0.375</v>
      </c>
      <c r="S1054" s="57">
        <v>0.47569444444444442</v>
      </c>
      <c r="T1054" s="47">
        <f t="shared" si="256"/>
        <v>0.10069444444444442</v>
      </c>
      <c r="U1054" s="50"/>
      <c r="V1054" s="74">
        <v>6.25E-2</v>
      </c>
      <c r="W1054" s="50">
        <f t="shared" si="257"/>
        <v>3.819444444444442E-2</v>
      </c>
      <c r="X1054" s="171">
        <v>46257.268055555556</v>
      </c>
      <c r="Y1054" s="171">
        <v>46258.113888888889</v>
      </c>
      <c r="Z1054" s="168">
        <f t="shared" si="250"/>
        <v>0.84583333333284827</v>
      </c>
      <c r="AA1054" s="169">
        <f t="shared" si="251"/>
        <v>0.79166666666666663</v>
      </c>
      <c r="AB1054" s="170" t="str">
        <f t="shared" si="252"/>
        <v>-01:18:00</v>
      </c>
      <c r="AC1054" s="170" t="b">
        <f t="shared" si="253"/>
        <v>1</v>
      </c>
    </row>
    <row r="1055" spans="1:29" s="128" customFormat="1" ht="9.75" hidden="1" customHeight="1" x14ac:dyDescent="0.3">
      <c r="A1055" s="99">
        <v>46257</v>
      </c>
      <c r="B1055" s="59">
        <v>8194490</v>
      </c>
      <c r="C1055" s="60" t="s">
        <v>58</v>
      </c>
      <c r="D1055" s="60" t="s">
        <v>591</v>
      </c>
      <c r="E1055" s="61">
        <v>0.27083333333333331</v>
      </c>
      <c r="F1055" s="60" t="s">
        <v>13</v>
      </c>
      <c r="G1055" s="71" t="s">
        <v>14</v>
      </c>
      <c r="H1055" s="62">
        <v>0.27152777777777776</v>
      </c>
      <c r="I1055" s="113" t="str">
        <f t="shared" si="258"/>
        <v>23-08-2026T06:31:00</v>
      </c>
      <c r="J1055" s="62">
        <v>0.87916666666666665</v>
      </c>
      <c r="K1055" s="62"/>
      <c r="L1055" s="63">
        <f t="shared" si="254"/>
        <v>0.60763888888888884</v>
      </c>
      <c r="M1055" s="64">
        <v>0.625</v>
      </c>
      <c r="N1055" s="65" t="str">
        <f t="shared" si="255"/>
        <v>00:25:00</v>
      </c>
      <c r="O1055" s="66"/>
      <c r="P1055" s="124"/>
      <c r="Q1055" s="67" t="s">
        <v>15</v>
      </c>
      <c r="R1055" s="68">
        <v>0.48749999999999999</v>
      </c>
      <c r="S1055" s="68">
        <v>0.49722222222222223</v>
      </c>
      <c r="T1055" s="69">
        <f t="shared" si="256"/>
        <v>9.7222222222222432E-3</v>
      </c>
      <c r="U1055" s="61" t="s">
        <v>234</v>
      </c>
      <c r="V1055" s="83">
        <v>6.25E-2</v>
      </c>
      <c r="W1055" s="61">
        <f t="shared" si="257"/>
        <v>-5.2777777777777757E-2</v>
      </c>
      <c r="X1055" s="171">
        <v>46257.271527777775</v>
      </c>
      <c r="Y1055" s="171">
        <v>46257.879166666666</v>
      </c>
      <c r="Z1055" s="168">
        <f t="shared" si="250"/>
        <v>0.60763888889050577</v>
      </c>
      <c r="AA1055" s="169">
        <f t="shared" si="251"/>
        <v>0.625</v>
      </c>
      <c r="AB1055" s="170" t="str">
        <f t="shared" si="252"/>
        <v>00:25:00</v>
      </c>
      <c r="AC1055" s="170" t="b">
        <f t="shared" si="253"/>
        <v>1</v>
      </c>
    </row>
    <row r="1056" spans="1:29" s="127" customFormat="1" ht="9.75" hidden="1" customHeight="1" x14ac:dyDescent="0.3">
      <c r="A1056" s="98">
        <v>46257</v>
      </c>
      <c r="B1056" s="48">
        <v>8194549</v>
      </c>
      <c r="C1056" s="49" t="s">
        <v>39</v>
      </c>
      <c r="D1056" s="49" t="s">
        <v>392</v>
      </c>
      <c r="E1056" s="50">
        <v>0.29166666666666669</v>
      </c>
      <c r="F1056" s="49" t="s">
        <v>13</v>
      </c>
      <c r="G1056" s="70" t="s">
        <v>103</v>
      </c>
      <c r="H1056" s="51">
        <v>0.29305555555555557</v>
      </c>
      <c r="I1056" s="113" t="str">
        <f t="shared" si="258"/>
        <v>23-08-2026T07:02:00</v>
      </c>
      <c r="J1056" s="51">
        <v>0.96805555555555556</v>
      </c>
      <c r="K1056" s="51"/>
      <c r="L1056" s="52">
        <f t="shared" ref="L1056:L1088" si="259">J1056-H1056</f>
        <v>0.67500000000000004</v>
      </c>
      <c r="M1056" s="53">
        <v>0.625</v>
      </c>
      <c r="N1056" s="54" t="str">
        <f t="shared" ref="N1056:N1088" si="260">IF(M1056-L1056&gt;0,TEXT(M1056-L1056,"HH:MM:SS"),TEXT(ABS(M1056-L1056),"-HH:MM:SS"))</f>
        <v>-01:12:00</v>
      </c>
      <c r="O1056" s="55">
        <v>500</v>
      </c>
      <c r="P1056" s="147" t="s">
        <v>676</v>
      </c>
      <c r="Q1056" s="56"/>
      <c r="R1056" s="57"/>
      <c r="S1056" s="57"/>
      <c r="T1056" s="58">
        <f t="shared" ref="T1056:T1088" si="261">S1056-R1056</f>
        <v>0</v>
      </c>
      <c r="U1056" s="50" t="s">
        <v>234</v>
      </c>
      <c r="V1056" s="74">
        <v>0</v>
      </c>
      <c r="W1056" s="50">
        <f t="shared" ref="W1056:W1088" si="262">T1056-V1056</f>
        <v>0</v>
      </c>
      <c r="X1056" s="171">
        <v>46257.293055555558</v>
      </c>
      <c r="Y1056" s="171">
        <v>46257.968055555553</v>
      </c>
      <c r="Z1056" s="168">
        <f t="shared" si="250"/>
        <v>0.67499999999563443</v>
      </c>
      <c r="AA1056" s="169">
        <f t="shared" si="251"/>
        <v>0.625</v>
      </c>
      <c r="AB1056" s="170" t="str">
        <f t="shared" si="252"/>
        <v>-01:12:00</v>
      </c>
      <c r="AC1056" s="170" t="b">
        <f t="shared" si="253"/>
        <v>1</v>
      </c>
    </row>
    <row r="1057" spans="1:29" s="128" customFormat="1" ht="9.75" hidden="1" customHeight="1" x14ac:dyDescent="0.3">
      <c r="A1057" s="99">
        <v>46257</v>
      </c>
      <c r="B1057" s="59">
        <v>8194584</v>
      </c>
      <c r="C1057" s="60" t="s">
        <v>52</v>
      </c>
      <c r="D1057" s="60" t="s">
        <v>616</v>
      </c>
      <c r="E1057" s="61">
        <v>0.3125</v>
      </c>
      <c r="F1057" s="60" t="s">
        <v>15</v>
      </c>
      <c r="G1057" s="71" t="s">
        <v>13</v>
      </c>
      <c r="H1057" s="62">
        <v>0.31111111111111112</v>
      </c>
      <c r="I1057" s="113" t="str">
        <f t="shared" si="258"/>
        <v>23-08-2026T07:28:00</v>
      </c>
      <c r="J1057" s="62">
        <v>0.54652777777777772</v>
      </c>
      <c r="K1057" s="62"/>
      <c r="L1057" s="63">
        <f t="shared" si="259"/>
        <v>0.23541666666666661</v>
      </c>
      <c r="M1057" s="64">
        <v>0.25</v>
      </c>
      <c r="N1057" s="65" t="str">
        <f t="shared" si="260"/>
        <v>00:21:00</v>
      </c>
      <c r="O1057" s="66"/>
      <c r="P1057" s="124"/>
      <c r="Q1057" s="67" t="s">
        <v>205</v>
      </c>
      <c r="R1057" s="68">
        <v>0.3923611111111111</v>
      </c>
      <c r="S1057" s="68">
        <v>0.4201388888888889</v>
      </c>
      <c r="T1057" s="69">
        <f t="shared" si="261"/>
        <v>2.777777777777779E-2</v>
      </c>
      <c r="U1057" s="61"/>
      <c r="V1057" s="83">
        <v>4.1666666666666664E-2</v>
      </c>
      <c r="W1057" s="61">
        <f t="shared" si="262"/>
        <v>-1.3888888888888874E-2</v>
      </c>
      <c r="X1057" s="171">
        <v>46257.311111111114</v>
      </c>
      <c r="Y1057" s="171">
        <v>46257.546527777777</v>
      </c>
      <c r="Z1057" s="168">
        <f t="shared" si="250"/>
        <v>0.23541666666278616</v>
      </c>
      <c r="AA1057" s="169">
        <f t="shared" si="251"/>
        <v>0.25</v>
      </c>
      <c r="AB1057" s="170" t="str">
        <f t="shared" si="252"/>
        <v>00:21:00</v>
      </c>
      <c r="AC1057" s="170" t="b">
        <f t="shared" si="253"/>
        <v>1</v>
      </c>
    </row>
    <row r="1058" spans="1:29" s="128" customFormat="1" ht="9.75" hidden="1" customHeight="1" x14ac:dyDescent="0.3">
      <c r="A1058" s="99">
        <v>46257</v>
      </c>
      <c r="B1058" s="59">
        <v>8194548</v>
      </c>
      <c r="C1058" s="60" t="s">
        <v>40</v>
      </c>
      <c r="D1058" s="60" t="s">
        <v>460</v>
      </c>
      <c r="E1058" s="61">
        <v>0.29166666666666669</v>
      </c>
      <c r="F1058" s="60" t="s">
        <v>13</v>
      </c>
      <c r="G1058" s="71" t="s">
        <v>31</v>
      </c>
      <c r="H1058" s="62">
        <v>0.29236111111111113</v>
      </c>
      <c r="I1058" s="113" t="str">
        <f t="shared" si="258"/>
        <v>23-08-2026T07:01:00</v>
      </c>
      <c r="J1058" s="62">
        <v>0.90069444444444446</v>
      </c>
      <c r="K1058" s="62"/>
      <c r="L1058" s="63">
        <f t="shared" si="259"/>
        <v>0.60833333333333339</v>
      </c>
      <c r="M1058" s="64">
        <v>0.625</v>
      </c>
      <c r="N1058" s="65" t="str">
        <f t="shared" si="260"/>
        <v>00:24:00</v>
      </c>
      <c r="O1058" s="66"/>
      <c r="P1058" s="124" t="s">
        <v>569</v>
      </c>
      <c r="Q1058" s="67"/>
      <c r="R1058" s="68"/>
      <c r="S1058" s="68"/>
      <c r="T1058" s="69">
        <f t="shared" si="261"/>
        <v>0</v>
      </c>
      <c r="U1058" s="61"/>
      <c r="V1058" s="83">
        <v>0</v>
      </c>
      <c r="W1058" s="61">
        <f t="shared" si="262"/>
        <v>0</v>
      </c>
      <c r="X1058" s="172">
        <v>46257.292361111111</v>
      </c>
      <c r="Y1058" s="172">
        <v>46257.900694444441</v>
      </c>
      <c r="Z1058" s="173">
        <f t="shared" si="250"/>
        <v>0.60833333332993789</v>
      </c>
      <c r="AA1058" s="174">
        <f t="shared" si="251"/>
        <v>0.625</v>
      </c>
      <c r="AB1058" s="175" t="str">
        <f t="shared" si="252"/>
        <v>00:24:00</v>
      </c>
      <c r="AC1058" s="175" t="b">
        <f t="shared" si="253"/>
        <v>1</v>
      </c>
    </row>
    <row r="1059" spans="1:29" s="128" customFormat="1" ht="9.75" hidden="1" customHeight="1" x14ac:dyDescent="0.3">
      <c r="A1059" s="99">
        <v>46257</v>
      </c>
      <c r="B1059" s="59">
        <v>8194593</v>
      </c>
      <c r="C1059" s="60" t="s">
        <v>42</v>
      </c>
      <c r="D1059" s="60" t="s">
        <v>181</v>
      </c>
      <c r="E1059" s="61">
        <v>0.3125</v>
      </c>
      <c r="F1059" s="60" t="s">
        <v>13</v>
      </c>
      <c r="G1059" s="71" t="s">
        <v>55</v>
      </c>
      <c r="H1059" s="62">
        <v>0.31874999999999998</v>
      </c>
      <c r="I1059" s="113" t="str">
        <f t="shared" si="258"/>
        <v>23-08-2026T07:39:00</v>
      </c>
      <c r="J1059" s="62">
        <v>0.37847222222222221</v>
      </c>
      <c r="K1059" s="62"/>
      <c r="L1059" s="63">
        <f t="shared" si="259"/>
        <v>5.9722222222222232E-2</v>
      </c>
      <c r="M1059" s="64">
        <v>6.25E-2</v>
      </c>
      <c r="N1059" s="65" t="str">
        <f t="shared" si="260"/>
        <v>00:04:00</v>
      </c>
      <c r="O1059" s="66"/>
      <c r="P1059" s="124"/>
      <c r="Q1059" s="67"/>
      <c r="R1059" s="68"/>
      <c r="S1059" s="68"/>
      <c r="T1059" s="69">
        <f t="shared" si="261"/>
        <v>0</v>
      </c>
      <c r="U1059" s="61" t="s">
        <v>234</v>
      </c>
      <c r="V1059" s="83">
        <v>0</v>
      </c>
      <c r="W1059" s="61">
        <f t="shared" si="262"/>
        <v>0</v>
      </c>
      <c r="X1059" s="171">
        <v>46257.318749999999</v>
      </c>
      <c r="Y1059" s="171">
        <v>46257.378472222219</v>
      </c>
      <c r="Z1059" s="168">
        <f t="shared" si="250"/>
        <v>5.9722222220443655E-2</v>
      </c>
      <c r="AA1059" s="169">
        <f t="shared" si="251"/>
        <v>6.25E-2</v>
      </c>
      <c r="AB1059" s="170" t="str">
        <f t="shared" si="252"/>
        <v>00:04:00</v>
      </c>
      <c r="AC1059" s="170" t="b">
        <f t="shared" si="253"/>
        <v>1</v>
      </c>
    </row>
    <row r="1060" spans="1:29" s="128" customFormat="1" ht="9.75" hidden="1" customHeight="1" x14ac:dyDescent="0.3">
      <c r="A1060" s="99">
        <v>46257</v>
      </c>
      <c r="B1060" s="59">
        <v>8194726</v>
      </c>
      <c r="C1060" s="60" t="s">
        <v>30</v>
      </c>
      <c r="D1060" s="60" t="s">
        <v>286</v>
      </c>
      <c r="E1060" s="61">
        <v>0.375</v>
      </c>
      <c r="F1060" s="60" t="s">
        <v>13</v>
      </c>
      <c r="G1060" s="71" t="s">
        <v>31</v>
      </c>
      <c r="H1060" s="62">
        <v>46257.37777777778</v>
      </c>
      <c r="I1060" s="113" t="str">
        <f t="shared" si="258"/>
        <v>23-08-2026T09:04:00</v>
      </c>
      <c r="J1060" s="62">
        <v>46258.121527777781</v>
      </c>
      <c r="K1060" s="62"/>
      <c r="L1060" s="63">
        <f t="shared" si="259"/>
        <v>0.74375000000145519</v>
      </c>
      <c r="M1060" s="64">
        <v>0.75</v>
      </c>
      <c r="N1060" s="65" t="str">
        <f t="shared" si="260"/>
        <v>00:09:00</v>
      </c>
      <c r="O1060" s="66"/>
      <c r="P1060" s="124" t="s">
        <v>569</v>
      </c>
      <c r="Q1060" s="67" t="s">
        <v>45</v>
      </c>
      <c r="R1060" s="68">
        <v>0.93194444444444446</v>
      </c>
      <c r="S1060" s="68">
        <v>0.97222222222222221</v>
      </c>
      <c r="T1060" s="69">
        <f t="shared" si="261"/>
        <v>4.0277777777777746E-2</v>
      </c>
      <c r="U1060" s="61"/>
      <c r="V1060" s="83">
        <v>8.3333333333333329E-2</v>
      </c>
      <c r="W1060" s="61">
        <f t="shared" si="262"/>
        <v>-4.3055555555555583E-2</v>
      </c>
      <c r="X1060" s="172">
        <v>46257.37777777778</v>
      </c>
      <c r="Y1060" s="172">
        <v>46258.121527777781</v>
      </c>
      <c r="Z1060" s="173">
        <f t="shared" si="250"/>
        <v>0.74375000000145519</v>
      </c>
      <c r="AA1060" s="174">
        <f t="shared" si="251"/>
        <v>0.75</v>
      </c>
      <c r="AB1060" s="175" t="str">
        <f t="shared" si="252"/>
        <v>00:09:00</v>
      </c>
      <c r="AC1060" s="175" t="b">
        <f t="shared" si="253"/>
        <v>1</v>
      </c>
    </row>
    <row r="1061" spans="1:29" s="127" customFormat="1" ht="9.75" hidden="1" customHeight="1" x14ac:dyDescent="0.3">
      <c r="A1061" s="98">
        <v>46257</v>
      </c>
      <c r="B1061" s="48">
        <v>8194723</v>
      </c>
      <c r="C1061" s="49" t="s">
        <v>203</v>
      </c>
      <c r="D1061" s="49" t="s">
        <v>297</v>
      </c>
      <c r="E1061" s="50">
        <v>0.375</v>
      </c>
      <c r="F1061" s="49" t="s">
        <v>13</v>
      </c>
      <c r="G1061" s="70" t="s">
        <v>47</v>
      </c>
      <c r="H1061" s="51">
        <v>46257.37777777778</v>
      </c>
      <c r="I1061" s="113" t="str">
        <f t="shared" si="258"/>
        <v>23-08-2026T09:04:00</v>
      </c>
      <c r="J1061" s="51">
        <v>46259.377083333333</v>
      </c>
      <c r="K1061" s="51"/>
      <c r="L1061" s="52">
        <f t="shared" si="259"/>
        <v>1.9993055555532919</v>
      </c>
      <c r="M1061" s="53">
        <v>1.9166666666666667</v>
      </c>
      <c r="N1061" s="54" t="str">
        <f t="shared" si="260"/>
        <v>-01:59:00</v>
      </c>
      <c r="O1061" s="55">
        <v>400</v>
      </c>
      <c r="P1061" s="147" t="s">
        <v>701</v>
      </c>
      <c r="Q1061" s="56" t="s">
        <v>96</v>
      </c>
      <c r="R1061" s="57">
        <v>46259.19027777778</v>
      </c>
      <c r="S1061" s="57">
        <v>46259.263888888891</v>
      </c>
      <c r="T1061" s="58">
        <f t="shared" si="261"/>
        <v>7.3611111110949423E-2</v>
      </c>
      <c r="U1061" s="50"/>
      <c r="V1061" s="74">
        <v>8.3333333333333329E-2</v>
      </c>
      <c r="W1061" s="50">
        <f t="shared" si="262"/>
        <v>-9.7222222223839055E-3</v>
      </c>
      <c r="X1061" s="171">
        <v>46257.37777777778</v>
      </c>
      <c r="Y1061" s="171">
        <v>46259.377083333333</v>
      </c>
      <c r="Z1061" s="168">
        <f t="shared" si="250"/>
        <v>1.9993055555532919</v>
      </c>
      <c r="AA1061" s="169">
        <f t="shared" si="251"/>
        <v>1.9166666666666667</v>
      </c>
      <c r="AB1061" s="170" t="str">
        <f t="shared" si="252"/>
        <v>-01:59:00</v>
      </c>
      <c r="AC1061" s="170" t="b">
        <f t="shared" si="253"/>
        <v>1</v>
      </c>
    </row>
    <row r="1062" spans="1:29" s="128" customFormat="1" ht="9.75" hidden="1" customHeight="1" x14ac:dyDescent="0.3">
      <c r="A1062" s="99">
        <v>46257</v>
      </c>
      <c r="B1062" s="59">
        <v>8194703</v>
      </c>
      <c r="C1062" s="60" t="s">
        <v>51</v>
      </c>
      <c r="D1062" s="60" t="s">
        <v>295</v>
      </c>
      <c r="E1062" s="61">
        <v>0.375</v>
      </c>
      <c r="F1062" s="60" t="s">
        <v>49</v>
      </c>
      <c r="G1062" s="71" t="s">
        <v>13</v>
      </c>
      <c r="H1062" s="62">
        <v>0.37083333333333335</v>
      </c>
      <c r="I1062" s="113" t="str">
        <f t="shared" si="258"/>
        <v>23-08-2026T08:54:00</v>
      </c>
      <c r="J1062" s="62">
        <v>0.93472222222222223</v>
      </c>
      <c r="K1062" s="62"/>
      <c r="L1062" s="63">
        <f t="shared" si="259"/>
        <v>0.56388888888888888</v>
      </c>
      <c r="M1062" s="64">
        <v>0.58333333333333337</v>
      </c>
      <c r="N1062" s="65" t="str">
        <f t="shared" si="260"/>
        <v>00:28:00</v>
      </c>
      <c r="O1062" s="66"/>
      <c r="P1062" s="124"/>
      <c r="Q1062" s="67" t="s">
        <v>13</v>
      </c>
      <c r="R1062" s="68">
        <v>0.85277777777777775</v>
      </c>
      <c r="S1062" s="68">
        <v>0.93055555555555558</v>
      </c>
      <c r="T1062" s="69">
        <f t="shared" si="261"/>
        <v>7.7777777777777835E-2</v>
      </c>
      <c r="U1062" s="61"/>
      <c r="V1062" s="83">
        <v>8.3333333333333329E-2</v>
      </c>
      <c r="W1062" s="61">
        <f t="shared" si="262"/>
        <v>-5.5555555555554942E-3</v>
      </c>
      <c r="X1062" s="171">
        <v>46257.370833333334</v>
      </c>
      <c r="Y1062" s="171">
        <v>46257.93472222222</v>
      </c>
      <c r="Z1062" s="168">
        <f t="shared" si="250"/>
        <v>0.56388888888614019</v>
      </c>
      <c r="AA1062" s="169">
        <f t="shared" si="251"/>
        <v>0.58333333333333337</v>
      </c>
      <c r="AB1062" s="170" t="str">
        <f t="shared" si="252"/>
        <v>00:28:00</v>
      </c>
      <c r="AC1062" s="170" t="b">
        <f t="shared" si="253"/>
        <v>1</v>
      </c>
    </row>
    <row r="1063" spans="1:29" s="127" customFormat="1" ht="9.75" hidden="1" customHeight="1" x14ac:dyDescent="0.3">
      <c r="A1063" s="98">
        <v>46257</v>
      </c>
      <c r="B1063" s="48">
        <v>8195267</v>
      </c>
      <c r="C1063" s="49" t="s">
        <v>86</v>
      </c>
      <c r="D1063" s="49" t="s">
        <v>182</v>
      </c>
      <c r="E1063" s="50">
        <v>0.41666666666666669</v>
      </c>
      <c r="F1063" s="49" t="s">
        <v>31</v>
      </c>
      <c r="G1063" s="70" t="s">
        <v>13</v>
      </c>
      <c r="H1063" s="51">
        <v>46257.591666666667</v>
      </c>
      <c r="I1063" s="113" t="str">
        <f t="shared" si="258"/>
        <v>23-08-2026T14:12:00</v>
      </c>
      <c r="J1063" s="51">
        <v>46258.377083333333</v>
      </c>
      <c r="K1063" s="51"/>
      <c r="L1063" s="52">
        <f t="shared" si="259"/>
        <v>0.78541666666569654</v>
      </c>
      <c r="M1063" s="53">
        <v>0.75</v>
      </c>
      <c r="N1063" s="54" t="str">
        <f t="shared" si="260"/>
        <v>-00:51:00</v>
      </c>
      <c r="O1063" s="55">
        <v>200</v>
      </c>
      <c r="P1063" s="147" t="s">
        <v>677</v>
      </c>
      <c r="Q1063" s="56" t="s">
        <v>45</v>
      </c>
      <c r="R1063" s="57">
        <v>0.73819444444444449</v>
      </c>
      <c r="S1063" s="57">
        <v>0.77916666666666667</v>
      </c>
      <c r="T1063" s="58">
        <f t="shared" si="261"/>
        <v>4.0972222222222188E-2</v>
      </c>
      <c r="U1063" s="50"/>
      <c r="V1063" s="74">
        <v>8.3333333333333329E-2</v>
      </c>
      <c r="W1063" s="50">
        <f t="shared" si="262"/>
        <v>-4.2361111111111141E-2</v>
      </c>
      <c r="X1063" s="171">
        <v>46257.591666666667</v>
      </c>
      <c r="Y1063" s="171">
        <v>46258.377083333333</v>
      </c>
      <c r="Z1063" s="168">
        <f t="shared" si="250"/>
        <v>0.78541666666569654</v>
      </c>
      <c r="AA1063" s="169">
        <f t="shared" si="251"/>
        <v>0.75</v>
      </c>
      <c r="AB1063" s="170" t="str">
        <f t="shared" si="252"/>
        <v>-00:51:00</v>
      </c>
      <c r="AC1063" s="170" t="b">
        <f t="shared" si="253"/>
        <v>1</v>
      </c>
    </row>
    <row r="1064" spans="1:29" s="128" customFormat="1" ht="9.75" hidden="1" customHeight="1" x14ac:dyDescent="0.3">
      <c r="A1064" s="99">
        <v>46257</v>
      </c>
      <c r="B1064" s="59">
        <v>8194779</v>
      </c>
      <c r="C1064" s="60" t="s">
        <v>48</v>
      </c>
      <c r="D1064" s="60" t="s">
        <v>183</v>
      </c>
      <c r="E1064" s="61">
        <v>0.41666666666666669</v>
      </c>
      <c r="F1064" s="60" t="s">
        <v>13</v>
      </c>
      <c r="G1064" s="71" t="s">
        <v>49</v>
      </c>
      <c r="H1064" s="62">
        <v>0.41736111111111113</v>
      </c>
      <c r="I1064" s="113" t="str">
        <f t="shared" si="258"/>
        <v>23-08-2026T10:01:00</v>
      </c>
      <c r="J1064" s="62">
        <v>0.91041666666666665</v>
      </c>
      <c r="K1064" s="62"/>
      <c r="L1064" s="63">
        <f t="shared" si="259"/>
        <v>0.49305555555555552</v>
      </c>
      <c r="M1064" s="64">
        <v>0.5</v>
      </c>
      <c r="N1064" s="65" t="str">
        <f t="shared" si="260"/>
        <v>00:10:00</v>
      </c>
      <c r="O1064" s="66"/>
      <c r="P1064" s="124"/>
      <c r="Q1064" s="67"/>
      <c r="R1064" s="68"/>
      <c r="S1064" s="68"/>
      <c r="T1064" s="69">
        <f t="shared" si="261"/>
        <v>0</v>
      </c>
      <c r="U1064" s="61"/>
      <c r="V1064" s="83">
        <v>0</v>
      </c>
      <c r="W1064" s="61">
        <f t="shared" si="262"/>
        <v>0</v>
      </c>
      <c r="X1064" s="171">
        <v>46257.417361111111</v>
      </c>
      <c r="Y1064" s="171">
        <v>46257.910416666666</v>
      </c>
      <c r="Z1064" s="168">
        <f t="shared" si="250"/>
        <v>0.49305555555474712</v>
      </c>
      <c r="AA1064" s="169">
        <f t="shared" si="251"/>
        <v>0.5</v>
      </c>
      <c r="AB1064" s="170" t="str">
        <f t="shared" si="252"/>
        <v>00:10:00</v>
      </c>
      <c r="AC1064" s="170" t="b">
        <f t="shared" si="253"/>
        <v>1</v>
      </c>
    </row>
    <row r="1065" spans="1:29" s="128" customFormat="1" ht="9.75" customHeight="1" x14ac:dyDescent="0.3">
      <c r="A1065" s="99">
        <v>46257</v>
      </c>
      <c r="B1065" s="59">
        <v>8193743</v>
      </c>
      <c r="C1065" s="60" t="s">
        <v>90</v>
      </c>
      <c r="D1065" s="60" t="s">
        <v>290</v>
      </c>
      <c r="E1065" s="61">
        <v>0.99930555555555556</v>
      </c>
      <c r="F1065" s="60" t="s">
        <v>13</v>
      </c>
      <c r="G1065" s="71" t="s">
        <v>15</v>
      </c>
      <c r="H1065" s="62">
        <v>1.8749999999999999E-2</v>
      </c>
      <c r="I1065" s="113" t="str">
        <f t="shared" si="258"/>
        <v>23-08-2026T00:27:00</v>
      </c>
      <c r="J1065" s="62">
        <v>0.26874999999999999</v>
      </c>
      <c r="K1065" s="113" t="str">
        <f t="shared" ref="K1065:K1066" si="263">TEXT(A1065,"dd-mm-yyyy")&amp;"T"&amp;TEXT(J1065,"hh:mm:ss")</f>
        <v>23-08-2026T06:27:00</v>
      </c>
      <c r="L1065" s="63">
        <f t="shared" si="259"/>
        <v>0.25</v>
      </c>
      <c r="M1065" s="64">
        <v>0.27083333333333331</v>
      </c>
      <c r="N1065" s="65" t="str">
        <f t="shared" si="260"/>
        <v>00:30:00</v>
      </c>
      <c r="O1065" s="66"/>
      <c r="P1065" s="124"/>
      <c r="Q1065" s="67" t="s">
        <v>13</v>
      </c>
      <c r="R1065" s="68">
        <v>3.2638888888888891E-2</v>
      </c>
      <c r="S1065" s="68">
        <v>6.3194444444444442E-2</v>
      </c>
      <c r="T1065" s="69">
        <f t="shared" si="261"/>
        <v>3.0555555555555551E-2</v>
      </c>
      <c r="U1065" s="61"/>
      <c r="V1065" s="83">
        <v>4.1666666666666664E-2</v>
      </c>
      <c r="W1065" s="61">
        <f t="shared" si="262"/>
        <v>-1.1111111111111113E-2</v>
      </c>
      <c r="X1065" s="171">
        <v>46257.018750000003</v>
      </c>
      <c r="Y1065" s="171">
        <v>46257.268750000003</v>
      </c>
      <c r="Z1065" s="168">
        <f t="shared" si="250"/>
        <v>0.25</v>
      </c>
      <c r="AA1065" s="169">
        <f t="shared" si="251"/>
        <v>0.27083333333333331</v>
      </c>
      <c r="AB1065" s="170" t="str">
        <f t="shared" si="252"/>
        <v>00:30:00</v>
      </c>
      <c r="AC1065" s="170" t="b">
        <f t="shared" si="253"/>
        <v>1</v>
      </c>
    </row>
    <row r="1066" spans="1:29" s="127" customFormat="1" ht="9.75" hidden="1" customHeight="1" x14ac:dyDescent="0.3">
      <c r="A1066" s="98">
        <v>46257</v>
      </c>
      <c r="B1066" s="48">
        <v>8194812</v>
      </c>
      <c r="C1066" s="49" t="s">
        <v>90</v>
      </c>
      <c r="D1066" s="49" t="s">
        <v>290</v>
      </c>
      <c r="E1066" s="50">
        <v>0.4375</v>
      </c>
      <c r="F1066" s="49" t="s">
        <v>15</v>
      </c>
      <c r="G1066" s="70" t="s">
        <v>13</v>
      </c>
      <c r="H1066" s="51">
        <v>0.43888888888888888</v>
      </c>
      <c r="I1066" s="113" t="str">
        <f t="shared" si="258"/>
        <v>23-08-2026T10:32:00</v>
      </c>
      <c r="J1066" s="51">
        <v>0.74652777777777779</v>
      </c>
      <c r="K1066" s="113" t="str">
        <f t="shared" si="263"/>
        <v>23-08-2026T17:55:00</v>
      </c>
      <c r="L1066" s="52">
        <f t="shared" si="259"/>
        <v>0.30763888888888891</v>
      </c>
      <c r="M1066" s="53">
        <v>0.20833333333333334</v>
      </c>
      <c r="N1066" s="54" t="str">
        <f t="shared" si="260"/>
        <v>-02:23:00</v>
      </c>
      <c r="O1066" s="55">
        <v>600</v>
      </c>
      <c r="P1066" s="147" t="s">
        <v>678</v>
      </c>
      <c r="Q1066" s="56"/>
      <c r="R1066" s="57"/>
      <c r="S1066" s="57"/>
      <c r="T1066" s="58">
        <f t="shared" si="261"/>
        <v>0</v>
      </c>
      <c r="U1066" s="50"/>
      <c r="V1066" s="74">
        <v>0</v>
      </c>
      <c r="W1066" s="50">
        <f t="shared" si="262"/>
        <v>0</v>
      </c>
      <c r="X1066" s="171">
        <v>46257.438888888886</v>
      </c>
      <c r="Y1066" s="171">
        <v>46257.746527777781</v>
      </c>
      <c r="Z1066" s="168">
        <f t="shared" si="250"/>
        <v>0.30763888889487134</v>
      </c>
      <c r="AA1066" s="169">
        <f t="shared" si="251"/>
        <v>0.20833333333333334</v>
      </c>
      <c r="AB1066" s="170" t="str">
        <f t="shared" si="252"/>
        <v>-02:23:00</v>
      </c>
      <c r="AC1066" s="170" t="b">
        <f t="shared" si="253"/>
        <v>1</v>
      </c>
    </row>
    <row r="1067" spans="1:29" s="128" customFormat="1" ht="9.75" hidden="1" customHeight="1" x14ac:dyDescent="0.3">
      <c r="A1067" s="99">
        <v>46257</v>
      </c>
      <c r="B1067" s="59">
        <v>8194905</v>
      </c>
      <c r="C1067" s="60" t="s">
        <v>41</v>
      </c>
      <c r="D1067" s="60" t="s">
        <v>299</v>
      </c>
      <c r="E1067" s="61">
        <v>0.45833333333333331</v>
      </c>
      <c r="F1067" s="60" t="s">
        <v>13</v>
      </c>
      <c r="G1067" s="71" t="s">
        <v>24</v>
      </c>
      <c r="H1067" s="62">
        <v>0.46875</v>
      </c>
      <c r="I1067" s="113" t="str">
        <f t="shared" si="258"/>
        <v>23-08-2026T11:15:00</v>
      </c>
      <c r="J1067" s="62">
        <v>0.53819444444444442</v>
      </c>
      <c r="K1067" s="62"/>
      <c r="L1067" s="63">
        <f t="shared" si="259"/>
        <v>6.944444444444442E-2</v>
      </c>
      <c r="M1067" s="64">
        <v>8.3333333333333329E-2</v>
      </c>
      <c r="N1067" s="65" t="str">
        <f t="shared" si="260"/>
        <v>00:20:00</v>
      </c>
      <c r="O1067" s="66"/>
      <c r="P1067" s="124"/>
      <c r="Q1067" s="67"/>
      <c r="R1067" s="68"/>
      <c r="S1067" s="68"/>
      <c r="T1067" s="69">
        <f t="shared" si="261"/>
        <v>0</v>
      </c>
      <c r="U1067" s="61" t="s">
        <v>234</v>
      </c>
      <c r="V1067" s="83">
        <v>0</v>
      </c>
      <c r="W1067" s="61">
        <f t="shared" si="262"/>
        <v>0</v>
      </c>
      <c r="X1067" s="171">
        <v>46257.46875</v>
      </c>
      <c r="Y1067" s="171">
        <v>46257.538194444445</v>
      </c>
      <c r="Z1067" s="168">
        <f t="shared" si="250"/>
        <v>6.9444444445252884E-2</v>
      </c>
      <c r="AA1067" s="169">
        <f t="shared" si="251"/>
        <v>8.3333333333333329E-2</v>
      </c>
      <c r="AB1067" s="170" t="str">
        <f t="shared" si="252"/>
        <v>00:20:00</v>
      </c>
      <c r="AC1067" s="170" t="b">
        <f t="shared" si="253"/>
        <v>1</v>
      </c>
    </row>
    <row r="1068" spans="1:29" s="127" customFormat="1" ht="9.75" hidden="1" customHeight="1" x14ac:dyDescent="0.3">
      <c r="A1068" s="98">
        <v>46257</v>
      </c>
      <c r="B1068" s="48">
        <v>8195161</v>
      </c>
      <c r="C1068" s="49" t="s">
        <v>34</v>
      </c>
      <c r="D1068" s="49" t="s">
        <v>379</v>
      </c>
      <c r="E1068" s="50">
        <v>0.54166666666666663</v>
      </c>
      <c r="F1068" s="49" t="s">
        <v>103</v>
      </c>
      <c r="G1068" s="70" t="s">
        <v>13</v>
      </c>
      <c r="H1068" s="51">
        <v>46257.558333333334</v>
      </c>
      <c r="I1068" s="113" t="str">
        <f t="shared" si="258"/>
        <v>23-08-2026T13:24:00</v>
      </c>
      <c r="J1068" s="51">
        <v>46258.279166666667</v>
      </c>
      <c r="K1068" s="51"/>
      <c r="L1068" s="52">
        <f t="shared" si="259"/>
        <v>0.72083333333284827</v>
      </c>
      <c r="M1068" s="53">
        <v>0.70833333333333337</v>
      </c>
      <c r="N1068" s="54" t="str">
        <f t="shared" si="260"/>
        <v>-00:18:00</v>
      </c>
      <c r="O1068" s="55">
        <v>250</v>
      </c>
      <c r="P1068" s="147" t="s">
        <v>683</v>
      </c>
      <c r="Q1068" s="56" t="s">
        <v>13</v>
      </c>
      <c r="R1068" s="57">
        <v>46258.17291666667</v>
      </c>
      <c r="S1068" s="57">
        <v>46258.255555555559</v>
      </c>
      <c r="T1068" s="58">
        <f t="shared" si="261"/>
        <v>8.2638888889050577E-2</v>
      </c>
      <c r="U1068" s="50"/>
      <c r="V1068" s="74">
        <v>8.3333333333333329E-2</v>
      </c>
      <c r="W1068" s="50">
        <f t="shared" si="262"/>
        <v>-6.9444444428275187E-4</v>
      </c>
      <c r="X1068" s="171">
        <v>46257.558333333334</v>
      </c>
      <c r="Y1068" s="171">
        <v>46258.279166666667</v>
      </c>
      <c r="Z1068" s="168">
        <f t="shared" si="250"/>
        <v>0.72083333333284827</v>
      </c>
      <c r="AA1068" s="169">
        <f t="shared" si="251"/>
        <v>0.70833333333333337</v>
      </c>
      <c r="AB1068" s="170" t="str">
        <f t="shared" si="252"/>
        <v>-00:18:00</v>
      </c>
      <c r="AC1068" s="170" t="b">
        <f t="shared" si="253"/>
        <v>1</v>
      </c>
    </row>
    <row r="1069" spans="1:29" s="128" customFormat="1" ht="9.75" hidden="1" customHeight="1" x14ac:dyDescent="0.3">
      <c r="A1069" s="99">
        <v>46257</v>
      </c>
      <c r="B1069" s="59">
        <v>8195122</v>
      </c>
      <c r="C1069" s="60" t="s">
        <v>56</v>
      </c>
      <c r="D1069" s="60" t="s">
        <v>390</v>
      </c>
      <c r="E1069" s="61">
        <v>0.54166666666666663</v>
      </c>
      <c r="F1069" s="60" t="s">
        <v>13</v>
      </c>
      <c r="G1069" s="71" t="s">
        <v>15</v>
      </c>
      <c r="H1069" s="62">
        <v>0.54583333333333328</v>
      </c>
      <c r="I1069" s="113" t="str">
        <f t="shared" si="258"/>
        <v>23-08-2026T13:06:00</v>
      </c>
      <c r="J1069" s="62">
        <v>0.74444444444444446</v>
      </c>
      <c r="K1069" s="62"/>
      <c r="L1069" s="63">
        <f t="shared" si="259"/>
        <v>0.19861111111111118</v>
      </c>
      <c r="M1069" s="64">
        <v>0.20833333333333334</v>
      </c>
      <c r="N1069" s="65" t="str">
        <f t="shared" si="260"/>
        <v>00:14:00</v>
      </c>
      <c r="O1069" s="66"/>
      <c r="P1069" s="124"/>
      <c r="Q1069" s="67"/>
      <c r="R1069" s="68"/>
      <c r="S1069" s="68"/>
      <c r="T1069" s="69">
        <f t="shared" si="261"/>
        <v>0</v>
      </c>
      <c r="U1069" s="61" t="s">
        <v>234</v>
      </c>
      <c r="V1069" s="83">
        <v>0</v>
      </c>
      <c r="W1069" s="61">
        <f t="shared" si="262"/>
        <v>0</v>
      </c>
      <c r="X1069" s="171">
        <v>46257.54583333333</v>
      </c>
      <c r="Y1069" s="171">
        <v>46257.744444444441</v>
      </c>
      <c r="Z1069" s="168">
        <f t="shared" si="250"/>
        <v>0.19861111111094942</v>
      </c>
      <c r="AA1069" s="169">
        <f t="shared" si="251"/>
        <v>0.20833333333333334</v>
      </c>
      <c r="AB1069" s="170" t="str">
        <f t="shared" si="252"/>
        <v>00:14:00</v>
      </c>
      <c r="AC1069" s="170" t="b">
        <f t="shared" si="253"/>
        <v>1</v>
      </c>
    </row>
    <row r="1070" spans="1:29" s="128" customFormat="1" ht="9.75" hidden="1" customHeight="1" x14ac:dyDescent="0.3">
      <c r="A1070" s="99">
        <v>46257</v>
      </c>
      <c r="B1070" s="59">
        <v>8195411</v>
      </c>
      <c r="C1070" s="60" t="s">
        <v>53</v>
      </c>
      <c r="D1070" s="60" t="s">
        <v>298</v>
      </c>
      <c r="E1070" s="61">
        <v>0.64583333333333337</v>
      </c>
      <c r="F1070" s="60" t="s">
        <v>19</v>
      </c>
      <c r="G1070" s="71" t="s">
        <v>13</v>
      </c>
      <c r="H1070" s="62">
        <v>46257.64166666667</v>
      </c>
      <c r="I1070" s="113" t="str">
        <f t="shared" si="258"/>
        <v>23-08-2026T15:24:00</v>
      </c>
      <c r="J1070" s="62">
        <v>46258.055555555555</v>
      </c>
      <c r="K1070" s="62"/>
      <c r="L1070" s="63">
        <f t="shared" si="259"/>
        <v>0.413888888884685</v>
      </c>
      <c r="M1070" s="64">
        <v>0.4375</v>
      </c>
      <c r="N1070" s="65" t="str">
        <f t="shared" si="260"/>
        <v>00:34:00</v>
      </c>
      <c r="O1070" s="66"/>
      <c r="P1070" s="124"/>
      <c r="Q1070" s="67" t="s">
        <v>229</v>
      </c>
      <c r="R1070" s="68">
        <v>0.75</v>
      </c>
      <c r="S1070" s="68">
        <v>0.8125</v>
      </c>
      <c r="T1070" s="69">
        <f t="shared" si="261"/>
        <v>6.25E-2</v>
      </c>
      <c r="U1070" s="61"/>
      <c r="V1070" s="83">
        <v>8.3333333333333329E-2</v>
      </c>
      <c r="W1070" s="61">
        <f t="shared" si="262"/>
        <v>-2.0833333333333329E-2</v>
      </c>
      <c r="X1070" s="171">
        <v>46257.64166666667</v>
      </c>
      <c r="Y1070" s="171">
        <v>46258.055555555555</v>
      </c>
      <c r="Z1070" s="168">
        <f t="shared" si="250"/>
        <v>0.413888888884685</v>
      </c>
      <c r="AA1070" s="169">
        <f t="shared" si="251"/>
        <v>0.4375</v>
      </c>
      <c r="AB1070" s="170" t="str">
        <f t="shared" si="252"/>
        <v>00:34:00</v>
      </c>
      <c r="AC1070" s="170" t="b">
        <f t="shared" si="253"/>
        <v>1</v>
      </c>
    </row>
    <row r="1071" spans="1:29" s="127" customFormat="1" ht="9.75" hidden="1" customHeight="1" x14ac:dyDescent="0.3">
      <c r="A1071" s="98">
        <v>46257</v>
      </c>
      <c r="B1071" s="48">
        <v>8195651</v>
      </c>
      <c r="C1071" s="49" t="s">
        <v>57</v>
      </c>
      <c r="D1071" s="49" t="s">
        <v>232</v>
      </c>
      <c r="E1071" s="50">
        <v>0.70833333333333337</v>
      </c>
      <c r="F1071" s="49" t="s">
        <v>13</v>
      </c>
      <c r="G1071" s="70" t="s">
        <v>24</v>
      </c>
      <c r="H1071" s="51">
        <v>0.71458333333333335</v>
      </c>
      <c r="I1071" s="113" t="str">
        <f t="shared" si="258"/>
        <v>23-08-2026T17:09:00</v>
      </c>
      <c r="J1071" s="51">
        <v>0.8041666666666667</v>
      </c>
      <c r="K1071" s="51"/>
      <c r="L1071" s="52">
        <f t="shared" si="259"/>
        <v>8.9583333333333348E-2</v>
      </c>
      <c r="M1071" s="53">
        <v>8.3333333333333329E-2</v>
      </c>
      <c r="N1071" s="54" t="str">
        <f t="shared" si="260"/>
        <v>-00:09:00</v>
      </c>
      <c r="O1071" s="55">
        <v>250</v>
      </c>
      <c r="P1071" s="147" t="s">
        <v>598</v>
      </c>
      <c r="Q1071" s="56"/>
      <c r="R1071" s="57"/>
      <c r="S1071" s="57"/>
      <c r="T1071" s="58">
        <f t="shared" si="261"/>
        <v>0</v>
      </c>
      <c r="U1071" s="50"/>
      <c r="V1071" s="74">
        <v>0</v>
      </c>
      <c r="W1071" s="50">
        <f t="shared" si="262"/>
        <v>0</v>
      </c>
      <c r="X1071" s="171">
        <v>46257.714583333334</v>
      </c>
      <c r="Y1071" s="171">
        <v>46257.804166666669</v>
      </c>
      <c r="Z1071" s="168">
        <f t="shared" si="250"/>
        <v>8.9583333334303461E-2</v>
      </c>
      <c r="AA1071" s="169">
        <f t="shared" si="251"/>
        <v>8.3333333333333329E-2</v>
      </c>
      <c r="AB1071" s="170" t="str">
        <f t="shared" si="252"/>
        <v>-00:09:00</v>
      </c>
      <c r="AC1071" s="170" t="b">
        <f t="shared" si="253"/>
        <v>1</v>
      </c>
    </row>
    <row r="1072" spans="1:29" s="128" customFormat="1" ht="9.75" hidden="1" customHeight="1" x14ac:dyDescent="0.3">
      <c r="A1072" s="99">
        <v>46257</v>
      </c>
      <c r="B1072" s="59">
        <v>8195601</v>
      </c>
      <c r="C1072" s="60" t="s">
        <v>97</v>
      </c>
      <c r="D1072" s="60" t="s">
        <v>468</v>
      </c>
      <c r="E1072" s="61">
        <v>0.70833333333333337</v>
      </c>
      <c r="F1072" s="60" t="s">
        <v>13</v>
      </c>
      <c r="G1072" s="71" t="s">
        <v>23</v>
      </c>
      <c r="H1072" s="62">
        <v>46257.695833333331</v>
      </c>
      <c r="I1072" s="113" t="str">
        <f t="shared" si="258"/>
        <v>23-08-2026T16:42:00</v>
      </c>
      <c r="J1072" s="62">
        <v>46258.791666666664</v>
      </c>
      <c r="K1072" s="62"/>
      <c r="L1072" s="63">
        <f t="shared" si="259"/>
        <v>1.0958333333328483</v>
      </c>
      <c r="M1072" s="64">
        <v>1</v>
      </c>
      <c r="N1072" s="65" t="str">
        <f t="shared" si="260"/>
        <v>-02:18:00</v>
      </c>
      <c r="O1072" s="66"/>
      <c r="P1072" s="124" t="s">
        <v>700</v>
      </c>
      <c r="Q1072" s="67"/>
      <c r="R1072" s="68"/>
      <c r="S1072" s="68"/>
      <c r="T1072" s="69">
        <f t="shared" si="261"/>
        <v>0</v>
      </c>
      <c r="U1072" s="61"/>
      <c r="V1072" s="83">
        <v>0</v>
      </c>
      <c r="W1072" s="61">
        <f t="shared" si="262"/>
        <v>0</v>
      </c>
      <c r="X1072" s="172">
        <v>46257.695833333331</v>
      </c>
      <c r="Y1072" s="172">
        <v>46258.791666666664</v>
      </c>
      <c r="Z1072" s="173">
        <f t="shared" si="250"/>
        <v>1.0958333333328483</v>
      </c>
      <c r="AA1072" s="174">
        <f t="shared" si="251"/>
        <v>1</v>
      </c>
      <c r="AB1072" s="175" t="str">
        <f t="shared" si="252"/>
        <v>-02:18:00</v>
      </c>
      <c r="AC1072" s="175" t="b">
        <f t="shared" si="253"/>
        <v>1</v>
      </c>
    </row>
    <row r="1073" spans="1:29" s="128" customFormat="1" ht="9.75" hidden="1" customHeight="1" x14ac:dyDescent="0.3">
      <c r="A1073" s="99">
        <v>46257</v>
      </c>
      <c r="B1073" s="59">
        <v>8195654</v>
      </c>
      <c r="C1073" s="60" t="s">
        <v>27</v>
      </c>
      <c r="D1073" s="60" t="s">
        <v>378</v>
      </c>
      <c r="E1073" s="61">
        <v>0.70833333333333337</v>
      </c>
      <c r="F1073" s="60" t="s">
        <v>28</v>
      </c>
      <c r="G1073" s="71" t="s">
        <v>13</v>
      </c>
      <c r="H1073" s="62">
        <v>0.71597222222222223</v>
      </c>
      <c r="I1073" s="113" t="str">
        <f t="shared" si="258"/>
        <v>23-08-2026T17:11:00</v>
      </c>
      <c r="J1073" s="62">
        <v>0.87986111111111109</v>
      </c>
      <c r="K1073" s="62"/>
      <c r="L1073" s="63">
        <f t="shared" si="259"/>
        <v>0.16388888888888886</v>
      </c>
      <c r="M1073" s="64">
        <v>0.16666666666666666</v>
      </c>
      <c r="N1073" s="65" t="str">
        <f t="shared" si="260"/>
        <v>00:04:00</v>
      </c>
      <c r="O1073" s="66"/>
      <c r="P1073" s="124"/>
      <c r="Q1073" s="67"/>
      <c r="R1073" s="68"/>
      <c r="S1073" s="68"/>
      <c r="T1073" s="69">
        <f t="shared" si="261"/>
        <v>0</v>
      </c>
      <c r="U1073" s="61"/>
      <c r="V1073" s="83">
        <v>0</v>
      </c>
      <c r="W1073" s="61">
        <f t="shared" si="262"/>
        <v>0</v>
      </c>
      <c r="X1073" s="171">
        <v>46257.71597222222</v>
      </c>
      <c r="Y1073" s="171">
        <v>46257.879861111112</v>
      </c>
      <c r="Z1073" s="168">
        <f t="shared" si="250"/>
        <v>0.16388888889196096</v>
      </c>
      <c r="AA1073" s="169">
        <f t="shared" si="251"/>
        <v>0.16666666666666666</v>
      </c>
      <c r="AB1073" s="170" t="str">
        <f t="shared" si="252"/>
        <v>00:04:00</v>
      </c>
      <c r="AC1073" s="170" t="b">
        <f t="shared" si="253"/>
        <v>1</v>
      </c>
    </row>
    <row r="1074" spans="1:29" s="128" customFormat="1" ht="9.75" hidden="1" customHeight="1" x14ac:dyDescent="0.3">
      <c r="A1074" s="99">
        <v>46257</v>
      </c>
      <c r="B1074" s="59">
        <v>8195687</v>
      </c>
      <c r="C1074" s="60" t="s">
        <v>89</v>
      </c>
      <c r="D1074" s="60" t="s">
        <v>294</v>
      </c>
      <c r="E1074" s="61">
        <v>0.75</v>
      </c>
      <c r="F1074" s="60" t="s">
        <v>35</v>
      </c>
      <c r="G1074" s="71" t="s">
        <v>13</v>
      </c>
      <c r="H1074" s="62">
        <v>0.73124999999999996</v>
      </c>
      <c r="I1074" s="113" t="str">
        <f t="shared" si="258"/>
        <v>23-08-2026T17:33:00</v>
      </c>
      <c r="J1074" s="62">
        <v>0.75763888888888886</v>
      </c>
      <c r="K1074" s="62"/>
      <c r="L1074" s="63">
        <f t="shared" si="259"/>
        <v>2.6388888888888906E-2</v>
      </c>
      <c r="M1074" s="64">
        <v>4.1666666666666664E-2</v>
      </c>
      <c r="N1074" s="65" t="str">
        <f t="shared" si="260"/>
        <v>00:22:00</v>
      </c>
      <c r="O1074" s="66"/>
      <c r="P1074" s="124"/>
      <c r="Q1074" s="67"/>
      <c r="R1074" s="68"/>
      <c r="S1074" s="68"/>
      <c r="T1074" s="69">
        <f t="shared" si="261"/>
        <v>0</v>
      </c>
      <c r="U1074" s="61"/>
      <c r="V1074" s="83">
        <v>0</v>
      </c>
      <c r="W1074" s="61">
        <f t="shared" si="262"/>
        <v>0</v>
      </c>
      <c r="X1074" s="171">
        <v>46257.731249999997</v>
      </c>
      <c r="Y1074" s="171">
        <v>46257.757638888892</v>
      </c>
      <c r="Z1074" s="168">
        <f t="shared" si="250"/>
        <v>2.6388888894871343E-2</v>
      </c>
      <c r="AA1074" s="169">
        <f t="shared" si="251"/>
        <v>4.1666666666666664E-2</v>
      </c>
      <c r="AB1074" s="170" t="str">
        <f t="shared" si="252"/>
        <v>00:22:00</v>
      </c>
      <c r="AC1074" s="170" t="b">
        <f t="shared" si="253"/>
        <v>1</v>
      </c>
    </row>
    <row r="1075" spans="1:29" s="128" customFormat="1" ht="9.75" hidden="1" customHeight="1" x14ac:dyDescent="0.3">
      <c r="A1075" s="99">
        <v>46257</v>
      </c>
      <c r="B1075" s="59">
        <v>8195883</v>
      </c>
      <c r="C1075" s="60" t="s">
        <v>32</v>
      </c>
      <c r="D1075" s="60" t="s">
        <v>476</v>
      </c>
      <c r="E1075" s="61">
        <v>0.83333333333333337</v>
      </c>
      <c r="F1075" s="60" t="s">
        <v>287</v>
      </c>
      <c r="G1075" s="71" t="s">
        <v>13</v>
      </c>
      <c r="H1075" s="62">
        <v>0.80972222222222223</v>
      </c>
      <c r="I1075" s="113" t="str">
        <f t="shared" si="258"/>
        <v>23-08-2026T19:26:00</v>
      </c>
      <c r="J1075" s="62">
        <v>0.94305555555555554</v>
      </c>
      <c r="K1075" s="62"/>
      <c r="L1075" s="63">
        <f t="shared" si="259"/>
        <v>0.1333333333333333</v>
      </c>
      <c r="M1075" s="64">
        <v>0.14583333333333334</v>
      </c>
      <c r="N1075" s="65" t="str">
        <f t="shared" si="260"/>
        <v>00:18:00</v>
      </c>
      <c r="O1075" s="66"/>
      <c r="P1075" s="124"/>
      <c r="Q1075" s="67"/>
      <c r="R1075" s="68"/>
      <c r="S1075" s="68"/>
      <c r="T1075" s="69">
        <f t="shared" si="261"/>
        <v>0</v>
      </c>
      <c r="U1075" s="61"/>
      <c r="V1075" s="83">
        <v>0</v>
      </c>
      <c r="W1075" s="61">
        <f t="shared" si="262"/>
        <v>0</v>
      </c>
      <c r="X1075" s="171">
        <v>46257.80972222222</v>
      </c>
      <c r="Y1075" s="171">
        <v>46257.943055555559</v>
      </c>
      <c r="Z1075" s="168">
        <f t="shared" si="250"/>
        <v>0.13333333333866904</v>
      </c>
      <c r="AA1075" s="169">
        <f t="shared" si="251"/>
        <v>0.14583333333333334</v>
      </c>
      <c r="AB1075" s="170" t="str">
        <f t="shared" si="252"/>
        <v>00:18:00</v>
      </c>
      <c r="AC1075" s="170" t="b">
        <f t="shared" si="253"/>
        <v>1</v>
      </c>
    </row>
    <row r="1076" spans="1:29" s="128" customFormat="1" ht="9.75" hidden="1" customHeight="1" x14ac:dyDescent="0.3">
      <c r="A1076" s="99">
        <v>46257</v>
      </c>
      <c r="B1076" s="59">
        <v>8196131</v>
      </c>
      <c r="C1076" s="60" t="s">
        <v>52</v>
      </c>
      <c r="D1076" s="60" t="s">
        <v>616</v>
      </c>
      <c r="E1076" s="61">
        <v>0.875</v>
      </c>
      <c r="F1076" s="60" t="s">
        <v>13</v>
      </c>
      <c r="G1076" s="71" t="s">
        <v>15</v>
      </c>
      <c r="H1076" s="62">
        <v>46257.87777777778</v>
      </c>
      <c r="I1076" s="113" t="str">
        <f t="shared" si="258"/>
        <v>23-08-2026T21:04:00</v>
      </c>
      <c r="J1076" s="62">
        <v>46258.072916666664</v>
      </c>
      <c r="K1076" s="62"/>
      <c r="L1076" s="63">
        <f t="shared" si="259"/>
        <v>0.195138888884685</v>
      </c>
      <c r="M1076" s="64">
        <v>0.20833333333333334</v>
      </c>
      <c r="N1076" s="65" t="str">
        <f t="shared" si="260"/>
        <v>00:19:00</v>
      </c>
      <c r="O1076" s="66"/>
      <c r="P1076" s="124"/>
      <c r="Q1076" s="67"/>
      <c r="R1076" s="68"/>
      <c r="S1076" s="68"/>
      <c r="T1076" s="69">
        <f t="shared" si="261"/>
        <v>0</v>
      </c>
      <c r="U1076" s="61" t="s">
        <v>234</v>
      </c>
      <c r="V1076" s="83">
        <v>0</v>
      </c>
      <c r="W1076" s="61">
        <f t="shared" si="262"/>
        <v>0</v>
      </c>
      <c r="X1076" s="171">
        <v>46257.87777777778</v>
      </c>
      <c r="Y1076" s="171">
        <v>46258.072916666664</v>
      </c>
      <c r="Z1076" s="168">
        <f t="shared" si="250"/>
        <v>0.195138888884685</v>
      </c>
      <c r="AA1076" s="169">
        <f t="shared" si="251"/>
        <v>0.20833333333333334</v>
      </c>
      <c r="AB1076" s="170" t="str">
        <f t="shared" si="252"/>
        <v>00:19:00</v>
      </c>
      <c r="AC1076" s="170" t="b">
        <f t="shared" si="253"/>
        <v>1</v>
      </c>
    </row>
    <row r="1077" spans="1:29" s="128" customFormat="1" ht="9.75" hidden="1" customHeight="1" x14ac:dyDescent="0.3">
      <c r="A1077" s="99">
        <v>46257</v>
      </c>
      <c r="B1077" s="59">
        <v>8195976</v>
      </c>
      <c r="C1077" s="60" t="s">
        <v>42</v>
      </c>
      <c r="D1077" s="60" t="s">
        <v>181</v>
      </c>
      <c r="E1077" s="61">
        <v>0.875</v>
      </c>
      <c r="F1077" s="60" t="s">
        <v>55</v>
      </c>
      <c r="G1077" s="71" t="s">
        <v>13</v>
      </c>
      <c r="H1077" s="62">
        <v>0.83333333333333337</v>
      </c>
      <c r="I1077" s="113" t="str">
        <f t="shared" si="258"/>
        <v>23-08-2026T20:00:00</v>
      </c>
      <c r="J1077" s="62">
        <v>0.88402777777777775</v>
      </c>
      <c r="K1077" s="62"/>
      <c r="L1077" s="63">
        <f t="shared" si="259"/>
        <v>5.0694444444444375E-2</v>
      </c>
      <c r="M1077" s="64">
        <v>6.25E-2</v>
      </c>
      <c r="N1077" s="65" t="str">
        <f t="shared" si="260"/>
        <v>00:17:00</v>
      </c>
      <c r="O1077" s="66"/>
      <c r="P1077" s="124"/>
      <c r="Q1077" s="67"/>
      <c r="R1077" s="68"/>
      <c r="S1077" s="68"/>
      <c r="T1077" s="69">
        <f t="shared" si="261"/>
        <v>0</v>
      </c>
      <c r="U1077" s="61"/>
      <c r="V1077" s="83">
        <v>0</v>
      </c>
      <c r="W1077" s="61">
        <f t="shared" si="262"/>
        <v>0</v>
      </c>
      <c r="X1077" s="171">
        <v>46257.833333333336</v>
      </c>
      <c r="Y1077" s="171">
        <v>46257.884027777778</v>
      </c>
      <c r="Z1077" s="168">
        <f t="shared" si="250"/>
        <v>5.0694444442342501E-2</v>
      </c>
      <c r="AA1077" s="169">
        <f t="shared" si="251"/>
        <v>6.25E-2</v>
      </c>
      <c r="AB1077" s="170" t="str">
        <f t="shared" si="252"/>
        <v>00:17:00</v>
      </c>
      <c r="AC1077" s="170" t="b">
        <f t="shared" si="253"/>
        <v>1</v>
      </c>
    </row>
    <row r="1078" spans="1:29" s="128" customFormat="1" ht="9.75" hidden="1" customHeight="1" x14ac:dyDescent="0.3">
      <c r="A1078" s="99">
        <v>46257</v>
      </c>
      <c r="B1078" s="59">
        <v>8195743</v>
      </c>
      <c r="C1078" s="60" t="s">
        <v>54</v>
      </c>
      <c r="D1078" s="60" t="s">
        <v>288</v>
      </c>
      <c r="E1078" s="61">
        <v>0.875</v>
      </c>
      <c r="F1078" s="60" t="s">
        <v>24</v>
      </c>
      <c r="G1078" s="71" t="s">
        <v>13</v>
      </c>
      <c r="H1078" s="62">
        <v>0.75069444444444444</v>
      </c>
      <c r="I1078" s="113" t="str">
        <f t="shared" si="258"/>
        <v>23-08-2026T18:01:00</v>
      </c>
      <c r="J1078" s="62">
        <v>0.82291666666666663</v>
      </c>
      <c r="K1078" s="62"/>
      <c r="L1078" s="63">
        <f t="shared" si="259"/>
        <v>7.2222222222222188E-2</v>
      </c>
      <c r="M1078" s="64">
        <v>8.3333333333333329E-2</v>
      </c>
      <c r="N1078" s="65" t="str">
        <f t="shared" si="260"/>
        <v>00:16:00</v>
      </c>
      <c r="O1078" s="66"/>
      <c r="P1078" s="124"/>
      <c r="Q1078" s="67"/>
      <c r="R1078" s="68"/>
      <c r="S1078" s="68"/>
      <c r="T1078" s="69">
        <f t="shared" si="261"/>
        <v>0</v>
      </c>
      <c r="U1078" s="61"/>
      <c r="V1078" s="83">
        <v>0</v>
      </c>
      <c r="W1078" s="61">
        <f t="shared" si="262"/>
        <v>0</v>
      </c>
      <c r="X1078" s="171">
        <v>46257.750694444447</v>
      </c>
      <c r="Y1078" s="171">
        <v>46257.822916666664</v>
      </c>
      <c r="Z1078" s="168">
        <f t="shared" si="250"/>
        <v>7.2222222217533272E-2</v>
      </c>
      <c r="AA1078" s="169">
        <f t="shared" si="251"/>
        <v>8.3333333333333329E-2</v>
      </c>
      <c r="AB1078" s="170" t="str">
        <f t="shared" si="252"/>
        <v>00:16:00</v>
      </c>
      <c r="AC1078" s="170" t="b">
        <f t="shared" si="253"/>
        <v>1</v>
      </c>
    </row>
    <row r="1079" spans="1:29" s="128" customFormat="1" ht="9.75" hidden="1" customHeight="1" x14ac:dyDescent="0.3">
      <c r="A1079" s="99">
        <v>46257</v>
      </c>
      <c r="B1079" s="59">
        <v>8196362</v>
      </c>
      <c r="C1079" s="60" t="s">
        <v>41</v>
      </c>
      <c r="D1079" s="60" t="s">
        <v>299</v>
      </c>
      <c r="E1079" s="61">
        <v>0.99930555555555556</v>
      </c>
      <c r="F1079" s="60" t="s">
        <v>24</v>
      </c>
      <c r="G1079" s="71" t="s">
        <v>13</v>
      </c>
      <c r="H1079" s="62">
        <v>46257.993055555555</v>
      </c>
      <c r="I1079" s="113" t="str">
        <f t="shared" si="258"/>
        <v>23-08-2026T23:50:00</v>
      </c>
      <c r="J1079" s="62">
        <v>46258.070138888892</v>
      </c>
      <c r="K1079" s="62"/>
      <c r="L1079" s="63">
        <f t="shared" si="259"/>
        <v>7.7083333337213844E-2</v>
      </c>
      <c r="M1079" s="64">
        <v>8.3333333333333329E-2</v>
      </c>
      <c r="N1079" s="65" t="str">
        <f t="shared" si="260"/>
        <v>00:09:00</v>
      </c>
      <c r="O1079" s="66"/>
      <c r="P1079" s="124"/>
      <c r="Q1079" s="67"/>
      <c r="R1079" s="68"/>
      <c r="S1079" s="68"/>
      <c r="T1079" s="69">
        <f t="shared" si="261"/>
        <v>0</v>
      </c>
      <c r="U1079" s="61"/>
      <c r="V1079" s="83">
        <v>0</v>
      </c>
      <c r="W1079" s="61">
        <f t="shared" si="262"/>
        <v>0</v>
      </c>
      <c r="X1079" s="171">
        <v>46257.993055555555</v>
      </c>
      <c r="Y1079" s="171">
        <v>46258.070138888892</v>
      </c>
      <c r="Z1079" s="168">
        <f t="shared" si="250"/>
        <v>7.7083333337213844E-2</v>
      </c>
      <c r="AA1079" s="169">
        <f t="shared" si="251"/>
        <v>8.3333333333333329E-2</v>
      </c>
      <c r="AB1079" s="170" t="str">
        <f t="shared" si="252"/>
        <v>00:09:00</v>
      </c>
      <c r="AC1079" s="170" t="b">
        <f t="shared" si="253"/>
        <v>1</v>
      </c>
    </row>
    <row r="1080" spans="1:29" s="128" customFormat="1" ht="9.75" hidden="1" customHeight="1" x14ac:dyDescent="0.3">
      <c r="A1080" s="99">
        <v>46257</v>
      </c>
      <c r="B1080" s="59">
        <v>8194556</v>
      </c>
      <c r="C1080" s="60" t="s">
        <v>20</v>
      </c>
      <c r="D1080" s="60" t="s">
        <v>232</v>
      </c>
      <c r="E1080" s="61">
        <v>0.95833333333333337</v>
      </c>
      <c r="F1080" s="60" t="s">
        <v>21</v>
      </c>
      <c r="G1080" s="71" t="s">
        <v>13</v>
      </c>
      <c r="H1080" s="62">
        <v>0.29791666666666666</v>
      </c>
      <c r="I1080" s="113" t="str">
        <f t="shared" si="258"/>
        <v>23-08-2026T07:09:00</v>
      </c>
      <c r="J1080" s="62">
        <v>0.54097222222222219</v>
      </c>
      <c r="K1080" s="62"/>
      <c r="L1080" s="63">
        <f t="shared" si="259"/>
        <v>0.24305555555555552</v>
      </c>
      <c r="M1080" s="64">
        <v>0.25</v>
      </c>
      <c r="N1080" s="65" t="str">
        <f t="shared" si="260"/>
        <v>00:10:00</v>
      </c>
      <c r="O1080" s="66"/>
      <c r="P1080" s="124"/>
      <c r="Q1080" s="67"/>
      <c r="R1080" s="68"/>
      <c r="S1080" s="68"/>
      <c r="T1080" s="69">
        <f t="shared" si="261"/>
        <v>0</v>
      </c>
      <c r="U1080" s="61"/>
      <c r="V1080" s="83">
        <v>0</v>
      </c>
      <c r="W1080" s="61">
        <f t="shared" si="262"/>
        <v>0</v>
      </c>
      <c r="X1080" s="171">
        <v>46257.29791666667</v>
      </c>
      <c r="Y1080" s="171">
        <v>46257.540972222225</v>
      </c>
      <c r="Z1080" s="168">
        <f t="shared" si="250"/>
        <v>0.24305555555474712</v>
      </c>
      <c r="AA1080" s="169">
        <f t="shared" si="251"/>
        <v>0.25</v>
      </c>
      <c r="AB1080" s="170" t="str">
        <f t="shared" si="252"/>
        <v>00:10:00</v>
      </c>
      <c r="AC1080" s="170" t="b">
        <f t="shared" si="253"/>
        <v>1</v>
      </c>
    </row>
    <row r="1081" spans="1:29" s="128" customFormat="1" ht="9.75" hidden="1" customHeight="1" x14ac:dyDescent="0.3">
      <c r="A1081" s="99">
        <v>46257</v>
      </c>
      <c r="B1081" s="59">
        <v>8196290</v>
      </c>
      <c r="C1081" s="60" t="s">
        <v>175</v>
      </c>
      <c r="D1081" s="60" t="s">
        <v>306</v>
      </c>
      <c r="E1081" s="61">
        <v>0.95833333333333337</v>
      </c>
      <c r="F1081" s="60" t="s">
        <v>173</v>
      </c>
      <c r="G1081" s="71" t="s">
        <v>13</v>
      </c>
      <c r="H1081" s="62">
        <v>46257.952777777777</v>
      </c>
      <c r="I1081" s="113" t="str">
        <f t="shared" si="258"/>
        <v>23-08-2026T22:52:00</v>
      </c>
      <c r="J1081" s="62">
        <v>46259.805555555555</v>
      </c>
      <c r="K1081" s="62"/>
      <c r="L1081" s="63">
        <f t="shared" si="259"/>
        <v>1.8527777777781012</v>
      </c>
      <c r="M1081" s="64">
        <v>1.9166666666666667</v>
      </c>
      <c r="N1081" s="65" t="str">
        <f t="shared" si="260"/>
        <v>01:32:00</v>
      </c>
      <c r="O1081" s="66"/>
      <c r="P1081" s="124"/>
      <c r="Q1081" s="67" t="s">
        <v>96</v>
      </c>
      <c r="R1081" s="68">
        <v>46258.084027777775</v>
      </c>
      <c r="S1081" s="68">
        <v>46258.122916666667</v>
      </c>
      <c r="T1081" s="69">
        <f t="shared" si="261"/>
        <v>3.888888889196096E-2</v>
      </c>
      <c r="U1081" s="61"/>
      <c r="V1081" s="83">
        <v>8.3333333333333329E-2</v>
      </c>
      <c r="W1081" s="61">
        <f t="shared" si="262"/>
        <v>-4.4444444441372369E-2</v>
      </c>
      <c r="X1081" s="171">
        <v>46257.952777777777</v>
      </c>
      <c r="Y1081" s="171">
        <v>46259.805555555555</v>
      </c>
      <c r="Z1081" s="168">
        <f t="shared" si="250"/>
        <v>1.8527777777781012</v>
      </c>
      <c r="AA1081" s="169">
        <f t="shared" si="251"/>
        <v>1.9166666666666667</v>
      </c>
      <c r="AB1081" s="170" t="str">
        <f t="shared" si="252"/>
        <v>01:32:00</v>
      </c>
      <c r="AC1081" s="170" t="b">
        <f t="shared" si="253"/>
        <v>1</v>
      </c>
    </row>
    <row r="1082" spans="1:29" s="127" customFormat="1" ht="9.75" hidden="1" customHeight="1" x14ac:dyDescent="0.3">
      <c r="A1082" s="98">
        <v>46257</v>
      </c>
      <c r="B1082" s="48">
        <v>8196386</v>
      </c>
      <c r="C1082" s="49" t="s">
        <v>56</v>
      </c>
      <c r="D1082" s="49" t="s">
        <v>390</v>
      </c>
      <c r="E1082" s="50">
        <v>0.99930555555555556</v>
      </c>
      <c r="F1082" s="49" t="s">
        <v>15</v>
      </c>
      <c r="G1082" s="70" t="s">
        <v>13</v>
      </c>
      <c r="H1082" s="51">
        <v>46257.998611111114</v>
      </c>
      <c r="I1082" s="113" t="str">
        <f t="shared" si="258"/>
        <v>23-08-2026T23:58:00</v>
      </c>
      <c r="J1082" s="51">
        <v>46258.269444444442</v>
      </c>
      <c r="K1082" s="51"/>
      <c r="L1082" s="52">
        <f t="shared" si="259"/>
        <v>0.27083333332848269</v>
      </c>
      <c r="M1082" s="53">
        <v>0.20833333333333334</v>
      </c>
      <c r="N1082" s="54" t="str">
        <f t="shared" si="260"/>
        <v>-01:30:00</v>
      </c>
      <c r="O1082" s="55">
        <v>500</v>
      </c>
      <c r="P1082" s="147" t="s">
        <v>569</v>
      </c>
      <c r="Q1082" s="56"/>
      <c r="R1082" s="57"/>
      <c r="S1082" s="57"/>
      <c r="T1082" s="58">
        <f t="shared" si="261"/>
        <v>0</v>
      </c>
      <c r="U1082" s="50"/>
      <c r="V1082" s="74">
        <v>0</v>
      </c>
      <c r="W1082" s="50">
        <f t="shared" si="262"/>
        <v>0</v>
      </c>
      <c r="X1082" s="171">
        <v>46257.998611111114</v>
      </c>
      <c r="Y1082" s="171">
        <v>46258.269444444442</v>
      </c>
      <c r="Z1082" s="168">
        <f t="shared" si="250"/>
        <v>0.27083333332848269</v>
      </c>
      <c r="AA1082" s="169">
        <f t="shared" si="251"/>
        <v>0.20833333333333334</v>
      </c>
      <c r="AB1082" s="170" t="str">
        <f t="shared" si="252"/>
        <v>-01:30:00</v>
      </c>
      <c r="AC1082" s="170" t="b">
        <f t="shared" si="253"/>
        <v>1</v>
      </c>
    </row>
    <row r="1083" spans="1:29" s="128" customFormat="1" ht="9.75" hidden="1" customHeight="1" x14ac:dyDescent="0.3">
      <c r="A1083" s="99">
        <v>46257</v>
      </c>
      <c r="B1083" s="59">
        <v>8194166</v>
      </c>
      <c r="C1083" s="60" t="s">
        <v>100</v>
      </c>
      <c r="D1083" s="60" t="s">
        <v>391</v>
      </c>
      <c r="E1083" s="61" t="s">
        <v>184</v>
      </c>
      <c r="F1083" s="60" t="s">
        <v>26</v>
      </c>
      <c r="G1083" s="71" t="s">
        <v>13</v>
      </c>
      <c r="H1083" s="62">
        <v>0.1986111111111111</v>
      </c>
      <c r="I1083" s="113" t="str">
        <f t="shared" si="258"/>
        <v>23-08-2026T04:46:00</v>
      </c>
      <c r="J1083" s="62">
        <v>0.63055555555555554</v>
      </c>
      <c r="K1083" s="62"/>
      <c r="L1083" s="63">
        <f t="shared" si="259"/>
        <v>0.43194444444444446</v>
      </c>
      <c r="M1083" s="64">
        <v>0.66666666666666663</v>
      </c>
      <c r="N1083" s="65" t="str">
        <f t="shared" si="260"/>
        <v>05:38:00</v>
      </c>
      <c r="O1083" s="66"/>
      <c r="P1083" s="124" t="s">
        <v>184</v>
      </c>
      <c r="Q1083" s="67" t="s">
        <v>13</v>
      </c>
      <c r="R1083" s="68">
        <v>0.6</v>
      </c>
      <c r="S1083" s="68">
        <v>0.62708333333333333</v>
      </c>
      <c r="T1083" s="69">
        <f t="shared" si="261"/>
        <v>2.7083333333333348E-2</v>
      </c>
      <c r="U1083" s="61"/>
      <c r="V1083" s="83" t="s">
        <v>319</v>
      </c>
      <c r="W1083" s="61" t="e">
        <f t="shared" si="262"/>
        <v>#VALUE!</v>
      </c>
      <c r="X1083" s="171">
        <v>46257.198611111111</v>
      </c>
      <c r="Y1083" s="171">
        <v>46257.630555555559</v>
      </c>
      <c r="Z1083" s="168">
        <f t="shared" si="250"/>
        <v>0.43194444444816327</v>
      </c>
      <c r="AA1083" s="169">
        <f t="shared" si="251"/>
        <v>0.66666666666666663</v>
      </c>
      <c r="AB1083" s="170" t="str">
        <f t="shared" si="252"/>
        <v>05:38:00</v>
      </c>
      <c r="AC1083" s="170" t="b">
        <f t="shared" si="253"/>
        <v>1</v>
      </c>
    </row>
    <row r="1084" spans="1:29" s="127" customFormat="1" ht="9.75" hidden="1" customHeight="1" x14ac:dyDescent="0.3">
      <c r="A1084" s="98">
        <v>46257</v>
      </c>
      <c r="B1084" s="48">
        <v>8194663</v>
      </c>
      <c r="C1084" s="49" t="s">
        <v>22</v>
      </c>
      <c r="D1084" s="49" t="s">
        <v>385</v>
      </c>
      <c r="E1084" s="50" t="s">
        <v>184</v>
      </c>
      <c r="F1084" s="49" t="s">
        <v>13</v>
      </c>
      <c r="G1084" s="70" t="s">
        <v>679</v>
      </c>
      <c r="H1084" s="51">
        <v>46257.355555555558</v>
      </c>
      <c r="I1084" s="113" t="str">
        <f t="shared" si="258"/>
        <v>23-08-2026T08:32:00</v>
      </c>
      <c r="J1084" s="51">
        <v>46259.194444444445</v>
      </c>
      <c r="K1084" s="51"/>
      <c r="L1084" s="52">
        <f t="shared" si="259"/>
        <v>1.8388888888875954</v>
      </c>
      <c r="M1084" s="53">
        <v>1.4583333333333333</v>
      </c>
      <c r="N1084" s="54" t="str">
        <f t="shared" si="260"/>
        <v>-09:08:00</v>
      </c>
      <c r="O1084" s="55"/>
      <c r="P1084" s="147" t="s">
        <v>184</v>
      </c>
      <c r="Q1084" s="56" t="s">
        <v>13</v>
      </c>
      <c r="R1084" s="57" t="s">
        <v>372</v>
      </c>
      <c r="S1084" s="57" t="s">
        <v>372</v>
      </c>
      <c r="T1084" s="58" t="e">
        <f t="shared" si="261"/>
        <v>#VALUE!</v>
      </c>
      <c r="U1084" s="50"/>
      <c r="V1084" s="74" t="s">
        <v>393</v>
      </c>
      <c r="W1084" s="50" t="e">
        <f t="shared" si="262"/>
        <v>#VALUE!</v>
      </c>
      <c r="X1084" s="171">
        <v>46257.355555555558</v>
      </c>
      <c r="Y1084" s="171">
        <v>46259.194444444445</v>
      </c>
      <c r="Z1084" s="168">
        <f t="shared" si="250"/>
        <v>1.8388888888875954</v>
      </c>
      <c r="AA1084" s="169">
        <f t="shared" si="251"/>
        <v>1.4583333333333333</v>
      </c>
      <c r="AB1084" s="170" t="str">
        <f t="shared" si="252"/>
        <v>-09:08:00</v>
      </c>
      <c r="AC1084" s="170" t="b">
        <f t="shared" si="253"/>
        <v>1</v>
      </c>
    </row>
    <row r="1085" spans="1:29" ht="9.75" hidden="1" customHeight="1" x14ac:dyDescent="0.3">
      <c r="A1085" s="149">
        <v>46256</v>
      </c>
      <c r="B1085" s="150" t="s">
        <v>759</v>
      </c>
      <c r="C1085" s="151" t="s">
        <v>25</v>
      </c>
      <c r="D1085" s="151" t="s">
        <v>760</v>
      </c>
      <c r="E1085" s="152">
        <v>0</v>
      </c>
      <c r="F1085" s="151"/>
      <c r="G1085" s="153"/>
      <c r="H1085" s="154">
        <v>0</v>
      </c>
      <c r="I1085" s="113" t="str">
        <f t="shared" si="258"/>
        <v>22-08-2026T00:00:00</v>
      </c>
      <c r="J1085" s="154">
        <v>0</v>
      </c>
      <c r="K1085" s="154"/>
      <c r="L1085" s="155">
        <v>0</v>
      </c>
      <c r="M1085" s="160">
        <v>0</v>
      </c>
      <c r="N1085" s="156">
        <v>0</v>
      </c>
      <c r="O1085" s="157"/>
      <c r="P1085" s="158" t="s">
        <v>480</v>
      </c>
      <c r="Q1085" s="159" t="s">
        <v>480</v>
      </c>
      <c r="R1085" s="148" t="s">
        <v>480</v>
      </c>
      <c r="S1085" s="148" t="s">
        <v>480</v>
      </c>
      <c r="T1085" s="161" t="s">
        <v>480</v>
      </c>
      <c r="U1085" s="152" t="s">
        <v>480</v>
      </c>
      <c r="V1085" s="146" t="s">
        <v>480</v>
      </c>
      <c r="W1085" s="152" t="s">
        <v>480</v>
      </c>
      <c r="X1085" s="171" t="s">
        <v>668</v>
      </c>
      <c r="Y1085" s="171" t="s">
        <v>668</v>
      </c>
      <c r="Z1085" s="168" t="e">
        <f t="shared" ref="Z1085" si="264">Y1085-X1085</f>
        <v>#VALUE!</v>
      </c>
      <c r="AA1085" s="169">
        <f t="shared" si="251"/>
        <v>0</v>
      </c>
      <c r="AB1085" s="170" t="e">
        <f t="shared" ref="AB1085" si="265">IF(AA1085-Z1085&gt;0,TEXT(AA1085-Z1085,"HH:MM:SS"),TEXT(ABS(AA1085-Z1085),"-HH:MM:SS"))</f>
        <v>#VALUE!</v>
      </c>
      <c r="AC1085" s="170" t="e">
        <f t="shared" ref="AC1085" si="266">AB1085=N1085</f>
        <v>#VALUE!</v>
      </c>
    </row>
    <row r="1086" spans="1:29" s="144" customFormat="1" ht="9.75" hidden="1" customHeight="1" x14ac:dyDescent="0.3">
      <c r="A1086" s="129">
        <v>46258</v>
      </c>
      <c r="B1086" s="130">
        <v>8196464</v>
      </c>
      <c r="C1086" s="131" t="s">
        <v>25</v>
      </c>
      <c r="D1086" s="131" t="s">
        <v>692</v>
      </c>
      <c r="E1086" s="132">
        <v>6.25E-2</v>
      </c>
      <c r="F1086" s="131" t="s">
        <v>13</v>
      </c>
      <c r="G1086" s="133" t="s">
        <v>26</v>
      </c>
      <c r="H1086" s="134">
        <v>6.3888888888888884E-2</v>
      </c>
      <c r="I1086" s="113" t="str">
        <f t="shared" si="258"/>
        <v>24-08-2026T01:32:00</v>
      </c>
      <c r="J1086" s="134">
        <v>0.55277777777777781</v>
      </c>
      <c r="K1086" s="134"/>
      <c r="L1086" s="135">
        <f t="shared" si="259"/>
        <v>0.48888888888888893</v>
      </c>
      <c r="M1086" s="136">
        <v>0.41666666666666669</v>
      </c>
      <c r="N1086" s="137" t="str">
        <f t="shared" si="260"/>
        <v>-01:44:00</v>
      </c>
      <c r="O1086" s="138"/>
      <c r="P1086" s="145" t="s">
        <v>125</v>
      </c>
      <c r="Q1086" s="140" t="s">
        <v>312</v>
      </c>
      <c r="R1086" s="141">
        <v>0.25</v>
      </c>
      <c r="S1086" s="141">
        <v>0.38333333333333336</v>
      </c>
      <c r="T1086" s="142">
        <f t="shared" si="261"/>
        <v>0.13333333333333336</v>
      </c>
      <c r="U1086" s="132" t="s">
        <v>234</v>
      </c>
      <c r="V1086" s="143">
        <v>4.1666666666666664E-2</v>
      </c>
      <c r="W1086" s="132">
        <f t="shared" si="262"/>
        <v>9.1666666666666702E-2</v>
      </c>
      <c r="X1086" s="171">
        <v>46258.063888888886</v>
      </c>
      <c r="Y1086" s="171">
        <v>46258.552777777775</v>
      </c>
      <c r="Z1086" s="168">
        <f t="shared" ref="Z1086:Z1149" si="267">Y1086-X1086</f>
        <v>0.48888888888905058</v>
      </c>
      <c r="AA1086" s="169">
        <f t="shared" ref="AA1086:AA1149" si="268">M1086</f>
        <v>0.41666666666666669</v>
      </c>
      <c r="AB1086" s="170" t="str">
        <f t="shared" ref="AB1086:AB1149" si="269">IF(AA1086-Z1086&gt;0,TEXT(AA1086-Z1086,"HH:MM:SS"),TEXT(ABS(AA1086-Z1086),"-HH:MM:SS"))</f>
        <v>-01:44:00</v>
      </c>
      <c r="AC1086" s="170" t="b">
        <f t="shared" ref="AC1086:AC1149" si="270">AB1086=N1086</f>
        <v>1</v>
      </c>
    </row>
    <row r="1087" spans="1:29" s="128" customFormat="1" ht="9.75" hidden="1" customHeight="1" x14ac:dyDescent="0.3">
      <c r="A1087" s="99">
        <v>46258</v>
      </c>
      <c r="B1087" s="59">
        <v>8196523</v>
      </c>
      <c r="C1087" s="60" t="s">
        <v>18</v>
      </c>
      <c r="D1087" s="60" t="s">
        <v>389</v>
      </c>
      <c r="E1087" s="61">
        <v>8.3333333333333329E-2</v>
      </c>
      <c r="F1087" s="60" t="s">
        <v>13</v>
      </c>
      <c r="G1087" s="71" t="s">
        <v>19</v>
      </c>
      <c r="H1087" s="62">
        <v>8.4722222222222227E-2</v>
      </c>
      <c r="I1087" s="113" t="str">
        <f t="shared" si="258"/>
        <v>24-08-2026T02:02:00</v>
      </c>
      <c r="J1087" s="62">
        <v>0.5</v>
      </c>
      <c r="K1087" s="62"/>
      <c r="L1087" s="63">
        <f t="shared" si="259"/>
        <v>0.41527777777777775</v>
      </c>
      <c r="M1087" s="64">
        <v>0.41666666666666669</v>
      </c>
      <c r="N1087" s="65" t="str">
        <f t="shared" si="260"/>
        <v>00:02:00</v>
      </c>
      <c r="O1087" s="66"/>
      <c r="P1087" s="124"/>
      <c r="Q1087" s="67" t="s">
        <v>229</v>
      </c>
      <c r="R1087" s="68">
        <v>0.35416666666666669</v>
      </c>
      <c r="S1087" s="68">
        <v>0.40972222222222221</v>
      </c>
      <c r="T1087" s="69">
        <f t="shared" si="261"/>
        <v>5.5555555555555525E-2</v>
      </c>
      <c r="U1087" s="61"/>
      <c r="V1087" s="83">
        <v>6.25E-2</v>
      </c>
      <c r="W1087" s="61">
        <f t="shared" si="262"/>
        <v>-6.9444444444444753E-3</v>
      </c>
      <c r="X1087" s="171">
        <v>46258.084722222222</v>
      </c>
      <c r="Y1087" s="171">
        <v>46258.5</v>
      </c>
      <c r="Z1087" s="168">
        <f t="shared" si="267"/>
        <v>0.41527777777810115</v>
      </c>
      <c r="AA1087" s="169">
        <f t="shared" si="268"/>
        <v>0.41666666666666669</v>
      </c>
      <c r="AB1087" s="170" t="str">
        <f t="shared" si="269"/>
        <v>00:02:00</v>
      </c>
      <c r="AC1087" s="170" t="b">
        <f t="shared" si="270"/>
        <v>1</v>
      </c>
    </row>
    <row r="1088" spans="1:29" s="128" customFormat="1" ht="9.75" hidden="1" customHeight="1" x14ac:dyDescent="0.3">
      <c r="A1088" s="99">
        <v>46258</v>
      </c>
      <c r="B1088" s="59">
        <v>8196507</v>
      </c>
      <c r="C1088" s="60" t="s">
        <v>29</v>
      </c>
      <c r="D1088" s="60" t="s">
        <v>373</v>
      </c>
      <c r="E1088" s="61">
        <v>8.3333333333333329E-2</v>
      </c>
      <c r="F1088" s="60" t="s">
        <v>15</v>
      </c>
      <c r="G1088" s="71" t="s">
        <v>17</v>
      </c>
      <c r="H1088" s="62">
        <v>8.1250000000000003E-2</v>
      </c>
      <c r="I1088" s="113" t="str">
        <f t="shared" si="258"/>
        <v>24-08-2026T01:57:00</v>
      </c>
      <c r="J1088" s="62">
        <v>0.49236111111111114</v>
      </c>
      <c r="K1088" s="62"/>
      <c r="L1088" s="63">
        <f t="shared" si="259"/>
        <v>0.41111111111111115</v>
      </c>
      <c r="M1088" s="64">
        <v>0.41666666666666669</v>
      </c>
      <c r="N1088" s="65" t="str">
        <f t="shared" si="260"/>
        <v>00:08:00</v>
      </c>
      <c r="O1088" s="66"/>
      <c r="P1088" s="124"/>
      <c r="Q1088" s="67"/>
      <c r="R1088" s="68"/>
      <c r="S1088" s="68"/>
      <c r="T1088" s="69">
        <f t="shared" si="261"/>
        <v>0</v>
      </c>
      <c r="U1088" s="61" t="s">
        <v>234</v>
      </c>
      <c r="V1088" s="83">
        <v>0</v>
      </c>
      <c r="W1088" s="61">
        <f t="shared" si="262"/>
        <v>0</v>
      </c>
      <c r="X1088" s="171">
        <v>8.1250000000000003E-2</v>
      </c>
      <c r="Y1088" s="171">
        <v>0.49236111111111114</v>
      </c>
      <c r="Z1088" s="168">
        <f t="shared" si="267"/>
        <v>0.41111111111111115</v>
      </c>
      <c r="AA1088" s="169">
        <f t="shared" si="268"/>
        <v>0.41666666666666669</v>
      </c>
      <c r="AB1088" s="170" t="str">
        <f t="shared" si="269"/>
        <v>00:08:00</v>
      </c>
      <c r="AC1088" s="170" t="b">
        <f t="shared" si="270"/>
        <v>1</v>
      </c>
    </row>
    <row r="1089" spans="1:29" s="128" customFormat="1" ht="9.75" hidden="1" customHeight="1" x14ac:dyDescent="0.3">
      <c r="A1089" s="99">
        <v>46258</v>
      </c>
      <c r="B1089" s="59">
        <v>8196636</v>
      </c>
      <c r="C1089" s="60" t="s">
        <v>102</v>
      </c>
      <c r="D1089" s="60" t="s">
        <v>384</v>
      </c>
      <c r="E1089" s="61">
        <v>0.125</v>
      </c>
      <c r="F1089" s="60" t="s">
        <v>23</v>
      </c>
      <c r="G1089" s="71" t="s">
        <v>13</v>
      </c>
      <c r="H1089" s="62">
        <v>46258.142361111109</v>
      </c>
      <c r="I1089" s="113" t="str">
        <f t="shared" si="258"/>
        <v>24-08-2026T03:25:00</v>
      </c>
      <c r="J1089" s="62">
        <v>46259.35833333333</v>
      </c>
      <c r="K1089" s="62"/>
      <c r="L1089" s="63">
        <f t="shared" ref="L1089:L1101" si="271">J1089-H1089</f>
        <v>1.2159722222204437</v>
      </c>
      <c r="M1089" s="64">
        <v>1.0833333333333333</v>
      </c>
      <c r="N1089" s="65" t="str">
        <f t="shared" ref="N1089:N1101" si="272">IF(M1089-L1089&gt;0,TEXT(M1089-L1089,"HH:MM:SS"),TEXT(ABS(M1089-L1089),"-HH:MM:SS"))</f>
        <v>-03:11:00</v>
      </c>
      <c r="O1089" s="66"/>
      <c r="P1089" s="124" t="s">
        <v>700</v>
      </c>
      <c r="Q1089" s="67" t="s">
        <v>13</v>
      </c>
      <c r="R1089" s="68">
        <v>46259.293055555558</v>
      </c>
      <c r="S1089" s="68">
        <v>46259.354166666664</v>
      </c>
      <c r="T1089" s="69">
        <f t="shared" ref="T1089:T1101" si="273">S1089-R1089</f>
        <v>6.1111111106583849E-2</v>
      </c>
      <c r="U1089" s="61"/>
      <c r="V1089" s="83">
        <v>8.3333333333333329E-2</v>
      </c>
      <c r="W1089" s="61">
        <f t="shared" ref="W1089:W1101" si="274">T1089-V1089</f>
        <v>-2.222222222674948E-2</v>
      </c>
      <c r="X1089" s="172">
        <v>46258.142361111109</v>
      </c>
      <c r="Y1089" s="172">
        <v>46259.35833333333</v>
      </c>
      <c r="Z1089" s="173">
        <f t="shared" si="267"/>
        <v>1.2159722222204437</v>
      </c>
      <c r="AA1089" s="174">
        <f t="shared" si="268"/>
        <v>1.0833333333333333</v>
      </c>
      <c r="AB1089" s="175" t="str">
        <f t="shared" si="269"/>
        <v>-03:11:00</v>
      </c>
      <c r="AC1089" s="175" t="b">
        <f t="shared" si="270"/>
        <v>1</v>
      </c>
    </row>
    <row r="1090" spans="1:29" s="128" customFormat="1" ht="9.75" hidden="1" customHeight="1" x14ac:dyDescent="0.3">
      <c r="A1090" s="99">
        <v>46258</v>
      </c>
      <c r="B1090" s="59">
        <v>8196572</v>
      </c>
      <c r="C1090" s="60" t="s">
        <v>57</v>
      </c>
      <c r="D1090" s="60" t="s">
        <v>232</v>
      </c>
      <c r="E1090" s="61">
        <v>0.125</v>
      </c>
      <c r="F1090" s="60" t="s">
        <v>24</v>
      </c>
      <c r="G1090" s="71" t="s">
        <v>13</v>
      </c>
      <c r="H1090" s="62">
        <v>0.12013888888888889</v>
      </c>
      <c r="I1090" s="113" t="str">
        <f t="shared" si="258"/>
        <v>24-08-2026T02:53:00</v>
      </c>
      <c r="J1090" s="62">
        <v>0.19652777777777777</v>
      </c>
      <c r="K1090" s="62"/>
      <c r="L1090" s="63">
        <f t="shared" si="271"/>
        <v>7.6388888888888881E-2</v>
      </c>
      <c r="M1090" s="64">
        <v>8.3333333333333329E-2</v>
      </c>
      <c r="N1090" s="65" t="str">
        <f t="shared" si="272"/>
        <v>00:10:00</v>
      </c>
      <c r="O1090" s="66"/>
      <c r="P1090" s="124"/>
      <c r="Q1090" s="67"/>
      <c r="R1090" s="68"/>
      <c r="S1090" s="68"/>
      <c r="T1090" s="69">
        <f t="shared" si="273"/>
        <v>0</v>
      </c>
      <c r="U1090" s="61"/>
      <c r="V1090" s="83">
        <v>0</v>
      </c>
      <c r="W1090" s="61">
        <f t="shared" si="274"/>
        <v>0</v>
      </c>
      <c r="X1090" s="171">
        <v>46258.120138888888</v>
      </c>
      <c r="Y1090" s="171">
        <v>46258.196527777778</v>
      </c>
      <c r="Z1090" s="168">
        <f t="shared" si="267"/>
        <v>7.6388888890505768E-2</v>
      </c>
      <c r="AA1090" s="169">
        <f t="shared" si="268"/>
        <v>8.3333333333333329E-2</v>
      </c>
      <c r="AB1090" s="170" t="str">
        <f t="shared" si="269"/>
        <v>00:10:00</v>
      </c>
      <c r="AC1090" s="170" t="b">
        <f t="shared" si="270"/>
        <v>1</v>
      </c>
    </row>
    <row r="1091" spans="1:29" s="128" customFormat="1" ht="9.75" hidden="1" customHeight="1" x14ac:dyDescent="0.3">
      <c r="A1091" s="99">
        <v>46258</v>
      </c>
      <c r="B1091" s="59">
        <v>8196739</v>
      </c>
      <c r="C1091" s="60" t="s">
        <v>54</v>
      </c>
      <c r="D1091" s="60" t="s">
        <v>288</v>
      </c>
      <c r="E1091" s="61">
        <v>0.16666666666666666</v>
      </c>
      <c r="F1091" s="60" t="s">
        <v>13</v>
      </c>
      <c r="G1091" s="71" t="s">
        <v>24</v>
      </c>
      <c r="H1091" s="62">
        <v>0.17222222222222222</v>
      </c>
      <c r="I1091" s="113" t="str">
        <f t="shared" si="258"/>
        <v>24-08-2026T04:08:00</v>
      </c>
      <c r="J1091" s="62">
        <v>0.24652777777777779</v>
      </c>
      <c r="K1091" s="62"/>
      <c r="L1091" s="63">
        <f t="shared" si="271"/>
        <v>7.4305555555555569E-2</v>
      </c>
      <c r="M1091" s="64">
        <v>8.3333333333333329E-2</v>
      </c>
      <c r="N1091" s="65" t="str">
        <f t="shared" si="272"/>
        <v>00:13:00</v>
      </c>
      <c r="O1091" s="66"/>
      <c r="P1091" s="124"/>
      <c r="Q1091" s="67"/>
      <c r="R1091" s="68"/>
      <c r="S1091" s="68"/>
      <c r="T1091" s="69">
        <f t="shared" si="273"/>
        <v>0</v>
      </c>
      <c r="U1091" s="61"/>
      <c r="V1091" s="83">
        <v>0</v>
      </c>
      <c r="W1091" s="61">
        <f t="shared" si="274"/>
        <v>0</v>
      </c>
      <c r="X1091" s="171">
        <v>46258.172222222223</v>
      </c>
      <c r="Y1091" s="171">
        <v>46258.246527777781</v>
      </c>
      <c r="Z1091" s="168">
        <f t="shared" si="267"/>
        <v>7.4305555557657499E-2</v>
      </c>
      <c r="AA1091" s="169">
        <f t="shared" si="268"/>
        <v>8.3333333333333329E-2</v>
      </c>
      <c r="AB1091" s="170" t="str">
        <f t="shared" si="269"/>
        <v>00:13:00</v>
      </c>
      <c r="AC1091" s="170" t="b">
        <f t="shared" si="270"/>
        <v>1</v>
      </c>
    </row>
    <row r="1092" spans="1:29" s="128" customFormat="1" ht="9.75" hidden="1" customHeight="1" x14ac:dyDescent="0.3">
      <c r="A1092" s="99">
        <v>46258</v>
      </c>
      <c r="B1092" s="59">
        <v>8196696</v>
      </c>
      <c r="C1092" s="60" t="s">
        <v>16</v>
      </c>
      <c r="D1092" s="60" t="s">
        <v>285</v>
      </c>
      <c r="E1092" s="61">
        <v>0.16666666666666666</v>
      </c>
      <c r="F1092" s="60" t="s">
        <v>17</v>
      </c>
      <c r="G1092" s="71" t="s">
        <v>15</v>
      </c>
      <c r="H1092" s="62">
        <v>0.16250000000000001</v>
      </c>
      <c r="I1092" s="113" t="str">
        <f t="shared" ref="I1092:I1155" si="275">TEXT(A1092,"dd-mm-yyyy")&amp;"T"&amp;TEXT(H1092,"hh:mm:ss")</f>
        <v>24-08-2026T03:54:00</v>
      </c>
      <c r="J1092" s="62">
        <v>0.65277777777777779</v>
      </c>
      <c r="K1092" s="62"/>
      <c r="L1092" s="63">
        <f t="shared" si="271"/>
        <v>0.49027777777777781</v>
      </c>
      <c r="M1092" s="64">
        <v>0.5</v>
      </c>
      <c r="N1092" s="65" t="str">
        <f t="shared" si="272"/>
        <v>00:14:00</v>
      </c>
      <c r="O1092" s="66"/>
      <c r="P1092" s="124"/>
      <c r="Q1092" s="67" t="s">
        <v>98</v>
      </c>
      <c r="R1092" s="68">
        <v>0.375</v>
      </c>
      <c r="S1092" s="68">
        <v>0.45347222222222222</v>
      </c>
      <c r="T1092" s="69">
        <f t="shared" si="273"/>
        <v>7.8472222222222221E-2</v>
      </c>
      <c r="U1092" s="61"/>
      <c r="V1092" s="83">
        <v>8.3333333333333329E-2</v>
      </c>
      <c r="W1092" s="61">
        <f t="shared" si="274"/>
        <v>-4.8611111111111077E-3</v>
      </c>
      <c r="X1092" s="171">
        <v>0.16250000000000001</v>
      </c>
      <c r="Y1092" s="171">
        <v>0.65277777777777779</v>
      </c>
      <c r="Z1092" s="168">
        <f t="shared" si="267"/>
        <v>0.49027777777777781</v>
      </c>
      <c r="AA1092" s="169">
        <f t="shared" si="268"/>
        <v>0.5</v>
      </c>
      <c r="AB1092" s="170" t="str">
        <f t="shared" si="269"/>
        <v>00:14:00</v>
      </c>
      <c r="AC1092" s="170" t="b">
        <f t="shared" si="270"/>
        <v>1</v>
      </c>
    </row>
    <row r="1093" spans="1:29" s="128" customFormat="1" ht="9.75" hidden="1" customHeight="1" x14ac:dyDescent="0.3">
      <c r="A1093" s="99">
        <v>46258</v>
      </c>
      <c r="B1093" s="59">
        <v>8196653</v>
      </c>
      <c r="C1093" s="60" t="s">
        <v>40</v>
      </c>
      <c r="D1093" s="60" t="s">
        <v>460</v>
      </c>
      <c r="E1093" s="61">
        <v>0.16666666666666666</v>
      </c>
      <c r="F1093" s="60" t="s">
        <v>31</v>
      </c>
      <c r="G1093" s="71" t="s">
        <v>13</v>
      </c>
      <c r="H1093" s="62">
        <v>0.14791666666666667</v>
      </c>
      <c r="I1093" s="113" t="str">
        <f t="shared" si="275"/>
        <v>24-08-2026T03:33:00</v>
      </c>
      <c r="J1093" s="62">
        <v>0.78819444444444442</v>
      </c>
      <c r="K1093" s="62"/>
      <c r="L1093" s="63">
        <f t="shared" si="271"/>
        <v>0.64027777777777772</v>
      </c>
      <c r="M1093" s="64">
        <v>0.70833333333333337</v>
      </c>
      <c r="N1093" s="65" t="str">
        <f t="shared" si="272"/>
        <v>01:38:00</v>
      </c>
      <c r="O1093" s="66"/>
      <c r="P1093" s="124"/>
      <c r="Q1093" s="67" t="s">
        <v>13</v>
      </c>
      <c r="R1093" s="68">
        <v>0.75069444444444444</v>
      </c>
      <c r="S1093" s="68">
        <v>0.78472222222222221</v>
      </c>
      <c r="T1093" s="69">
        <f t="shared" si="273"/>
        <v>3.4027777777777768E-2</v>
      </c>
      <c r="U1093" s="61"/>
      <c r="V1093" s="83">
        <v>8.3333333333333329E-2</v>
      </c>
      <c r="W1093" s="61">
        <f t="shared" si="274"/>
        <v>-4.9305555555555561E-2</v>
      </c>
      <c r="X1093" s="172">
        <v>46258.147916666669</v>
      </c>
      <c r="Y1093" s="172">
        <v>46258.788194444445</v>
      </c>
      <c r="Z1093" s="173">
        <f t="shared" si="267"/>
        <v>0.64027777777664596</v>
      </c>
      <c r="AA1093" s="174">
        <f t="shared" si="268"/>
        <v>0.70833333333333337</v>
      </c>
      <c r="AB1093" s="175" t="str">
        <f t="shared" si="269"/>
        <v>01:38:00</v>
      </c>
      <c r="AC1093" s="175" t="b">
        <f t="shared" si="270"/>
        <v>1</v>
      </c>
    </row>
    <row r="1094" spans="1:29" s="128" customFormat="1" ht="9.75" hidden="1" customHeight="1" x14ac:dyDescent="0.3">
      <c r="A1094" s="99">
        <v>46258</v>
      </c>
      <c r="B1094" s="59">
        <v>8196760</v>
      </c>
      <c r="C1094" s="60" t="s">
        <v>27</v>
      </c>
      <c r="D1094" s="60" t="s">
        <v>378</v>
      </c>
      <c r="E1094" s="61">
        <v>0.16666666666666666</v>
      </c>
      <c r="F1094" s="60" t="s">
        <v>13</v>
      </c>
      <c r="G1094" s="71" t="s">
        <v>28</v>
      </c>
      <c r="H1094" s="62">
        <v>0.17986111111111111</v>
      </c>
      <c r="I1094" s="113" t="str">
        <f t="shared" si="275"/>
        <v>24-08-2026T04:19:00</v>
      </c>
      <c r="J1094" s="62">
        <v>0.34027777777777779</v>
      </c>
      <c r="K1094" s="62"/>
      <c r="L1094" s="63">
        <f t="shared" si="271"/>
        <v>0.16041666666666668</v>
      </c>
      <c r="M1094" s="64">
        <v>0.16666666666666666</v>
      </c>
      <c r="N1094" s="65" t="str">
        <f t="shared" si="272"/>
        <v>00:09:00</v>
      </c>
      <c r="O1094" s="66"/>
      <c r="P1094" s="124"/>
      <c r="Q1094" s="67"/>
      <c r="R1094" s="68"/>
      <c r="S1094" s="68"/>
      <c r="T1094" s="69">
        <f t="shared" si="273"/>
        <v>0</v>
      </c>
      <c r="U1094" s="61"/>
      <c r="V1094" s="83">
        <v>0</v>
      </c>
      <c r="W1094" s="61">
        <f t="shared" si="274"/>
        <v>0</v>
      </c>
      <c r="X1094" s="171">
        <v>46258.179861111108</v>
      </c>
      <c r="Y1094" s="171">
        <v>46258.340277777781</v>
      </c>
      <c r="Z1094" s="168">
        <f t="shared" si="267"/>
        <v>0.1604166666729725</v>
      </c>
      <c r="AA1094" s="169">
        <f t="shared" si="268"/>
        <v>0.16666666666666666</v>
      </c>
      <c r="AB1094" s="170" t="str">
        <f t="shared" si="269"/>
        <v>00:09:00</v>
      </c>
      <c r="AC1094" s="170" t="b">
        <f t="shared" si="270"/>
        <v>1</v>
      </c>
    </row>
    <row r="1095" spans="1:29" s="128" customFormat="1" ht="9.75" hidden="1" customHeight="1" x14ac:dyDescent="0.3">
      <c r="A1095" s="99">
        <v>46258</v>
      </c>
      <c r="B1095" s="59">
        <v>8196900</v>
      </c>
      <c r="C1095" s="60" t="s">
        <v>32</v>
      </c>
      <c r="D1095" s="60" t="s">
        <v>476</v>
      </c>
      <c r="E1095" s="61">
        <v>0.20833333333333334</v>
      </c>
      <c r="F1095" s="60" t="s">
        <v>13</v>
      </c>
      <c r="G1095" s="71" t="s">
        <v>287</v>
      </c>
      <c r="H1095" s="62">
        <v>0.21111111111111111</v>
      </c>
      <c r="I1095" s="113" t="str">
        <f t="shared" si="275"/>
        <v>24-08-2026T05:04:00</v>
      </c>
      <c r="J1095" s="62">
        <v>0.35069444444444442</v>
      </c>
      <c r="K1095" s="62"/>
      <c r="L1095" s="63">
        <f t="shared" si="271"/>
        <v>0.13958333333333331</v>
      </c>
      <c r="M1095" s="64">
        <v>0.14583333333333334</v>
      </c>
      <c r="N1095" s="65" t="str">
        <f t="shared" si="272"/>
        <v>00:09:00</v>
      </c>
      <c r="O1095" s="66"/>
      <c r="P1095" s="124"/>
      <c r="Q1095" s="67"/>
      <c r="R1095" s="68"/>
      <c r="S1095" s="68"/>
      <c r="T1095" s="69">
        <f t="shared" si="273"/>
        <v>0</v>
      </c>
      <c r="U1095" s="61"/>
      <c r="V1095" s="83">
        <v>0</v>
      </c>
      <c r="W1095" s="61">
        <f t="shared" si="274"/>
        <v>0</v>
      </c>
      <c r="X1095" s="171">
        <v>46258.211111111108</v>
      </c>
      <c r="Y1095" s="171">
        <v>46258.350694444445</v>
      </c>
      <c r="Z1095" s="168">
        <f t="shared" si="267"/>
        <v>0.13958333333721384</v>
      </c>
      <c r="AA1095" s="169">
        <f t="shared" si="268"/>
        <v>0.14583333333333334</v>
      </c>
      <c r="AB1095" s="170" t="str">
        <f t="shared" si="269"/>
        <v>00:09:00</v>
      </c>
      <c r="AC1095" s="170" t="b">
        <f t="shared" si="270"/>
        <v>1</v>
      </c>
    </row>
    <row r="1096" spans="1:29" s="128" customFormat="1" ht="9.75" hidden="1" customHeight="1" x14ac:dyDescent="0.3">
      <c r="A1096" s="99">
        <v>46258</v>
      </c>
      <c r="B1096" s="59">
        <v>8196798</v>
      </c>
      <c r="C1096" s="60" t="s">
        <v>82</v>
      </c>
      <c r="D1096" s="60" t="s">
        <v>333</v>
      </c>
      <c r="E1096" s="61">
        <v>0.20833333333333334</v>
      </c>
      <c r="F1096" s="60" t="s">
        <v>26</v>
      </c>
      <c r="G1096" s="71" t="s">
        <v>13</v>
      </c>
      <c r="H1096" s="62">
        <v>0.19097222222222221</v>
      </c>
      <c r="I1096" s="113" t="str">
        <f t="shared" si="275"/>
        <v>24-08-2026T04:35:00</v>
      </c>
      <c r="J1096" s="62">
        <v>0.60069444444444442</v>
      </c>
      <c r="K1096" s="62"/>
      <c r="L1096" s="63">
        <f t="shared" si="271"/>
        <v>0.40972222222222221</v>
      </c>
      <c r="M1096" s="64">
        <v>0.45833333333333331</v>
      </c>
      <c r="N1096" s="65" t="str">
        <f t="shared" si="272"/>
        <v>01:10:00</v>
      </c>
      <c r="O1096" s="66"/>
      <c r="P1096" s="124"/>
      <c r="Q1096" s="67" t="s">
        <v>13</v>
      </c>
      <c r="R1096" s="68">
        <v>0.55347222222222225</v>
      </c>
      <c r="S1096" s="68">
        <v>0.59791666666666665</v>
      </c>
      <c r="T1096" s="69">
        <f t="shared" si="273"/>
        <v>4.4444444444444398E-2</v>
      </c>
      <c r="U1096" s="61"/>
      <c r="V1096" s="83">
        <v>8.3333333333333329E-2</v>
      </c>
      <c r="W1096" s="61">
        <f t="shared" si="274"/>
        <v>-3.8888888888888931E-2</v>
      </c>
      <c r="X1096" s="171">
        <v>46258.190972222219</v>
      </c>
      <c r="Y1096" s="171">
        <v>46258.600694444445</v>
      </c>
      <c r="Z1096" s="168">
        <f t="shared" si="267"/>
        <v>0.40972222222626442</v>
      </c>
      <c r="AA1096" s="169">
        <f t="shared" si="268"/>
        <v>0.45833333333333331</v>
      </c>
      <c r="AB1096" s="170" t="str">
        <f t="shared" si="269"/>
        <v>01:10:00</v>
      </c>
      <c r="AC1096" s="170" t="b">
        <f t="shared" si="270"/>
        <v>1</v>
      </c>
    </row>
    <row r="1097" spans="1:29" s="128" customFormat="1" ht="9.75" hidden="1" customHeight="1" x14ac:dyDescent="0.3">
      <c r="A1097" s="99">
        <v>46258</v>
      </c>
      <c r="B1097" s="59">
        <v>8197057</v>
      </c>
      <c r="C1097" s="60" t="s">
        <v>58</v>
      </c>
      <c r="D1097" s="60" t="s">
        <v>591</v>
      </c>
      <c r="E1097" s="61">
        <v>0.25</v>
      </c>
      <c r="F1097" s="60" t="s">
        <v>14</v>
      </c>
      <c r="G1097" s="71" t="s">
        <v>13</v>
      </c>
      <c r="H1097" s="62">
        <v>0.25</v>
      </c>
      <c r="I1097" s="113" t="str">
        <f t="shared" si="275"/>
        <v>24-08-2026T06:00:00</v>
      </c>
      <c r="J1097" s="62">
        <v>0.89444444444444449</v>
      </c>
      <c r="K1097" s="62"/>
      <c r="L1097" s="63">
        <f t="shared" si="271"/>
        <v>0.64444444444444449</v>
      </c>
      <c r="M1097" s="64">
        <v>0.54166666666666663</v>
      </c>
      <c r="N1097" s="65" t="str">
        <f t="shared" si="272"/>
        <v>-02:28:00</v>
      </c>
      <c r="O1097" s="66"/>
      <c r="P1097" s="124" t="s">
        <v>702</v>
      </c>
      <c r="Q1097" s="67"/>
      <c r="R1097" s="68"/>
      <c r="S1097" s="68"/>
      <c r="T1097" s="69">
        <f t="shared" si="273"/>
        <v>0</v>
      </c>
      <c r="U1097" s="61"/>
      <c r="V1097" s="83">
        <v>0</v>
      </c>
      <c r="W1097" s="61">
        <f t="shared" si="274"/>
        <v>0</v>
      </c>
      <c r="X1097" s="172">
        <v>46258.25</v>
      </c>
      <c r="Y1097" s="172">
        <v>46258.894444444442</v>
      </c>
      <c r="Z1097" s="173">
        <f t="shared" si="267"/>
        <v>0.6444444444423425</v>
      </c>
      <c r="AA1097" s="174">
        <f t="shared" si="268"/>
        <v>0.54166666666666663</v>
      </c>
      <c r="AB1097" s="175" t="str">
        <f t="shared" si="269"/>
        <v>-02:28:00</v>
      </c>
      <c r="AC1097" s="175" t="b">
        <f t="shared" si="270"/>
        <v>1</v>
      </c>
    </row>
    <row r="1098" spans="1:29" s="128" customFormat="1" ht="9.75" hidden="1" customHeight="1" x14ac:dyDescent="0.3">
      <c r="A1098" s="99">
        <v>46258</v>
      </c>
      <c r="B1098" s="59">
        <v>8197113</v>
      </c>
      <c r="C1098" s="60" t="s">
        <v>89</v>
      </c>
      <c r="D1098" s="60" t="s">
        <v>294</v>
      </c>
      <c r="E1098" s="61">
        <v>0.25</v>
      </c>
      <c r="F1098" s="60" t="s">
        <v>13</v>
      </c>
      <c r="G1098" s="71" t="s">
        <v>35</v>
      </c>
      <c r="H1098" s="62">
        <v>0.2673611111111111</v>
      </c>
      <c r="I1098" s="113" t="str">
        <f t="shared" si="275"/>
        <v>24-08-2026T06:25:00</v>
      </c>
      <c r="J1098" s="62">
        <v>0.30208333333333331</v>
      </c>
      <c r="K1098" s="62"/>
      <c r="L1098" s="63">
        <f t="shared" si="271"/>
        <v>3.472222222222221E-2</v>
      </c>
      <c r="M1098" s="64">
        <v>4.1666666666666664E-2</v>
      </c>
      <c r="N1098" s="65" t="str">
        <f t="shared" si="272"/>
        <v>00:10:00</v>
      </c>
      <c r="O1098" s="66"/>
      <c r="P1098" s="124"/>
      <c r="Q1098" s="67"/>
      <c r="R1098" s="68"/>
      <c r="S1098" s="68"/>
      <c r="T1098" s="69">
        <f t="shared" si="273"/>
        <v>0</v>
      </c>
      <c r="U1098" s="61"/>
      <c r="V1098" s="83">
        <v>0</v>
      </c>
      <c r="W1098" s="61">
        <f t="shared" si="274"/>
        <v>0</v>
      </c>
      <c r="X1098" s="171">
        <v>46258.267361111109</v>
      </c>
      <c r="Y1098" s="171">
        <v>46258.302083333336</v>
      </c>
      <c r="Z1098" s="168">
        <f t="shared" si="267"/>
        <v>3.4722222226264421E-2</v>
      </c>
      <c r="AA1098" s="169">
        <f t="shared" si="268"/>
        <v>4.1666666666666664E-2</v>
      </c>
      <c r="AB1098" s="170" t="str">
        <f t="shared" si="269"/>
        <v>00:10:00</v>
      </c>
      <c r="AC1098" s="170" t="b">
        <f t="shared" si="270"/>
        <v>1</v>
      </c>
    </row>
    <row r="1099" spans="1:29" s="127" customFormat="1" ht="9.75" hidden="1" customHeight="1" x14ac:dyDescent="0.3">
      <c r="A1099" s="98">
        <v>46258</v>
      </c>
      <c r="B1099" s="48">
        <v>8197117</v>
      </c>
      <c r="C1099" s="49" t="s">
        <v>37</v>
      </c>
      <c r="D1099" s="49" t="s">
        <v>466</v>
      </c>
      <c r="E1099" s="50">
        <v>0.27083333333333331</v>
      </c>
      <c r="F1099" s="49" t="s">
        <v>14</v>
      </c>
      <c r="G1099" s="70" t="s">
        <v>13</v>
      </c>
      <c r="H1099" s="51">
        <v>0.27013888888888887</v>
      </c>
      <c r="I1099" s="113" t="str">
        <f t="shared" si="275"/>
        <v>24-08-2026T06:29:00</v>
      </c>
      <c r="J1099" s="51">
        <v>46259.109027777777</v>
      </c>
      <c r="K1099" s="51"/>
      <c r="L1099" s="52">
        <f t="shared" si="271"/>
        <v>46258.838888888888</v>
      </c>
      <c r="M1099" s="53">
        <v>0.625</v>
      </c>
      <c r="N1099" s="54" t="str">
        <f t="shared" si="272"/>
        <v>-05:08:00</v>
      </c>
      <c r="O1099" s="55">
        <v>400</v>
      </c>
      <c r="P1099" s="147" t="s">
        <v>693</v>
      </c>
      <c r="Q1099" s="56" t="s">
        <v>126</v>
      </c>
      <c r="R1099" s="57">
        <v>0.375</v>
      </c>
      <c r="S1099" s="57">
        <v>0.44374999999999998</v>
      </c>
      <c r="T1099" s="47">
        <f t="shared" si="273"/>
        <v>6.8749999999999978E-2</v>
      </c>
      <c r="U1099" s="50"/>
      <c r="V1099" s="74">
        <v>6.25E-2</v>
      </c>
      <c r="W1099" s="50">
        <f t="shared" si="274"/>
        <v>6.2499999999999778E-3</v>
      </c>
      <c r="X1099" s="171">
        <v>46258.270138888889</v>
      </c>
      <c r="Y1099" s="171">
        <v>46259.109027777777</v>
      </c>
      <c r="Z1099" s="168">
        <f t="shared" si="267"/>
        <v>0.83888888888759539</v>
      </c>
      <c r="AA1099" s="169">
        <f t="shared" si="268"/>
        <v>0.625</v>
      </c>
      <c r="AB1099" s="170" t="str">
        <f t="shared" si="269"/>
        <v>-05:08:00</v>
      </c>
      <c r="AC1099" s="170" t="b">
        <f t="shared" si="270"/>
        <v>1</v>
      </c>
    </row>
    <row r="1100" spans="1:29" s="128" customFormat="1" ht="9.75" hidden="1" customHeight="1" x14ac:dyDescent="0.3">
      <c r="A1100" s="99">
        <v>46258</v>
      </c>
      <c r="B1100" s="59">
        <v>8197142</v>
      </c>
      <c r="C1100" s="60" t="s">
        <v>38</v>
      </c>
      <c r="D1100" s="60" t="s">
        <v>289</v>
      </c>
      <c r="E1100" s="61">
        <v>0.27083333333333331</v>
      </c>
      <c r="F1100" s="60" t="s">
        <v>13</v>
      </c>
      <c r="G1100" s="71" t="s">
        <v>14</v>
      </c>
      <c r="H1100" s="62">
        <v>0.28055555555555556</v>
      </c>
      <c r="I1100" s="113" t="str">
        <f t="shared" si="275"/>
        <v>24-08-2026T06:44:00</v>
      </c>
      <c r="J1100" s="62">
        <v>46259.025000000001</v>
      </c>
      <c r="K1100" s="62"/>
      <c r="L1100" s="63">
        <f t="shared" si="271"/>
        <v>46258.744444444448</v>
      </c>
      <c r="M1100" s="64">
        <v>0.625</v>
      </c>
      <c r="N1100" s="65" t="str">
        <f t="shared" si="272"/>
        <v>-02:52:00</v>
      </c>
      <c r="O1100" s="66"/>
      <c r="P1100" s="124" t="s">
        <v>703</v>
      </c>
      <c r="Q1100" s="67" t="s">
        <v>15</v>
      </c>
      <c r="R1100" s="68">
        <v>0.66805555555555551</v>
      </c>
      <c r="S1100" s="68">
        <v>0.67638888888888893</v>
      </c>
      <c r="T1100" s="69">
        <f t="shared" si="273"/>
        <v>8.3333333333334147E-3</v>
      </c>
      <c r="U1100" s="61" t="s">
        <v>234</v>
      </c>
      <c r="V1100" s="83">
        <v>6.25E-2</v>
      </c>
      <c r="W1100" s="61">
        <f t="shared" si="274"/>
        <v>-5.4166666666666585E-2</v>
      </c>
      <c r="X1100" s="172">
        <v>46258.280555555553</v>
      </c>
      <c r="Y1100" s="172">
        <v>46259.025000000001</v>
      </c>
      <c r="Z1100" s="173">
        <f t="shared" si="267"/>
        <v>0.74444444444816327</v>
      </c>
      <c r="AA1100" s="174">
        <f t="shared" si="268"/>
        <v>0.625</v>
      </c>
      <c r="AB1100" s="175" t="str">
        <f t="shared" si="269"/>
        <v>-02:52:00</v>
      </c>
      <c r="AC1100" s="175" t="b">
        <f t="shared" si="270"/>
        <v>1</v>
      </c>
    </row>
    <row r="1101" spans="1:29" s="127" customFormat="1" ht="9.75" hidden="1" customHeight="1" x14ac:dyDescent="0.3">
      <c r="A1101" s="98">
        <v>46258</v>
      </c>
      <c r="B1101" s="48">
        <v>8197130</v>
      </c>
      <c r="C1101" s="49" t="s">
        <v>39</v>
      </c>
      <c r="D1101" s="49" t="s">
        <v>392</v>
      </c>
      <c r="E1101" s="50">
        <v>0.27083333333333331</v>
      </c>
      <c r="F1101" s="49" t="s">
        <v>103</v>
      </c>
      <c r="G1101" s="70" t="s">
        <v>13</v>
      </c>
      <c r="H1101" s="51">
        <v>46258.275694444441</v>
      </c>
      <c r="I1101" s="113" t="str">
        <f t="shared" si="275"/>
        <v>24-08-2026T06:37:00</v>
      </c>
      <c r="J1101" s="51">
        <v>46259.492361111108</v>
      </c>
      <c r="K1101" s="51"/>
      <c r="L1101" s="52">
        <f t="shared" si="271"/>
        <v>1.2166666666671517</v>
      </c>
      <c r="M1101" s="53">
        <v>0.70833333333333337</v>
      </c>
      <c r="N1101" s="54" t="str">
        <f t="shared" si="272"/>
        <v>-12:12:00</v>
      </c>
      <c r="O1101" s="55">
        <f>250*13</f>
        <v>3250</v>
      </c>
      <c r="P1101" s="147" t="s">
        <v>715</v>
      </c>
      <c r="Q1101" s="56" t="s">
        <v>13</v>
      </c>
      <c r="R1101" s="50">
        <v>46259.449305555558</v>
      </c>
      <c r="S1101" s="50">
        <v>46259.489583333336</v>
      </c>
      <c r="T1101" s="50">
        <f t="shared" si="273"/>
        <v>4.0277777778101154E-2</v>
      </c>
      <c r="U1101" s="50"/>
      <c r="V1101" s="74">
        <v>8.3333333333333329E-2</v>
      </c>
      <c r="W1101" s="50">
        <f t="shared" si="274"/>
        <v>-4.3055555555232175E-2</v>
      </c>
      <c r="X1101" s="171">
        <v>46258.275694444441</v>
      </c>
      <c r="Y1101" s="171">
        <v>46259.492361111108</v>
      </c>
      <c r="Z1101" s="168">
        <f t="shared" si="267"/>
        <v>1.2166666666671517</v>
      </c>
      <c r="AA1101" s="169">
        <f t="shared" si="268"/>
        <v>0.70833333333333337</v>
      </c>
      <c r="AB1101" s="170" t="str">
        <f t="shared" si="269"/>
        <v>-12:12:00</v>
      </c>
      <c r="AC1101" s="170" t="b">
        <f t="shared" si="270"/>
        <v>1</v>
      </c>
    </row>
    <row r="1102" spans="1:29" ht="9.75" hidden="1" customHeight="1" x14ac:dyDescent="0.3">
      <c r="A1102" s="149">
        <v>46257</v>
      </c>
      <c r="B1102" s="150" t="s">
        <v>687</v>
      </c>
      <c r="C1102" s="151" t="s">
        <v>99</v>
      </c>
      <c r="D1102" s="151" t="s">
        <v>375</v>
      </c>
      <c r="E1102" s="152">
        <v>0</v>
      </c>
      <c r="F1102" s="151"/>
      <c r="G1102" s="153"/>
      <c r="H1102" s="154">
        <v>0</v>
      </c>
      <c r="I1102" s="113" t="str">
        <f t="shared" si="275"/>
        <v>23-08-2026T00:00:00</v>
      </c>
      <c r="J1102" s="154">
        <v>0</v>
      </c>
      <c r="K1102" s="154"/>
      <c r="L1102" s="155">
        <v>0</v>
      </c>
      <c r="M1102" s="160">
        <v>0</v>
      </c>
      <c r="N1102" s="156">
        <v>0</v>
      </c>
      <c r="O1102" s="157"/>
      <c r="P1102" s="158" t="s">
        <v>480</v>
      </c>
      <c r="Q1102" s="159" t="s">
        <v>480</v>
      </c>
      <c r="R1102" s="148" t="s">
        <v>480</v>
      </c>
      <c r="S1102" s="148" t="s">
        <v>480</v>
      </c>
      <c r="T1102" s="161" t="s">
        <v>480</v>
      </c>
      <c r="U1102" s="152" t="s">
        <v>480</v>
      </c>
      <c r="V1102" s="146" t="s">
        <v>480</v>
      </c>
      <c r="W1102" s="152" t="s">
        <v>480</v>
      </c>
      <c r="X1102" s="171" t="s">
        <v>668</v>
      </c>
      <c r="Y1102" s="171" t="s">
        <v>668</v>
      </c>
      <c r="Z1102" s="168" t="e">
        <f t="shared" si="267"/>
        <v>#VALUE!</v>
      </c>
      <c r="AA1102" s="169">
        <f t="shared" si="268"/>
        <v>0</v>
      </c>
      <c r="AB1102" s="170" t="e">
        <f t="shared" si="269"/>
        <v>#VALUE!</v>
      </c>
      <c r="AC1102" s="170" t="e">
        <f t="shared" si="270"/>
        <v>#VALUE!</v>
      </c>
    </row>
    <row r="1103" spans="1:29" s="128" customFormat="1" ht="9.75" hidden="1" customHeight="1" x14ac:dyDescent="0.3">
      <c r="A1103" s="99">
        <v>46258</v>
      </c>
      <c r="B1103" s="59">
        <v>8197191</v>
      </c>
      <c r="C1103" s="60" t="s">
        <v>99</v>
      </c>
      <c r="D1103" s="60" t="s">
        <v>375</v>
      </c>
      <c r="E1103" s="61">
        <v>0.29166666666666669</v>
      </c>
      <c r="F1103" s="60" t="s">
        <v>13</v>
      </c>
      <c r="G1103" s="71" t="s">
        <v>103</v>
      </c>
      <c r="H1103" s="62">
        <v>0.29444444444444445</v>
      </c>
      <c r="I1103" s="113" t="str">
        <f t="shared" si="275"/>
        <v>24-08-2026T07:04:00</v>
      </c>
      <c r="J1103" s="62">
        <v>0.8881944444444444</v>
      </c>
      <c r="K1103" s="62"/>
      <c r="L1103" s="63">
        <f t="shared" ref="L1103:L1134" si="276">J1103-H1103</f>
        <v>0.59375</v>
      </c>
      <c r="M1103" s="64">
        <v>0.625</v>
      </c>
      <c r="N1103" s="65" t="str">
        <f t="shared" ref="N1103:N1134" si="277">IF(M1103-L1103&gt;0,TEXT(M1103-L1103,"HH:MM:SS"),TEXT(ABS(M1103-L1103),"-HH:MM:SS"))</f>
        <v>00:45:00</v>
      </c>
      <c r="O1103" s="66"/>
      <c r="P1103" s="124" t="s">
        <v>704</v>
      </c>
      <c r="Q1103" s="67"/>
      <c r="R1103" s="68"/>
      <c r="S1103" s="68"/>
      <c r="T1103" s="69">
        <f t="shared" ref="T1103:T1134" si="278">S1103-R1103</f>
        <v>0</v>
      </c>
      <c r="U1103" s="61" t="s">
        <v>234</v>
      </c>
      <c r="V1103" s="83">
        <v>0</v>
      </c>
      <c r="W1103" s="61">
        <f t="shared" ref="W1103:W1134" si="279">T1103-V1103</f>
        <v>0</v>
      </c>
      <c r="X1103" s="171">
        <v>46258.294444444444</v>
      </c>
      <c r="Y1103" s="171">
        <v>46258.888194444444</v>
      </c>
      <c r="Z1103" s="168">
        <f t="shared" si="267"/>
        <v>0.59375</v>
      </c>
      <c r="AA1103" s="169">
        <f t="shared" si="268"/>
        <v>0.625</v>
      </c>
      <c r="AB1103" s="170" t="str">
        <f t="shared" si="269"/>
        <v>00:45:00</v>
      </c>
      <c r="AC1103" s="170" t="b">
        <f t="shared" si="270"/>
        <v>1</v>
      </c>
    </row>
    <row r="1104" spans="1:29" s="127" customFormat="1" ht="9.75" hidden="1" customHeight="1" x14ac:dyDescent="0.3">
      <c r="A1104" s="98">
        <v>46258</v>
      </c>
      <c r="B1104" s="48">
        <v>8197211</v>
      </c>
      <c r="C1104" s="49" t="s">
        <v>52</v>
      </c>
      <c r="D1104" s="49" t="s">
        <v>616</v>
      </c>
      <c r="E1104" s="50">
        <v>0.3125</v>
      </c>
      <c r="F1104" s="49" t="s">
        <v>15</v>
      </c>
      <c r="G1104" s="70" t="s">
        <v>13</v>
      </c>
      <c r="H1104" s="51">
        <v>0.30555555555555558</v>
      </c>
      <c r="I1104" s="113" t="str">
        <f t="shared" si="275"/>
        <v>24-08-2026T07:20:00</v>
      </c>
      <c r="J1104" s="51">
        <v>0.87777777777777777</v>
      </c>
      <c r="K1104" s="51"/>
      <c r="L1104" s="52">
        <f t="shared" si="276"/>
        <v>0.57222222222222219</v>
      </c>
      <c r="M1104" s="53">
        <v>0.41666666666666669</v>
      </c>
      <c r="N1104" s="54" t="str">
        <f t="shared" si="277"/>
        <v>-03:44:00</v>
      </c>
      <c r="O1104" s="55">
        <f>250*4</f>
        <v>1000</v>
      </c>
      <c r="P1104" s="147" t="s">
        <v>699</v>
      </c>
      <c r="Q1104" s="56" t="s">
        <v>205</v>
      </c>
      <c r="R1104" s="57">
        <v>0.4375</v>
      </c>
      <c r="S1104" s="57">
        <v>0.5625</v>
      </c>
      <c r="T1104" s="47">
        <f t="shared" si="278"/>
        <v>0.125</v>
      </c>
      <c r="U1104" s="50"/>
      <c r="V1104" s="74">
        <v>4.1666666666666664E-2</v>
      </c>
      <c r="W1104" s="50">
        <f t="shared" si="279"/>
        <v>8.3333333333333343E-2</v>
      </c>
      <c r="X1104" s="171">
        <v>46258.305555555555</v>
      </c>
      <c r="Y1104" s="171">
        <v>46258.87777777778</v>
      </c>
      <c r="Z1104" s="168">
        <f t="shared" si="267"/>
        <v>0.57222222222480923</v>
      </c>
      <c r="AA1104" s="169">
        <f t="shared" si="268"/>
        <v>0.41666666666666669</v>
      </c>
      <c r="AB1104" s="170" t="str">
        <f t="shared" si="269"/>
        <v>-03:44:00</v>
      </c>
      <c r="AC1104" s="170" t="b">
        <f t="shared" si="270"/>
        <v>1</v>
      </c>
    </row>
    <row r="1105" spans="1:29" s="128" customFormat="1" ht="9.75" hidden="1" customHeight="1" x14ac:dyDescent="0.3">
      <c r="A1105" s="99">
        <v>46258</v>
      </c>
      <c r="B1105" s="59">
        <v>8197193</v>
      </c>
      <c r="C1105" s="60" t="s">
        <v>50</v>
      </c>
      <c r="D1105" s="60" t="s">
        <v>329</v>
      </c>
      <c r="E1105" s="61">
        <v>0.29166666666666669</v>
      </c>
      <c r="F1105" s="60" t="s">
        <v>13</v>
      </c>
      <c r="G1105" s="71" t="s">
        <v>31</v>
      </c>
      <c r="H1105" s="62">
        <v>0.29583333333333334</v>
      </c>
      <c r="I1105" s="113" t="str">
        <f t="shared" si="275"/>
        <v>24-08-2026T07:06:00</v>
      </c>
      <c r="J1105" s="62">
        <v>0.90625</v>
      </c>
      <c r="K1105" s="62"/>
      <c r="L1105" s="63">
        <f t="shared" si="276"/>
        <v>0.61041666666666661</v>
      </c>
      <c r="M1105" s="64">
        <v>0.625</v>
      </c>
      <c r="N1105" s="65" t="str">
        <f t="shared" si="277"/>
        <v>00:21:00</v>
      </c>
      <c r="O1105" s="66"/>
      <c r="P1105" s="124" t="s">
        <v>705</v>
      </c>
      <c r="Q1105" s="67"/>
      <c r="R1105" s="68"/>
      <c r="S1105" s="68"/>
      <c r="T1105" s="69">
        <f t="shared" si="278"/>
        <v>0</v>
      </c>
      <c r="U1105" s="61"/>
      <c r="V1105" s="83">
        <v>0</v>
      </c>
      <c r="W1105" s="61">
        <f t="shared" si="279"/>
        <v>0</v>
      </c>
      <c r="X1105" s="172">
        <v>46258.29583333333</v>
      </c>
      <c r="Y1105" s="172">
        <v>46258.90625</v>
      </c>
      <c r="Z1105" s="173">
        <f t="shared" si="267"/>
        <v>0.61041666667006211</v>
      </c>
      <c r="AA1105" s="174">
        <f t="shared" si="268"/>
        <v>0.625</v>
      </c>
      <c r="AB1105" s="175" t="str">
        <f t="shared" si="269"/>
        <v>00:21:00</v>
      </c>
      <c r="AC1105" s="175" t="b">
        <f t="shared" si="270"/>
        <v>1</v>
      </c>
    </row>
    <row r="1106" spans="1:29" s="128" customFormat="1" ht="9.75" hidden="1" customHeight="1" x14ac:dyDescent="0.3">
      <c r="A1106" s="99">
        <v>46258</v>
      </c>
      <c r="B1106" s="59">
        <v>8197231</v>
      </c>
      <c r="C1106" s="60" t="s">
        <v>42</v>
      </c>
      <c r="D1106" s="60" t="s">
        <v>181</v>
      </c>
      <c r="E1106" s="61">
        <v>0.3125</v>
      </c>
      <c r="F1106" s="60" t="s">
        <v>13</v>
      </c>
      <c r="G1106" s="71" t="s">
        <v>55</v>
      </c>
      <c r="H1106" s="62">
        <v>0.31458333333333333</v>
      </c>
      <c r="I1106" s="113" t="str">
        <f t="shared" si="275"/>
        <v>24-08-2026T07:33:00</v>
      </c>
      <c r="J1106" s="62">
        <v>0.375</v>
      </c>
      <c r="K1106" s="62"/>
      <c r="L1106" s="63">
        <f t="shared" si="276"/>
        <v>6.0416666666666674E-2</v>
      </c>
      <c r="M1106" s="64">
        <v>6.25E-2</v>
      </c>
      <c r="N1106" s="65" t="str">
        <f t="shared" si="277"/>
        <v>00:03:00</v>
      </c>
      <c r="O1106" s="66"/>
      <c r="P1106" s="124"/>
      <c r="Q1106" s="67"/>
      <c r="R1106" s="68"/>
      <c r="S1106" s="68"/>
      <c r="T1106" s="69">
        <f t="shared" si="278"/>
        <v>0</v>
      </c>
      <c r="U1106" s="61"/>
      <c r="V1106" s="83">
        <v>0</v>
      </c>
      <c r="W1106" s="61">
        <f t="shared" si="279"/>
        <v>0</v>
      </c>
      <c r="X1106" s="171">
        <v>46258.314583333333</v>
      </c>
      <c r="Y1106" s="171">
        <v>46258.375</v>
      </c>
      <c r="Z1106" s="168">
        <f t="shared" si="267"/>
        <v>6.0416666667151731E-2</v>
      </c>
      <c r="AA1106" s="169">
        <f t="shared" si="268"/>
        <v>6.25E-2</v>
      </c>
      <c r="AB1106" s="170" t="str">
        <f t="shared" si="269"/>
        <v>00:03:00</v>
      </c>
      <c r="AC1106" s="170" t="b">
        <f t="shared" si="270"/>
        <v>1</v>
      </c>
    </row>
    <row r="1107" spans="1:29" s="128" customFormat="1" ht="9.75" hidden="1" customHeight="1" x14ac:dyDescent="0.3">
      <c r="A1107" s="99">
        <v>46258</v>
      </c>
      <c r="B1107" s="59">
        <v>8197346</v>
      </c>
      <c r="C1107" s="60" t="s">
        <v>100</v>
      </c>
      <c r="D1107" s="60" t="s">
        <v>391</v>
      </c>
      <c r="E1107" s="61">
        <v>0.375</v>
      </c>
      <c r="F1107" s="60" t="s">
        <v>13</v>
      </c>
      <c r="G1107" s="71" t="s">
        <v>47</v>
      </c>
      <c r="H1107" s="62">
        <v>46258.373611111114</v>
      </c>
      <c r="I1107" s="113" t="str">
        <f t="shared" si="275"/>
        <v>24-08-2026T08:58:00</v>
      </c>
      <c r="J1107" s="62">
        <v>46260.256249999999</v>
      </c>
      <c r="K1107" s="62"/>
      <c r="L1107" s="63">
        <f t="shared" si="276"/>
        <v>1.882638888884685</v>
      </c>
      <c r="M1107" s="64">
        <v>1.9166666666666667</v>
      </c>
      <c r="N1107" s="65" t="str">
        <f t="shared" si="277"/>
        <v>00:49:00</v>
      </c>
      <c r="O1107" s="66"/>
      <c r="P1107" s="124"/>
      <c r="Q1107" s="67" t="s">
        <v>96</v>
      </c>
      <c r="R1107" s="68">
        <v>46260.052083333336</v>
      </c>
      <c r="S1107" s="68">
        <v>46260.131944444445</v>
      </c>
      <c r="T1107" s="69">
        <f t="shared" si="278"/>
        <v>7.9861111109494232E-2</v>
      </c>
      <c r="U1107" s="61"/>
      <c r="V1107" s="83">
        <v>8.3333333333333329E-2</v>
      </c>
      <c r="W1107" s="61">
        <f t="shared" si="279"/>
        <v>-3.4722222238390971E-3</v>
      </c>
      <c r="X1107" s="171">
        <v>46258.373611111114</v>
      </c>
      <c r="Y1107" s="171">
        <v>46260.256249999999</v>
      </c>
      <c r="Z1107" s="168">
        <f t="shared" si="267"/>
        <v>1.882638888884685</v>
      </c>
      <c r="AA1107" s="169">
        <f t="shared" si="268"/>
        <v>1.9166666666666667</v>
      </c>
      <c r="AB1107" s="170" t="str">
        <f t="shared" si="269"/>
        <v>00:49:00</v>
      </c>
      <c r="AC1107" s="170" t="b">
        <f t="shared" si="270"/>
        <v>1</v>
      </c>
    </row>
    <row r="1108" spans="1:29" s="144" customFormat="1" ht="9.75" hidden="1" customHeight="1" x14ac:dyDescent="0.3">
      <c r="A1108" s="129">
        <v>46258</v>
      </c>
      <c r="B1108" s="130">
        <v>8197354</v>
      </c>
      <c r="C1108" s="131" t="s">
        <v>48</v>
      </c>
      <c r="D1108" s="131" t="s">
        <v>183</v>
      </c>
      <c r="E1108" s="132">
        <v>0.375</v>
      </c>
      <c r="F1108" s="131" t="s">
        <v>49</v>
      </c>
      <c r="G1108" s="133" t="s">
        <v>13</v>
      </c>
      <c r="H1108" s="134">
        <v>0.375</v>
      </c>
      <c r="I1108" s="113" t="str">
        <f t="shared" si="275"/>
        <v>24-08-2026T09:00:00</v>
      </c>
      <c r="J1108" s="134">
        <v>0.96388888888888891</v>
      </c>
      <c r="K1108" s="134"/>
      <c r="L1108" s="135">
        <f t="shared" si="276"/>
        <v>0.58888888888888891</v>
      </c>
      <c r="M1108" s="136">
        <v>0.58333333333333337</v>
      </c>
      <c r="N1108" s="137" t="str">
        <f t="shared" si="277"/>
        <v>-00:08:00</v>
      </c>
      <c r="O1108" s="138"/>
      <c r="P1108" s="145" t="s">
        <v>125</v>
      </c>
      <c r="Q1108" s="140" t="s">
        <v>13</v>
      </c>
      <c r="R1108" s="141">
        <v>0.85833333333333328</v>
      </c>
      <c r="S1108" s="141">
        <v>0.95833333333333337</v>
      </c>
      <c r="T1108" s="142">
        <f t="shared" si="278"/>
        <v>0.10000000000000009</v>
      </c>
      <c r="U1108" s="132"/>
      <c r="V1108" s="143">
        <v>8.3333333333333329E-2</v>
      </c>
      <c r="W1108" s="132">
        <f t="shared" si="279"/>
        <v>1.666666666666676E-2</v>
      </c>
      <c r="X1108" s="171">
        <v>46258.375</v>
      </c>
      <c r="Y1108" s="171">
        <v>46258.963888888888</v>
      </c>
      <c r="Z1108" s="168">
        <f t="shared" si="267"/>
        <v>0.58888888888759539</v>
      </c>
      <c r="AA1108" s="169">
        <f t="shared" si="268"/>
        <v>0.58333333333333337</v>
      </c>
      <c r="AB1108" s="170" t="str">
        <f t="shared" si="269"/>
        <v>-00:08:00</v>
      </c>
      <c r="AC1108" s="170" t="b">
        <f t="shared" si="270"/>
        <v>1</v>
      </c>
    </row>
    <row r="1109" spans="1:29" s="127" customFormat="1" ht="9.75" hidden="1" customHeight="1" x14ac:dyDescent="0.3">
      <c r="A1109" s="98">
        <v>46258</v>
      </c>
      <c r="B1109" s="48">
        <v>8197401</v>
      </c>
      <c r="C1109" s="49" t="s">
        <v>30</v>
      </c>
      <c r="D1109" s="49" t="s">
        <v>286</v>
      </c>
      <c r="E1109" s="50">
        <v>0.41666666666666669</v>
      </c>
      <c r="F1109" s="49" t="s">
        <v>31</v>
      </c>
      <c r="G1109" s="70" t="s">
        <v>13</v>
      </c>
      <c r="H1109" s="51">
        <v>0.41736111111111113</v>
      </c>
      <c r="I1109" s="113" t="str">
        <f t="shared" si="275"/>
        <v>24-08-2026T10:01:00</v>
      </c>
      <c r="J1109" s="51">
        <v>46259.196527777778</v>
      </c>
      <c r="K1109" s="51"/>
      <c r="L1109" s="52">
        <f t="shared" si="276"/>
        <v>46258.779166666667</v>
      </c>
      <c r="M1109" s="53">
        <v>0.75</v>
      </c>
      <c r="N1109" s="54" t="str">
        <f t="shared" si="277"/>
        <v>-00:42:00</v>
      </c>
      <c r="O1109" s="55">
        <v>400</v>
      </c>
      <c r="P1109" s="147" t="s">
        <v>706</v>
      </c>
      <c r="Q1109" s="56" t="s">
        <v>45</v>
      </c>
      <c r="R1109" s="57">
        <v>0.52500000000000002</v>
      </c>
      <c r="S1109" s="57">
        <v>0.55902777777777779</v>
      </c>
      <c r="T1109" s="58">
        <f t="shared" si="278"/>
        <v>3.4027777777777768E-2</v>
      </c>
      <c r="U1109" s="50"/>
      <c r="V1109" s="74">
        <v>8.3333333333333329E-2</v>
      </c>
      <c r="W1109" s="50">
        <f t="shared" si="279"/>
        <v>-4.9305555555555561E-2</v>
      </c>
      <c r="X1109" s="171">
        <v>46258.417361111111</v>
      </c>
      <c r="Y1109" s="171">
        <v>46259.196527777778</v>
      </c>
      <c r="Z1109" s="168">
        <f t="shared" si="267"/>
        <v>0.77916666666715173</v>
      </c>
      <c r="AA1109" s="169">
        <f t="shared" si="268"/>
        <v>0.75</v>
      </c>
      <c r="AB1109" s="170" t="str">
        <f t="shared" si="269"/>
        <v>-00:42:00</v>
      </c>
      <c r="AC1109" s="170" t="b">
        <f t="shared" si="270"/>
        <v>1</v>
      </c>
    </row>
    <row r="1110" spans="1:29" s="128" customFormat="1" ht="9.75" hidden="1" customHeight="1" x14ac:dyDescent="0.3">
      <c r="A1110" s="99">
        <v>46258</v>
      </c>
      <c r="B1110" s="59">
        <v>8197396</v>
      </c>
      <c r="C1110" s="60" t="s">
        <v>51</v>
      </c>
      <c r="D1110" s="60" t="s">
        <v>295</v>
      </c>
      <c r="E1110" s="61">
        <v>0.41666666666666669</v>
      </c>
      <c r="F1110" s="60" t="s">
        <v>13</v>
      </c>
      <c r="G1110" s="71" t="s">
        <v>49</v>
      </c>
      <c r="H1110" s="62">
        <v>0.41597222222222224</v>
      </c>
      <c r="I1110" s="113" t="str">
        <f t="shared" si="275"/>
        <v>24-08-2026T09:59:00</v>
      </c>
      <c r="J1110" s="62">
        <v>0.89583333333333337</v>
      </c>
      <c r="K1110" s="62"/>
      <c r="L1110" s="63">
        <f t="shared" si="276"/>
        <v>0.47986111111111113</v>
      </c>
      <c r="M1110" s="64">
        <v>0.5</v>
      </c>
      <c r="N1110" s="65" t="str">
        <f t="shared" si="277"/>
        <v>00:29:00</v>
      </c>
      <c r="O1110" s="66"/>
      <c r="P1110" s="124"/>
      <c r="Q1110" s="67"/>
      <c r="R1110" s="68"/>
      <c r="S1110" s="68"/>
      <c r="T1110" s="69">
        <f t="shared" si="278"/>
        <v>0</v>
      </c>
      <c r="U1110" s="61" t="s">
        <v>234</v>
      </c>
      <c r="V1110" s="83">
        <v>0</v>
      </c>
      <c r="W1110" s="61">
        <f t="shared" si="279"/>
        <v>0</v>
      </c>
      <c r="X1110" s="171">
        <v>46258.415972222225</v>
      </c>
      <c r="Y1110" s="171">
        <v>46258.895833333336</v>
      </c>
      <c r="Z1110" s="168">
        <f t="shared" si="267"/>
        <v>0.47986111111094942</v>
      </c>
      <c r="AA1110" s="169">
        <f t="shared" si="268"/>
        <v>0.5</v>
      </c>
      <c r="AB1110" s="170" t="str">
        <f t="shared" si="269"/>
        <v>00:29:00</v>
      </c>
      <c r="AC1110" s="170" t="b">
        <f t="shared" si="270"/>
        <v>1</v>
      </c>
    </row>
    <row r="1111" spans="1:29" s="128" customFormat="1" ht="9.75" customHeight="1" x14ac:dyDescent="0.3">
      <c r="A1111" s="99">
        <v>46258</v>
      </c>
      <c r="B1111" s="59">
        <v>8196397</v>
      </c>
      <c r="C1111" s="60" t="s">
        <v>90</v>
      </c>
      <c r="D1111" s="60" t="s">
        <v>290</v>
      </c>
      <c r="E1111" s="61">
        <v>0.99930555555555556</v>
      </c>
      <c r="F1111" s="60" t="s">
        <v>13</v>
      </c>
      <c r="G1111" s="71" t="s">
        <v>15</v>
      </c>
      <c r="H1111" s="62">
        <v>8.3333333333333332E-3</v>
      </c>
      <c r="I1111" s="113" t="str">
        <f t="shared" si="275"/>
        <v>24-08-2026T00:12:00</v>
      </c>
      <c r="J1111" s="62">
        <v>0.2638888888888889</v>
      </c>
      <c r="K1111" s="113" t="str">
        <f t="shared" ref="K1111:K1112" si="280">TEXT(A1111,"dd-mm-yyyy")&amp;"T"&amp;TEXT(J1111,"hh:mm:ss")</f>
        <v>24-08-2026T06:20:00</v>
      </c>
      <c r="L1111" s="63">
        <f t="shared" si="276"/>
        <v>0.25555555555555554</v>
      </c>
      <c r="M1111" s="64">
        <v>0.27083333333333331</v>
      </c>
      <c r="N1111" s="65" t="str">
        <f t="shared" si="277"/>
        <v>00:22:00</v>
      </c>
      <c r="O1111" s="66"/>
      <c r="P1111" s="124"/>
      <c r="Q1111" s="67" t="s">
        <v>13</v>
      </c>
      <c r="R1111" s="68">
        <v>2.5694444444444443E-2</v>
      </c>
      <c r="S1111" s="68">
        <v>6.3194444444444442E-2</v>
      </c>
      <c r="T1111" s="69">
        <f t="shared" si="278"/>
        <v>3.7499999999999999E-2</v>
      </c>
      <c r="U1111" s="61"/>
      <c r="V1111" s="83">
        <v>4.1666666666666664E-2</v>
      </c>
      <c r="W1111" s="61">
        <f t="shared" si="279"/>
        <v>-4.1666666666666657E-3</v>
      </c>
      <c r="X1111" s="171">
        <v>46258.008333333331</v>
      </c>
      <c r="Y1111" s="171">
        <v>46258.263888888891</v>
      </c>
      <c r="Z1111" s="168">
        <f t="shared" si="267"/>
        <v>0.25555555555911269</v>
      </c>
      <c r="AA1111" s="169">
        <f t="shared" si="268"/>
        <v>0.27083333333333331</v>
      </c>
      <c r="AB1111" s="170" t="str">
        <f t="shared" si="269"/>
        <v>00:22:00</v>
      </c>
      <c r="AC1111" s="170" t="b">
        <f t="shared" si="270"/>
        <v>1</v>
      </c>
    </row>
    <row r="1112" spans="1:29" s="127" customFormat="1" ht="9.75" hidden="1" customHeight="1" x14ac:dyDescent="0.3">
      <c r="A1112" s="98">
        <v>46258</v>
      </c>
      <c r="B1112" s="48">
        <v>8197431</v>
      </c>
      <c r="C1112" s="49" t="s">
        <v>90</v>
      </c>
      <c r="D1112" s="49" t="s">
        <v>290</v>
      </c>
      <c r="E1112" s="50">
        <v>0.4375</v>
      </c>
      <c r="F1112" s="49" t="s">
        <v>15</v>
      </c>
      <c r="G1112" s="70" t="s">
        <v>13</v>
      </c>
      <c r="H1112" s="51">
        <v>0.43680555555555556</v>
      </c>
      <c r="I1112" s="113" t="str">
        <f t="shared" si="275"/>
        <v>24-08-2026T10:29:00</v>
      </c>
      <c r="J1112" s="51">
        <v>0.86527777777777781</v>
      </c>
      <c r="K1112" s="113" t="str">
        <f t="shared" si="280"/>
        <v>24-08-2026T20:46:00</v>
      </c>
      <c r="L1112" s="52">
        <f t="shared" si="276"/>
        <v>0.42847222222222225</v>
      </c>
      <c r="M1112" s="53">
        <v>0.20833333333333334</v>
      </c>
      <c r="N1112" s="54" t="str">
        <f t="shared" si="277"/>
        <v>-05:17:00</v>
      </c>
      <c r="O1112" s="55">
        <v>1200</v>
      </c>
      <c r="P1112" s="147" t="s">
        <v>695</v>
      </c>
      <c r="Q1112" s="56"/>
      <c r="R1112" s="57"/>
      <c r="S1112" s="57"/>
      <c r="T1112" s="58">
        <f t="shared" si="278"/>
        <v>0</v>
      </c>
      <c r="U1112" s="50"/>
      <c r="V1112" s="74">
        <v>0</v>
      </c>
      <c r="W1112" s="50">
        <f t="shared" si="279"/>
        <v>0</v>
      </c>
      <c r="X1112" s="171">
        <v>46258.436805555553</v>
      </c>
      <c r="Y1112" s="171">
        <v>46258.865277777775</v>
      </c>
      <c r="Z1112" s="168">
        <f t="shared" si="267"/>
        <v>0.42847222222189885</v>
      </c>
      <c r="AA1112" s="169">
        <f t="shared" si="268"/>
        <v>0.20833333333333334</v>
      </c>
      <c r="AB1112" s="170" t="str">
        <f t="shared" si="269"/>
        <v>-05:17:00</v>
      </c>
      <c r="AC1112" s="170" t="b">
        <f t="shared" si="270"/>
        <v>1</v>
      </c>
    </row>
    <row r="1113" spans="1:29" s="128" customFormat="1" ht="9.75" hidden="1" customHeight="1" x14ac:dyDescent="0.3">
      <c r="A1113" s="99">
        <v>46258</v>
      </c>
      <c r="B1113" s="59">
        <v>8197507</v>
      </c>
      <c r="C1113" s="60" t="s">
        <v>41</v>
      </c>
      <c r="D1113" s="60" t="s">
        <v>299</v>
      </c>
      <c r="E1113" s="61">
        <v>0.45833333333333331</v>
      </c>
      <c r="F1113" s="60" t="s">
        <v>13</v>
      </c>
      <c r="G1113" s="71" t="s">
        <v>24</v>
      </c>
      <c r="H1113" s="62">
        <v>0.46597222222222223</v>
      </c>
      <c r="I1113" s="113" t="str">
        <f t="shared" si="275"/>
        <v>24-08-2026T11:11:00</v>
      </c>
      <c r="J1113" s="62">
        <v>0.5395833333333333</v>
      </c>
      <c r="K1113" s="62"/>
      <c r="L1113" s="63">
        <f t="shared" si="276"/>
        <v>7.3611111111111072E-2</v>
      </c>
      <c r="M1113" s="64">
        <v>8.3333333333333329E-2</v>
      </c>
      <c r="N1113" s="65" t="str">
        <f t="shared" si="277"/>
        <v>00:14:00</v>
      </c>
      <c r="O1113" s="66"/>
      <c r="P1113" s="124"/>
      <c r="Q1113" s="67"/>
      <c r="R1113" s="68"/>
      <c r="S1113" s="68"/>
      <c r="T1113" s="69">
        <f t="shared" si="278"/>
        <v>0</v>
      </c>
      <c r="U1113" s="61" t="s">
        <v>234</v>
      </c>
      <c r="V1113" s="83">
        <v>0</v>
      </c>
      <c r="W1113" s="61">
        <f t="shared" si="279"/>
        <v>0</v>
      </c>
      <c r="X1113" s="171">
        <v>46258.46597222222</v>
      </c>
      <c r="Y1113" s="171">
        <v>46258.539583333331</v>
      </c>
      <c r="Z1113" s="168">
        <f t="shared" si="267"/>
        <v>7.3611111110949423E-2</v>
      </c>
      <c r="AA1113" s="169">
        <f t="shared" si="268"/>
        <v>8.3333333333333329E-2</v>
      </c>
      <c r="AB1113" s="170" t="str">
        <f t="shared" si="269"/>
        <v>00:14:00</v>
      </c>
      <c r="AC1113" s="170" t="b">
        <f t="shared" si="270"/>
        <v>1</v>
      </c>
    </row>
    <row r="1114" spans="1:29" s="127" customFormat="1" ht="9.75" hidden="1" customHeight="1" x14ac:dyDescent="0.3">
      <c r="A1114" s="98">
        <v>46258</v>
      </c>
      <c r="B1114" s="48">
        <v>8197610</v>
      </c>
      <c r="C1114" s="49" t="s">
        <v>20</v>
      </c>
      <c r="D1114" s="49" t="s">
        <v>232</v>
      </c>
      <c r="E1114" s="50">
        <v>0.5</v>
      </c>
      <c r="F1114" s="49" t="s">
        <v>13</v>
      </c>
      <c r="G1114" s="70" t="s">
        <v>21</v>
      </c>
      <c r="H1114" s="51">
        <v>0.50277777777777777</v>
      </c>
      <c r="I1114" s="113" t="str">
        <f t="shared" si="275"/>
        <v>24-08-2026T12:04:00</v>
      </c>
      <c r="J1114" s="51">
        <v>0.89583333333333337</v>
      </c>
      <c r="K1114" s="51"/>
      <c r="L1114" s="52">
        <f t="shared" si="276"/>
        <v>0.3930555555555556</v>
      </c>
      <c r="M1114" s="53">
        <v>0.25</v>
      </c>
      <c r="N1114" s="54" t="str">
        <f t="shared" si="277"/>
        <v>-03:26:00</v>
      </c>
      <c r="O1114" s="55"/>
      <c r="P1114" s="147" t="s">
        <v>700</v>
      </c>
      <c r="Q1114" s="56"/>
      <c r="R1114" s="57"/>
      <c r="S1114" s="57"/>
      <c r="T1114" s="58">
        <f t="shared" si="278"/>
        <v>0</v>
      </c>
      <c r="U1114" s="50"/>
      <c r="V1114" s="74">
        <v>0</v>
      </c>
      <c r="W1114" s="50">
        <f t="shared" si="279"/>
        <v>0</v>
      </c>
      <c r="X1114" s="171">
        <v>46258.50277777778</v>
      </c>
      <c r="Y1114" s="171">
        <v>46258.895833333336</v>
      </c>
      <c r="Z1114" s="168">
        <f t="shared" si="267"/>
        <v>0.39305555555620231</v>
      </c>
      <c r="AA1114" s="169">
        <f t="shared" si="268"/>
        <v>0.25</v>
      </c>
      <c r="AB1114" s="170" t="str">
        <f t="shared" si="269"/>
        <v>-03:26:00</v>
      </c>
      <c r="AC1114" s="170" t="b">
        <f t="shared" si="270"/>
        <v>1</v>
      </c>
    </row>
    <row r="1115" spans="1:29" s="127" customFormat="1" ht="9.75" hidden="1" customHeight="1" x14ac:dyDescent="0.3">
      <c r="A1115" s="98">
        <v>46258</v>
      </c>
      <c r="B1115" s="48">
        <v>8197681</v>
      </c>
      <c r="C1115" s="49" t="s">
        <v>56</v>
      </c>
      <c r="D1115" s="49" t="s">
        <v>472</v>
      </c>
      <c r="E1115" s="50">
        <v>0.54166666666666663</v>
      </c>
      <c r="F1115" s="49" t="s">
        <v>13</v>
      </c>
      <c r="G1115" s="70" t="s">
        <v>15</v>
      </c>
      <c r="H1115" s="51">
        <v>0.54236111111111107</v>
      </c>
      <c r="I1115" s="113" t="str">
        <f t="shared" si="275"/>
        <v>24-08-2026T13:01:00</v>
      </c>
      <c r="J1115" s="51">
        <v>0.83333333333333337</v>
      </c>
      <c r="K1115" s="51"/>
      <c r="L1115" s="52">
        <f t="shared" si="276"/>
        <v>0.2909722222222223</v>
      </c>
      <c r="M1115" s="53">
        <v>0.20833333333333334</v>
      </c>
      <c r="N1115" s="54" t="str">
        <f t="shared" si="277"/>
        <v>-01:59:00</v>
      </c>
      <c r="O1115" s="55">
        <v>500</v>
      </c>
      <c r="P1115" s="147" t="s">
        <v>696</v>
      </c>
      <c r="Q1115" s="56"/>
      <c r="R1115" s="57"/>
      <c r="S1115" s="57"/>
      <c r="T1115" s="58">
        <f t="shared" si="278"/>
        <v>0</v>
      </c>
      <c r="U1115" s="50"/>
      <c r="V1115" s="74">
        <v>0</v>
      </c>
      <c r="W1115" s="50">
        <f t="shared" si="279"/>
        <v>0</v>
      </c>
      <c r="X1115" s="171">
        <v>46258.542361111111</v>
      </c>
      <c r="Y1115" s="171">
        <v>46258.833333333336</v>
      </c>
      <c r="Z1115" s="168">
        <f t="shared" si="267"/>
        <v>0.29097222222480923</v>
      </c>
      <c r="AA1115" s="169">
        <f t="shared" si="268"/>
        <v>0.20833333333333334</v>
      </c>
      <c r="AB1115" s="170" t="str">
        <f t="shared" si="269"/>
        <v>-01:59:00</v>
      </c>
      <c r="AC1115" s="170" t="b">
        <f t="shared" si="270"/>
        <v>1</v>
      </c>
    </row>
    <row r="1116" spans="1:29" s="127" customFormat="1" ht="9.75" hidden="1" customHeight="1" x14ac:dyDescent="0.3">
      <c r="A1116" s="98">
        <v>46258</v>
      </c>
      <c r="B1116" s="48">
        <v>8197918</v>
      </c>
      <c r="C1116" s="49" t="s">
        <v>18</v>
      </c>
      <c r="D1116" s="49" t="s">
        <v>389</v>
      </c>
      <c r="E1116" s="50">
        <v>0.64583333333333337</v>
      </c>
      <c r="F1116" s="49" t="s">
        <v>19</v>
      </c>
      <c r="G1116" s="70" t="s">
        <v>13</v>
      </c>
      <c r="H1116" s="51">
        <v>46258.643750000003</v>
      </c>
      <c r="I1116" s="113" t="str">
        <f t="shared" si="275"/>
        <v>24-08-2026T15:27:00</v>
      </c>
      <c r="J1116" s="51">
        <v>46260.53402777778</v>
      </c>
      <c r="K1116" s="51"/>
      <c r="L1116" s="52">
        <f t="shared" si="276"/>
        <v>1.890277777776646</v>
      </c>
      <c r="M1116" s="53">
        <v>0.4375</v>
      </c>
      <c r="N1116" s="54" t="str">
        <f t="shared" si="277"/>
        <v>-10:52:00</v>
      </c>
      <c r="O1116" s="55">
        <v>2200</v>
      </c>
      <c r="P1116" s="147" t="s">
        <v>698</v>
      </c>
      <c r="Q1116" s="56" t="s">
        <v>229</v>
      </c>
      <c r="R1116" s="57">
        <v>0.75</v>
      </c>
      <c r="S1116" s="57">
        <v>0.8125</v>
      </c>
      <c r="T1116" s="58">
        <f t="shared" si="278"/>
        <v>6.25E-2</v>
      </c>
      <c r="U1116" s="50"/>
      <c r="V1116" s="74">
        <v>8.3333333333333329E-2</v>
      </c>
      <c r="W1116" s="50">
        <f t="shared" si="279"/>
        <v>-2.0833333333333329E-2</v>
      </c>
      <c r="X1116" s="171">
        <v>46258.643750000003</v>
      </c>
      <c r="Y1116" s="171">
        <v>46260.53402777778</v>
      </c>
      <c r="Z1116" s="168">
        <f t="shared" si="267"/>
        <v>1.890277777776646</v>
      </c>
      <c r="AA1116" s="169">
        <f t="shared" si="268"/>
        <v>0.4375</v>
      </c>
      <c r="AB1116" s="170" t="str">
        <f t="shared" si="269"/>
        <v>-10:52:00</v>
      </c>
      <c r="AC1116" s="170" t="b">
        <f t="shared" si="270"/>
        <v>1</v>
      </c>
    </row>
    <row r="1117" spans="1:29" s="128" customFormat="1" ht="9.75" hidden="1" customHeight="1" x14ac:dyDescent="0.3">
      <c r="A1117" s="99">
        <v>46258</v>
      </c>
      <c r="B1117" s="59">
        <v>8198100</v>
      </c>
      <c r="C1117" s="60" t="s">
        <v>57</v>
      </c>
      <c r="D1117" s="60" t="s">
        <v>390</v>
      </c>
      <c r="E1117" s="61">
        <v>0.70833333333333337</v>
      </c>
      <c r="F1117" s="60" t="s">
        <v>13</v>
      </c>
      <c r="G1117" s="71" t="s">
        <v>24</v>
      </c>
      <c r="H1117" s="62">
        <v>0.7104166666666667</v>
      </c>
      <c r="I1117" s="113" t="str">
        <f t="shared" si="275"/>
        <v>24-08-2026T17:03:00</v>
      </c>
      <c r="J1117" s="62">
        <v>0.78055555555555556</v>
      </c>
      <c r="K1117" s="62"/>
      <c r="L1117" s="63">
        <f t="shared" si="276"/>
        <v>7.0138888888888862E-2</v>
      </c>
      <c r="M1117" s="64">
        <v>8.3333333333333329E-2</v>
      </c>
      <c r="N1117" s="65" t="str">
        <f t="shared" si="277"/>
        <v>00:19:00</v>
      </c>
      <c r="O1117" s="66"/>
      <c r="P1117" s="124"/>
      <c r="Q1117" s="67"/>
      <c r="R1117" s="68"/>
      <c r="S1117" s="68"/>
      <c r="T1117" s="69">
        <f t="shared" si="278"/>
        <v>0</v>
      </c>
      <c r="U1117" s="61"/>
      <c r="V1117" s="83">
        <v>0</v>
      </c>
      <c r="W1117" s="61">
        <f t="shared" si="279"/>
        <v>0</v>
      </c>
      <c r="X1117" s="171">
        <v>46258.710416666669</v>
      </c>
      <c r="Y1117" s="171">
        <v>46258.780555555553</v>
      </c>
      <c r="Z1117" s="168">
        <f t="shared" si="267"/>
        <v>7.0138888884685002E-2</v>
      </c>
      <c r="AA1117" s="169">
        <f t="shared" si="268"/>
        <v>8.3333333333333329E-2</v>
      </c>
      <c r="AB1117" s="170" t="str">
        <f t="shared" si="269"/>
        <v>00:19:00</v>
      </c>
      <c r="AC1117" s="170" t="b">
        <f t="shared" si="270"/>
        <v>1</v>
      </c>
    </row>
    <row r="1118" spans="1:29" s="128" customFormat="1" ht="9.75" hidden="1" customHeight="1" x14ac:dyDescent="0.3">
      <c r="A1118" s="99">
        <v>46258</v>
      </c>
      <c r="B1118" s="59">
        <v>8198106</v>
      </c>
      <c r="C1118" s="60" t="s">
        <v>27</v>
      </c>
      <c r="D1118" s="60" t="s">
        <v>378</v>
      </c>
      <c r="E1118" s="61">
        <v>0.70833333333333337</v>
      </c>
      <c r="F1118" s="60" t="s">
        <v>28</v>
      </c>
      <c r="G1118" s="71" t="s">
        <v>13</v>
      </c>
      <c r="H1118" s="62">
        <v>0.71527777777777779</v>
      </c>
      <c r="I1118" s="113" t="str">
        <f t="shared" si="275"/>
        <v>24-08-2026T17:10:00</v>
      </c>
      <c r="J1118" s="62">
        <v>0.88055555555555554</v>
      </c>
      <c r="K1118" s="62"/>
      <c r="L1118" s="63">
        <f t="shared" si="276"/>
        <v>0.16527777777777775</v>
      </c>
      <c r="M1118" s="64">
        <v>0.16666666666666666</v>
      </c>
      <c r="N1118" s="65" t="str">
        <f t="shared" si="277"/>
        <v>00:02:00</v>
      </c>
      <c r="O1118" s="66"/>
      <c r="P1118" s="124"/>
      <c r="Q1118" s="67"/>
      <c r="R1118" s="68"/>
      <c r="S1118" s="68"/>
      <c r="T1118" s="69">
        <f t="shared" si="278"/>
        <v>0</v>
      </c>
      <c r="U1118" s="61"/>
      <c r="V1118" s="83">
        <v>0</v>
      </c>
      <c r="W1118" s="61">
        <f t="shared" si="279"/>
        <v>0</v>
      </c>
      <c r="X1118" s="171">
        <v>46258.715277777781</v>
      </c>
      <c r="Y1118" s="171">
        <v>46258.880555555559</v>
      </c>
      <c r="Z1118" s="168">
        <f t="shared" si="267"/>
        <v>0.16527777777810115</v>
      </c>
      <c r="AA1118" s="169">
        <f t="shared" si="268"/>
        <v>0.16666666666666666</v>
      </c>
      <c r="AB1118" s="170" t="str">
        <f t="shared" si="269"/>
        <v>00:02:00</v>
      </c>
      <c r="AC1118" s="170" t="b">
        <f t="shared" si="270"/>
        <v>1</v>
      </c>
    </row>
    <row r="1119" spans="1:29" s="128" customFormat="1" ht="9.75" hidden="1" customHeight="1" x14ac:dyDescent="0.3">
      <c r="A1119" s="99">
        <v>46258</v>
      </c>
      <c r="B1119" s="59">
        <v>8198131</v>
      </c>
      <c r="C1119" s="60" t="s">
        <v>89</v>
      </c>
      <c r="D1119" s="60" t="s">
        <v>294</v>
      </c>
      <c r="E1119" s="61">
        <v>0.75</v>
      </c>
      <c r="F1119" s="60" t="s">
        <v>35</v>
      </c>
      <c r="G1119" s="71" t="s">
        <v>13</v>
      </c>
      <c r="H1119" s="62">
        <v>0.73055555555555551</v>
      </c>
      <c r="I1119" s="113" t="str">
        <f t="shared" si="275"/>
        <v>24-08-2026T17:32:00</v>
      </c>
      <c r="J1119" s="62">
        <v>0.76041666666666663</v>
      </c>
      <c r="K1119" s="62"/>
      <c r="L1119" s="63">
        <f t="shared" si="276"/>
        <v>2.9861111111111116E-2</v>
      </c>
      <c r="M1119" s="64">
        <v>4.1666666666666664E-2</v>
      </c>
      <c r="N1119" s="65" t="str">
        <f t="shared" si="277"/>
        <v>00:17:00</v>
      </c>
      <c r="O1119" s="66"/>
      <c r="P1119" s="124"/>
      <c r="Q1119" s="67"/>
      <c r="R1119" s="68"/>
      <c r="S1119" s="68"/>
      <c r="T1119" s="69">
        <f t="shared" si="278"/>
        <v>0</v>
      </c>
      <c r="U1119" s="61"/>
      <c r="V1119" s="83">
        <v>0</v>
      </c>
      <c r="W1119" s="61">
        <f t="shared" si="279"/>
        <v>0</v>
      </c>
      <c r="X1119" s="171">
        <v>46258.730555555558</v>
      </c>
      <c r="Y1119" s="171">
        <v>46258.760416666664</v>
      </c>
      <c r="Z1119" s="168">
        <f t="shared" si="267"/>
        <v>2.9861111106583849E-2</v>
      </c>
      <c r="AA1119" s="169">
        <f t="shared" si="268"/>
        <v>4.1666666666666664E-2</v>
      </c>
      <c r="AB1119" s="170" t="str">
        <f t="shared" si="269"/>
        <v>00:17:00</v>
      </c>
      <c r="AC1119" s="170" t="b">
        <f t="shared" si="270"/>
        <v>1</v>
      </c>
    </row>
    <row r="1120" spans="1:29" s="128" customFormat="1" ht="9.75" hidden="1" customHeight="1" x14ac:dyDescent="0.3">
      <c r="A1120" s="99">
        <v>46258</v>
      </c>
      <c r="B1120" s="59">
        <v>8198356</v>
      </c>
      <c r="C1120" s="60" t="s">
        <v>32</v>
      </c>
      <c r="D1120" s="60" t="s">
        <v>476</v>
      </c>
      <c r="E1120" s="61">
        <v>0.83333333333333337</v>
      </c>
      <c r="F1120" s="60" t="s">
        <v>287</v>
      </c>
      <c r="G1120" s="71" t="s">
        <v>13</v>
      </c>
      <c r="H1120" s="62">
        <v>0.80833333333333335</v>
      </c>
      <c r="I1120" s="113" t="str">
        <f t="shared" si="275"/>
        <v>24-08-2026T19:24:00</v>
      </c>
      <c r="J1120" s="62">
        <v>0.94305555555555554</v>
      </c>
      <c r="K1120" s="62"/>
      <c r="L1120" s="63">
        <f t="shared" si="276"/>
        <v>0.13472222222222219</v>
      </c>
      <c r="M1120" s="64">
        <v>0.14583333333333334</v>
      </c>
      <c r="N1120" s="65" t="str">
        <f t="shared" si="277"/>
        <v>00:16:00</v>
      </c>
      <c r="O1120" s="66"/>
      <c r="P1120" s="124"/>
      <c r="Q1120" s="67"/>
      <c r="R1120" s="68"/>
      <c r="S1120" s="68"/>
      <c r="T1120" s="69">
        <f t="shared" si="278"/>
        <v>0</v>
      </c>
      <c r="U1120" s="61"/>
      <c r="V1120" s="83">
        <v>0</v>
      </c>
      <c r="W1120" s="61">
        <f t="shared" si="279"/>
        <v>0</v>
      </c>
      <c r="X1120" s="171">
        <v>46258.808333333334</v>
      </c>
      <c r="Y1120" s="171">
        <v>46258.943055555559</v>
      </c>
      <c r="Z1120" s="168">
        <f t="shared" si="267"/>
        <v>0.13472222222480923</v>
      </c>
      <c r="AA1120" s="169">
        <f t="shared" si="268"/>
        <v>0.14583333333333334</v>
      </c>
      <c r="AB1120" s="170" t="str">
        <f t="shared" si="269"/>
        <v>00:16:00</v>
      </c>
      <c r="AC1120" s="170" t="b">
        <f t="shared" si="270"/>
        <v>1</v>
      </c>
    </row>
    <row r="1121" spans="1:29" s="128" customFormat="1" ht="9.75" hidden="1" customHeight="1" x14ac:dyDescent="0.3">
      <c r="A1121" s="99">
        <v>46258</v>
      </c>
      <c r="B1121" s="59">
        <v>8198511</v>
      </c>
      <c r="C1121" s="60" t="s">
        <v>42</v>
      </c>
      <c r="D1121" s="60" t="s">
        <v>181</v>
      </c>
      <c r="E1121" s="61">
        <v>0.875</v>
      </c>
      <c r="F1121" s="60" t="s">
        <v>55</v>
      </c>
      <c r="G1121" s="71" t="s">
        <v>13</v>
      </c>
      <c r="H1121" s="62">
        <v>0.86250000000000004</v>
      </c>
      <c r="I1121" s="113" t="str">
        <f t="shared" si="275"/>
        <v>24-08-2026T20:42:00</v>
      </c>
      <c r="J1121" s="62">
        <v>0.91597222222222219</v>
      </c>
      <c r="K1121" s="62"/>
      <c r="L1121" s="63">
        <f t="shared" si="276"/>
        <v>5.3472222222222143E-2</v>
      </c>
      <c r="M1121" s="64">
        <v>6.25E-2</v>
      </c>
      <c r="N1121" s="65" t="str">
        <f t="shared" si="277"/>
        <v>00:13:00</v>
      </c>
      <c r="O1121" s="66"/>
      <c r="P1121" s="124"/>
      <c r="Q1121" s="67"/>
      <c r="R1121" s="68"/>
      <c r="S1121" s="68"/>
      <c r="T1121" s="69">
        <f t="shared" si="278"/>
        <v>0</v>
      </c>
      <c r="U1121" s="61"/>
      <c r="V1121" s="83">
        <v>0</v>
      </c>
      <c r="W1121" s="61">
        <f t="shared" si="279"/>
        <v>0</v>
      </c>
      <c r="X1121" s="171">
        <v>46258.862500000003</v>
      </c>
      <c r="Y1121" s="171">
        <v>46258.915972222225</v>
      </c>
      <c r="Z1121" s="168">
        <f t="shared" si="267"/>
        <v>5.3472222221898846E-2</v>
      </c>
      <c r="AA1121" s="169">
        <f t="shared" si="268"/>
        <v>6.25E-2</v>
      </c>
      <c r="AB1121" s="170" t="str">
        <f t="shared" si="269"/>
        <v>00:13:00</v>
      </c>
      <c r="AC1121" s="170" t="b">
        <f t="shared" si="270"/>
        <v>1</v>
      </c>
    </row>
    <row r="1122" spans="1:29" s="128" customFormat="1" ht="9.75" hidden="1" customHeight="1" x14ac:dyDescent="0.3">
      <c r="A1122" s="99">
        <v>46258</v>
      </c>
      <c r="B1122" s="59">
        <v>8198572</v>
      </c>
      <c r="C1122" s="60" t="s">
        <v>54</v>
      </c>
      <c r="D1122" s="60" t="s">
        <v>288</v>
      </c>
      <c r="E1122" s="61">
        <v>0.875</v>
      </c>
      <c r="F1122" s="60" t="s">
        <v>24</v>
      </c>
      <c r="G1122" s="71" t="s">
        <v>13</v>
      </c>
      <c r="H1122" s="62">
        <v>0.87638888888888888</v>
      </c>
      <c r="I1122" s="113" t="str">
        <f t="shared" si="275"/>
        <v>24-08-2026T21:02:00</v>
      </c>
      <c r="J1122" s="62">
        <v>0.94930555555555551</v>
      </c>
      <c r="K1122" s="62"/>
      <c r="L1122" s="63">
        <f t="shared" si="276"/>
        <v>7.291666666666663E-2</v>
      </c>
      <c r="M1122" s="64">
        <v>8.3333333333333329E-2</v>
      </c>
      <c r="N1122" s="65" t="str">
        <f t="shared" si="277"/>
        <v>00:15:00</v>
      </c>
      <c r="O1122" s="66"/>
      <c r="P1122" s="124"/>
      <c r="Q1122" s="67"/>
      <c r="R1122" s="68"/>
      <c r="S1122" s="68"/>
      <c r="T1122" s="69">
        <f t="shared" si="278"/>
        <v>0</v>
      </c>
      <c r="U1122" s="61"/>
      <c r="V1122" s="83">
        <v>0</v>
      </c>
      <c r="W1122" s="61">
        <f t="shared" si="279"/>
        <v>0</v>
      </c>
      <c r="X1122" s="171">
        <v>46258.876388888886</v>
      </c>
      <c r="Y1122" s="171">
        <v>46258.949305555558</v>
      </c>
      <c r="Z1122" s="168">
        <f t="shared" si="267"/>
        <v>7.2916666671517305E-2</v>
      </c>
      <c r="AA1122" s="169">
        <f t="shared" si="268"/>
        <v>8.3333333333333329E-2</v>
      </c>
      <c r="AB1122" s="170" t="str">
        <f t="shared" si="269"/>
        <v>00:15:00</v>
      </c>
      <c r="AC1122" s="170" t="b">
        <f t="shared" si="270"/>
        <v>1</v>
      </c>
    </row>
    <row r="1123" spans="1:29" s="128" customFormat="1" ht="9.75" hidden="1" customHeight="1" x14ac:dyDescent="0.3">
      <c r="A1123" s="99">
        <v>46258</v>
      </c>
      <c r="B1123" s="59">
        <v>8198788</v>
      </c>
      <c r="C1123" s="60" t="s">
        <v>104</v>
      </c>
      <c r="D1123" s="60" t="s">
        <v>382</v>
      </c>
      <c r="E1123" s="61">
        <v>0.95833333333333337</v>
      </c>
      <c r="F1123" s="60" t="s">
        <v>173</v>
      </c>
      <c r="G1123" s="71" t="s">
        <v>13</v>
      </c>
      <c r="H1123" s="62">
        <v>46258.961111111108</v>
      </c>
      <c r="I1123" s="113" t="str">
        <f t="shared" si="275"/>
        <v>24-08-2026T23:04:00</v>
      </c>
      <c r="J1123" s="62">
        <v>46260.729166666664</v>
      </c>
      <c r="K1123" s="62"/>
      <c r="L1123" s="63">
        <f t="shared" si="276"/>
        <v>1.7680555555562023</v>
      </c>
      <c r="M1123" s="64">
        <v>1.9166666666666667</v>
      </c>
      <c r="N1123" s="65" t="str">
        <f t="shared" si="277"/>
        <v>03:34:00</v>
      </c>
      <c r="O1123" s="66"/>
      <c r="P1123" s="124"/>
      <c r="Q1123" s="67" t="s">
        <v>96</v>
      </c>
      <c r="R1123" s="68">
        <v>46259.093055555553</v>
      </c>
      <c r="S1123" s="68">
        <v>46259.173611111109</v>
      </c>
      <c r="T1123" s="69">
        <f t="shared" si="278"/>
        <v>8.0555555556202307E-2</v>
      </c>
      <c r="U1123" s="61"/>
      <c r="V1123" s="83">
        <v>8.3333333333333329E-2</v>
      </c>
      <c r="W1123" s="61">
        <f t="shared" si="279"/>
        <v>-2.7777777771310214E-3</v>
      </c>
      <c r="X1123" s="171">
        <v>46258.961111111108</v>
      </c>
      <c r="Y1123" s="171">
        <v>46260.729166666664</v>
      </c>
      <c r="Z1123" s="168">
        <f t="shared" si="267"/>
        <v>1.7680555555562023</v>
      </c>
      <c r="AA1123" s="169">
        <f t="shared" si="268"/>
        <v>1.9166666666666667</v>
      </c>
      <c r="AB1123" s="170" t="str">
        <f t="shared" si="269"/>
        <v>03:34:00</v>
      </c>
      <c r="AC1123" s="170" t="b">
        <f t="shared" si="270"/>
        <v>1</v>
      </c>
    </row>
    <row r="1124" spans="1:29" s="128" customFormat="1" ht="9.75" hidden="1" customHeight="1" x14ac:dyDescent="0.3">
      <c r="A1124" s="99">
        <v>46258</v>
      </c>
      <c r="B1124" s="59">
        <v>8198860</v>
      </c>
      <c r="C1124" s="60" t="s">
        <v>41</v>
      </c>
      <c r="D1124" s="60" t="s">
        <v>299</v>
      </c>
      <c r="E1124" s="61">
        <v>0.99930555555555556</v>
      </c>
      <c r="F1124" s="60" t="s">
        <v>24</v>
      </c>
      <c r="G1124" s="71" t="s">
        <v>13</v>
      </c>
      <c r="H1124" s="62">
        <v>46258.999305555553</v>
      </c>
      <c r="I1124" s="113" t="str">
        <f t="shared" si="275"/>
        <v>24-08-2026T23:59:00</v>
      </c>
      <c r="J1124" s="62">
        <v>46259.073611111111</v>
      </c>
      <c r="K1124" s="62"/>
      <c r="L1124" s="63">
        <f t="shared" si="276"/>
        <v>7.4305555557657499E-2</v>
      </c>
      <c r="M1124" s="64">
        <v>8.3333333333333329E-2</v>
      </c>
      <c r="N1124" s="65" t="str">
        <f t="shared" si="277"/>
        <v>00:13:00</v>
      </c>
      <c r="O1124" s="66"/>
      <c r="P1124" s="124"/>
      <c r="Q1124" s="67"/>
      <c r="R1124" s="68"/>
      <c r="S1124" s="68"/>
      <c r="T1124" s="69">
        <f t="shared" si="278"/>
        <v>0</v>
      </c>
      <c r="U1124" s="61"/>
      <c r="V1124" s="83">
        <v>0</v>
      </c>
      <c r="W1124" s="61">
        <f t="shared" si="279"/>
        <v>0</v>
      </c>
      <c r="X1124" s="171">
        <v>46258.999305555553</v>
      </c>
      <c r="Y1124" s="171">
        <v>46259.073611111111</v>
      </c>
      <c r="Z1124" s="168">
        <f t="shared" si="267"/>
        <v>7.4305555557657499E-2</v>
      </c>
      <c r="AA1124" s="169">
        <f t="shared" si="268"/>
        <v>8.3333333333333329E-2</v>
      </c>
      <c r="AB1124" s="170" t="str">
        <f t="shared" si="269"/>
        <v>00:13:00</v>
      </c>
      <c r="AC1124" s="170" t="b">
        <f t="shared" si="270"/>
        <v>1</v>
      </c>
    </row>
    <row r="1125" spans="1:29" s="128" customFormat="1" ht="9.75" hidden="1" customHeight="1" x14ac:dyDescent="0.3">
      <c r="A1125" s="99">
        <v>46258</v>
      </c>
      <c r="B1125" s="59">
        <v>8196620</v>
      </c>
      <c r="C1125" s="60" t="s">
        <v>84</v>
      </c>
      <c r="D1125" s="60" t="s">
        <v>301</v>
      </c>
      <c r="E1125" s="61" t="s">
        <v>184</v>
      </c>
      <c r="F1125" s="60" t="s">
        <v>13</v>
      </c>
      <c r="G1125" s="71" t="s">
        <v>174</v>
      </c>
      <c r="H1125" s="62">
        <v>0.13194444444444445</v>
      </c>
      <c r="I1125" s="113" t="str">
        <f t="shared" si="275"/>
        <v>24-08-2026T03:10:00</v>
      </c>
      <c r="J1125" s="62">
        <v>0.39583333333333331</v>
      </c>
      <c r="K1125" s="62"/>
      <c r="L1125" s="63">
        <f t="shared" si="276"/>
        <v>0.26388888888888884</v>
      </c>
      <c r="M1125" s="64">
        <v>0.29166666666666669</v>
      </c>
      <c r="N1125" s="65" t="str">
        <f t="shared" si="277"/>
        <v>00:40:00</v>
      </c>
      <c r="O1125" s="66"/>
      <c r="P1125" s="124" t="s">
        <v>184</v>
      </c>
      <c r="Q1125" s="67"/>
      <c r="R1125" s="68"/>
      <c r="S1125" s="68"/>
      <c r="T1125" s="69">
        <f t="shared" si="278"/>
        <v>0</v>
      </c>
      <c r="U1125" s="61"/>
      <c r="V1125" s="83">
        <v>0</v>
      </c>
      <c r="W1125" s="61">
        <f t="shared" si="279"/>
        <v>0</v>
      </c>
      <c r="X1125" s="171">
        <v>46258.131944444445</v>
      </c>
      <c r="Y1125" s="171">
        <v>46258.395833333336</v>
      </c>
      <c r="Z1125" s="168">
        <f t="shared" si="267"/>
        <v>0.26388888889050577</v>
      </c>
      <c r="AA1125" s="169">
        <f t="shared" si="268"/>
        <v>0.29166666666666669</v>
      </c>
      <c r="AB1125" s="170" t="str">
        <f t="shared" si="269"/>
        <v>00:40:00</v>
      </c>
      <c r="AC1125" s="170" t="b">
        <f t="shared" si="270"/>
        <v>1</v>
      </c>
    </row>
    <row r="1126" spans="1:29" s="128" customFormat="1" ht="9.75" hidden="1" customHeight="1" x14ac:dyDescent="0.3">
      <c r="A1126" s="99">
        <v>46258</v>
      </c>
      <c r="B1126" s="59">
        <v>8198148</v>
      </c>
      <c r="C1126" s="60" t="s">
        <v>84</v>
      </c>
      <c r="D1126" s="60" t="s">
        <v>301</v>
      </c>
      <c r="E1126" s="61" t="s">
        <v>184</v>
      </c>
      <c r="F1126" s="60" t="s">
        <v>174</v>
      </c>
      <c r="G1126" s="71" t="s">
        <v>13</v>
      </c>
      <c r="H1126" s="62">
        <v>46258.737500000003</v>
      </c>
      <c r="I1126" s="113" t="str">
        <f t="shared" si="275"/>
        <v>24-08-2026T17:42:00</v>
      </c>
      <c r="J1126" s="62">
        <v>46259.009027777778</v>
      </c>
      <c r="K1126" s="62"/>
      <c r="L1126" s="63">
        <f t="shared" si="276"/>
        <v>0.27152777777519077</v>
      </c>
      <c r="M1126" s="64">
        <v>0.29166666666666669</v>
      </c>
      <c r="N1126" s="65" t="str">
        <f t="shared" si="277"/>
        <v>00:29:00</v>
      </c>
      <c r="O1126" s="66"/>
      <c r="P1126" s="124" t="s">
        <v>184</v>
      </c>
      <c r="Q1126" s="67"/>
      <c r="R1126" s="68"/>
      <c r="S1126" s="68"/>
      <c r="T1126" s="69">
        <f t="shared" si="278"/>
        <v>0</v>
      </c>
      <c r="U1126" s="61"/>
      <c r="V1126" s="83">
        <v>0</v>
      </c>
      <c r="W1126" s="61">
        <f t="shared" si="279"/>
        <v>0</v>
      </c>
      <c r="X1126" s="171">
        <v>46258.737500000003</v>
      </c>
      <c r="Y1126" s="171">
        <v>46259.009027777778</v>
      </c>
      <c r="Z1126" s="168">
        <f t="shared" si="267"/>
        <v>0.27152777777519077</v>
      </c>
      <c r="AA1126" s="169">
        <f t="shared" si="268"/>
        <v>0.29166666666666669</v>
      </c>
      <c r="AB1126" s="170" t="str">
        <f t="shared" si="269"/>
        <v>00:29:00</v>
      </c>
      <c r="AC1126" s="170" t="b">
        <f t="shared" si="270"/>
        <v>1</v>
      </c>
    </row>
    <row r="1127" spans="1:29" s="128" customFormat="1" ht="9.75" hidden="1" customHeight="1" x14ac:dyDescent="0.3">
      <c r="A1127" s="99">
        <v>46258</v>
      </c>
      <c r="B1127" s="59">
        <v>8198068</v>
      </c>
      <c r="C1127" s="60" t="s">
        <v>94</v>
      </c>
      <c r="D1127" s="60" t="s">
        <v>293</v>
      </c>
      <c r="E1127" s="61" t="s">
        <v>184</v>
      </c>
      <c r="F1127" s="60" t="s">
        <v>13</v>
      </c>
      <c r="G1127" s="71" t="s">
        <v>23</v>
      </c>
      <c r="H1127" s="62">
        <v>46258.701388888891</v>
      </c>
      <c r="I1127" s="113" t="str">
        <f t="shared" si="275"/>
        <v>24-08-2026T16:50:00</v>
      </c>
      <c r="J1127" s="62">
        <v>46259.88958333333</v>
      </c>
      <c r="K1127" s="62"/>
      <c r="L1127" s="63">
        <f t="shared" si="276"/>
        <v>1.1881944444394321</v>
      </c>
      <c r="M1127" s="64">
        <v>1.125</v>
      </c>
      <c r="N1127" s="65" t="str">
        <f t="shared" si="277"/>
        <v>-01:31:00</v>
      </c>
      <c r="O1127" s="66"/>
      <c r="P1127" s="124" t="s">
        <v>184</v>
      </c>
      <c r="Q1127" s="67" t="s">
        <v>697</v>
      </c>
      <c r="R1127" s="68" t="s">
        <v>372</v>
      </c>
      <c r="S1127" s="68" t="s">
        <v>372</v>
      </c>
      <c r="T1127" s="69" t="e">
        <f t="shared" si="278"/>
        <v>#VALUE!</v>
      </c>
      <c r="U1127" s="61"/>
      <c r="V1127" s="83" t="s">
        <v>393</v>
      </c>
      <c r="W1127" s="61" t="e">
        <f t="shared" si="279"/>
        <v>#VALUE!</v>
      </c>
      <c r="X1127" s="172">
        <v>46258.701388888891</v>
      </c>
      <c r="Y1127" s="172">
        <v>46259.88958333333</v>
      </c>
      <c r="Z1127" s="173">
        <f t="shared" si="267"/>
        <v>1.1881944444394321</v>
      </c>
      <c r="AA1127" s="174">
        <f t="shared" si="268"/>
        <v>1.125</v>
      </c>
      <c r="AB1127" s="175" t="str">
        <f t="shared" si="269"/>
        <v>-01:31:00</v>
      </c>
      <c r="AC1127" s="175" t="b">
        <f t="shared" si="270"/>
        <v>1</v>
      </c>
    </row>
    <row r="1128" spans="1:29" s="144" customFormat="1" ht="9.75" hidden="1" customHeight="1" x14ac:dyDescent="0.3">
      <c r="A1128" s="129">
        <v>46259</v>
      </c>
      <c r="B1128" s="130">
        <v>8198950</v>
      </c>
      <c r="C1128" s="131" t="s">
        <v>82</v>
      </c>
      <c r="D1128" s="131" t="s">
        <v>333</v>
      </c>
      <c r="E1128" s="132">
        <v>6.25E-2</v>
      </c>
      <c r="F1128" s="131" t="s">
        <v>13</v>
      </c>
      <c r="G1128" s="133" t="s">
        <v>26</v>
      </c>
      <c r="H1128" s="134">
        <v>6.6666666666666666E-2</v>
      </c>
      <c r="I1128" s="113" t="str">
        <f t="shared" si="275"/>
        <v>25-08-2026T01:36:00</v>
      </c>
      <c r="J1128" s="134">
        <v>0.53055555555555556</v>
      </c>
      <c r="K1128" s="134"/>
      <c r="L1128" s="135">
        <f t="shared" si="276"/>
        <v>0.46388888888888891</v>
      </c>
      <c r="M1128" s="136">
        <v>0.41666666666666669</v>
      </c>
      <c r="N1128" s="137" t="str">
        <f t="shared" si="277"/>
        <v>-01:08:00</v>
      </c>
      <c r="O1128" s="138"/>
      <c r="P1128" s="145" t="s">
        <v>125</v>
      </c>
      <c r="Q1128" s="140" t="s">
        <v>179</v>
      </c>
      <c r="R1128" s="141">
        <v>0.25</v>
      </c>
      <c r="S1128" s="141">
        <v>0.36805555555555558</v>
      </c>
      <c r="T1128" s="142">
        <f t="shared" si="278"/>
        <v>0.11805555555555558</v>
      </c>
      <c r="U1128" s="132"/>
      <c r="V1128" s="143">
        <v>4.1666666666666664E-2</v>
      </c>
      <c r="W1128" s="132">
        <f t="shared" si="279"/>
        <v>7.6388888888888923E-2</v>
      </c>
      <c r="X1128" s="171">
        <v>46259.066666666666</v>
      </c>
      <c r="Y1128" s="171">
        <v>46259.530555555553</v>
      </c>
      <c r="Z1128" s="168">
        <f t="shared" si="267"/>
        <v>0.46388888888759539</v>
      </c>
      <c r="AA1128" s="169">
        <f t="shared" si="268"/>
        <v>0.41666666666666669</v>
      </c>
      <c r="AB1128" s="170" t="str">
        <f t="shared" si="269"/>
        <v>-01:08:00</v>
      </c>
      <c r="AC1128" s="170" t="b">
        <f t="shared" si="270"/>
        <v>1</v>
      </c>
    </row>
    <row r="1129" spans="1:29" s="127" customFormat="1" ht="9.75" hidden="1" customHeight="1" x14ac:dyDescent="0.3">
      <c r="A1129" s="98">
        <v>46259</v>
      </c>
      <c r="B1129" s="48">
        <v>8198987</v>
      </c>
      <c r="C1129" s="49" t="s">
        <v>53</v>
      </c>
      <c r="D1129" s="49" t="s">
        <v>298</v>
      </c>
      <c r="E1129" s="50">
        <v>8.3333333333333329E-2</v>
      </c>
      <c r="F1129" s="49" t="s">
        <v>13</v>
      </c>
      <c r="G1129" s="70" t="s">
        <v>19</v>
      </c>
      <c r="H1129" s="51">
        <v>8.2638888888888887E-2</v>
      </c>
      <c r="I1129" s="113" t="str">
        <f t="shared" si="275"/>
        <v>25-08-2026T01:59:00</v>
      </c>
      <c r="J1129" s="51">
        <v>0.52083333333333337</v>
      </c>
      <c r="K1129" s="51"/>
      <c r="L1129" s="52">
        <f t="shared" si="276"/>
        <v>0.4381944444444445</v>
      </c>
      <c r="M1129" s="53">
        <v>0.41666666666666669</v>
      </c>
      <c r="N1129" s="54" t="str">
        <f t="shared" si="277"/>
        <v>-00:31:00</v>
      </c>
      <c r="O1129" s="55">
        <v>200</v>
      </c>
      <c r="P1129" s="147" t="s">
        <v>708</v>
      </c>
      <c r="Q1129" s="56" t="s">
        <v>229</v>
      </c>
      <c r="R1129" s="57">
        <v>0.35416666666666669</v>
      </c>
      <c r="S1129" s="57">
        <v>0.41666666666666669</v>
      </c>
      <c r="T1129" s="58">
        <f t="shared" si="278"/>
        <v>6.25E-2</v>
      </c>
      <c r="U1129" s="50"/>
      <c r="V1129" s="74">
        <v>6.25E-2</v>
      </c>
      <c r="W1129" s="50">
        <f t="shared" si="279"/>
        <v>0</v>
      </c>
      <c r="X1129" s="171">
        <v>46259.082638888889</v>
      </c>
      <c r="Y1129" s="171">
        <v>46259.520833333336</v>
      </c>
      <c r="Z1129" s="168">
        <f t="shared" si="267"/>
        <v>0.43819444444670808</v>
      </c>
      <c r="AA1129" s="169">
        <f t="shared" si="268"/>
        <v>0.41666666666666669</v>
      </c>
      <c r="AB1129" s="170" t="str">
        <f t="shared" si="269"/>
        <v>-00:31:00</v>
      </c>
      <c r="AC1129" s="170" t="b">
        <f t="shared" si="270"/>
        <v>1</v>
      </c>
    </row>
    <row r="1130" spans="1:29" s="128" customFormat="1" ht="9.75" hidden="1" customHeight="1" x14ac:dyDescent="0.3">
      <c r="A1130" s="99">
        <v>46259</v>
      </c>
      <c r="B1130" s="59">
        <v>8198986</v>
      </c>
      <c r="C1130" s="60" t="s">
        <v>16</v>
      </c>
      <c r="D1130" s="60" t="s">
        <v>285</v>
      </c>
      <c r="E1130" s="61">
        <v>8.3333333333333329E-2</v>
      </c>
      <c r="F1130" s="60" t="s">
        <v>15</v>
      </c>
      <c r="G1130" s="71" t="s">
        <v>17</v>
      </c>
      <c r="H1130" s="62">
        <v>8.1944444444444445E-2</v>
      </c>
      <c r="I1130" s="113" t="str">
        <f t="shared" si="275"/>
        <v>25-08-2026T01:58:00</v>
      </c>
      <c r="J1130" s="62">
        <v>0.48958333333333331</v>
      </c>
      <c r="K1130" s="62"/>
      <c r="L1130" s="63">
        <f t="shared" si="276"/>
        <v>0.40763888888888888</v>
      </c>
      <c r="M1130" s="64">
        <v>0.41666666666666669</v>
      </c>
      <c r="N1130" s="65" t="str">
        <f t="shared" si="277"/>
        <v>00:13:00</v>
      </c>
      <c r="O1130" s="66"/>
      <c r="P1130" s="124"/>
      <c r="Q1130" s="67"/>
      <c r="R1130" s="68"/>
      <c r="S1130" s="68"/>
      <c r="T1130" s="69">
        <f t="shared" si="278"/>
        <v>0</v>
      </c>
      <c r="U1130" s="61" t="s">
        <v>234</v>
      </c>
      <c r="V1130" s="83">
        <v>0</v>
      </c>
      <c r="W1130" s="61">
        <f t="shared" si="279"/>
        <v>0</v>
      </c>
      <c r="X1130" s="171">
        <v>8.1944444444444445E-2</v>
      </c>
      <c r="Y1130" s="171">
        <v>0.48958333333333331</v>
      </c>
      <c r="Z1130" s="168">
        <f t="shared" si="267"/>
        <v>0.40763888888888888</v>
      </c>
      <c r="AA1130" s="169">
        <f t="shared" si="268"/>
        <v>0.41666666666666669</v>
      </c>
      <c r="AB1130" s="170" t="str">
        <f t="shared" si="269"/>
        <v>00:13:00</v>
      </c>
      <c r="AC1130" s="170" t="b">
        <f t="shared" si="270"/>
        <v>1</v>
      </c>
    </row>
    <row r="1131" spans="1:29" s="127" customFormat="1" ht="9.75" hidden="1" customHeight="1" x14ac:dyDescent="0.3">
      <c r="A1131" s="98">
        <v>46259</v>
      </c>
      <c r="B1131" s="48">
        <v>8199118</v>
      </c>
      <c r="C1131" s="49" t="s">
        <v>97</v>
      </c>
      <c r="D1131" s="49" t="s">
        <v>468</v>
      </c>
      <c r="E1131" s="50">
        <v>0.125</v>
      </c>
      <c r="F1131" s="49" t="s">
        <v>23</v>
      </c>
      <c r="G1131" s="70" t="s">
        <v>13</v>
      </c>
      <c r="H1131" s="51">
        <v>46259.138888888891</v>
      </c>
      <c r="I1131" s="113" t="str">
        <f t="shared" si="275"/>
        <v>25-08-2026T03:20:00</v>
      </c>
      <c r="J1131" s="51">
        <v>46260.468055555553</v>
      </c>
      <c r="K1131" s="51"/>
      <c r="L1131" s="52">
        <f t="shared" si="276"/>
        <v>1.3291666666627862</v>
      </c>
      <c r="M1131" s="53">
        <v>1.0833333333333333</v>
      </c>
      <c r="N1131" s="54" t="str">
        <f t="shared" si="277"/>
        <v>-05:54:00</v>
      </c>
      <c r="O1131" s="55">
        <v>400</v>
      </c>
      <c r="P1131" s="147" t="s">
        <v>714</v>
      </c>
      <c r="Q1131" s="56" t="s">
        <v>13</v>
      </c>
      <c r="R1131" s="57">
        <v>46260.28125</v>
      </c>
      <c r="S1131" s="57">
        <v>46260.468055555553</v>
      </c>
      <c r="T1131" s="47">
        <f t="shared" si="278"/>
        <v>0.18680555555329192</v>
      </c>
      <c r="U1131" s="50"/>
      <c r="V1131" s="74">
        <v>8.3333333333333329E-2</v>
      </c>
      <c r="W1131" s="50">
        <f t="shared" si="279"/>
        <v>0.1034722222199586</v>
      </c>
      <c r="X1131" s="171">
        <v>46259.138888888891</v>
      </c>
      <c r="Y1131" s="171">
        <v>46260.468055555553</v>
      </c>
      <c r="Z1131" s="168">
        <f t="shared" si="267"/>
        <v>1.3291666666627862</v>
      </c>
      <c r="AA1131" s="169">
        <f t="shared" si="268"/>
        <v>1.0833333333333333</v>
      </c>
      <c r="AB1131" s="170" t="str">
        <f t="shared" si="269"/>
        <v>-05:54:00</v>
      </c>
      <c r="AC1131" s="170" t="b">
        <f t="shared" si="270"/>
        <v>1</v>
      </c>
    </row>
    <row r="1132" spans="1:29" s="127" customFormat="1" ht="9.75" hidden="1" customHeight="1" x14ac:dyDescent="0.3">
      <c r="A1132" s="98">
        <v>46259</v>
      </c>
      <c r="B1132" s="48">
        <v>8199330</v>
      </c>
      <c r="C1132" s="49" t="s">
        <v>84</v>
      </c>
      <c r="D1132" s="49" t="s">
        <v>301</v>
      </c>
      <c r="E1132" s="50">
        <v>0.125</v>
      </c>
      <c r="F1132" s="49" t="s">
        <v>13</v>
      </c>
      <c r="G1132" s="70" t="s">
        <v>284</v>
      </c>
      <c r="H1132" s="51">
        <v>0.2013888888888889</v>
      </c>
      <c r="I1132" s="113" t="str">
        <f t="shared" si="275"/>
        <v>25-08-2026T04:50:00</v>
      </c>
      <c r="J1132" s="51">
        <v>0.59375</v>
      </c>
      <c r="K1132" s="51"/>
      <c r="L1132" s="52">
        <f t="shared" si="276"/>
        <v>0.3923611111111111</v>
      </c>
      <c r="M1132" s="53">
        <v>0.35416666666666669</v>
      </c>
      <c r="N1132" s="54" t="str">
        <f t="shared" si="277"/>
        <v>-00:55:00</v>
      </c>
      <c r="O1132" s="55">
        <v>150</v>
      </c>
      <c r="P1132" s="147" t="s">
        <v>125</v>
      </c>
      <c r="Q1132" s="56" t="s">
        <v>174</v>
      </c>
      <c r="R1132" s="57">
        <v>0.4375</v>
      </c>
      <c r="S1132" s="57">
        <v>0.53333333333333333</v>
      </c>
      <c r="T1132" s="47">
        <f t="shared" si="278"/>
        <v>9.5833333333333326E-2</v>
      </c>
      <c r="U1132" s="50"/>
      <c r="V1132" s="74">
        <v>6.25E-2</v>
      </c>
      <c r="W1132" s="50">
        <f t="shared" si="279"/>
        <v>3.3333333333333326E-2</v>
      </c>
      <c r="X1132" s="171">
        <v>46259.201388888891</v>
      </c>
      <c r="Y1132" s="171">
        <v>46259.59375</v>
      </c>
      <c r="Z1132" s="168">
        <f t="shared" si="267"/>
        <v>0.39236111110949423</v>
      </c>
      <c r="AA1132" s="169">
        <f t="shared" si="268"/>
        <v>0.35416666666666669</v>
      </c>
      <c r="AB1132" s="170" t="str">
        <f t="shared" si="269"/>
        <v>-00:55:00</v>
      </c>
      <c r="AC1132" s="170" t="b">
        <f t="shared" si="270"/>
        <v>1</v>
      </c>
    </row>
    <row r="1133" spans="1:29" s="128" customFormat="1" ht="9.75" hidden="1" customHeight="1" x14ac:dyDescent="0.3">
      <c r="A1133" s="99">
        <v>46259</v>
      </c>
      <c r="B1133" s="59">
        <v>8199084</v>
      </c>
      <c r="C1133" s="60" t="s">
        <v>87</v>
      </c>
      <c r="D1133" s="60" t="s">
        <v>367</v>
      </c>
      <c r="E1133" s="61">
        <v>0.125</v>
      </c>
      <c r="F1133" s="60" t="s">
        <v>13</v>
      </c>
      <c r="G1133" s="71" t="s">
        <v>284</v>
      </c>
      <c r="H1133" s="62">
        <v>0.12361111111111112</v>
      </c>
      <c r="I1133" s="113" t="str">
        <f t="shared" si="275"/>
        <v>25-08-2026T02:58:00</v>
      </c>
      <c r="J1133" s="62">
        <v>0.47222222222222221</v>
      </c>
      <c r="K1133" s="62"/>
      <c r="L1133" s="63">
        <f t="shared" si="276"/>
        <v>0.34861111111111109</v>
      </c>
      <c r="M1133" s="64">
        <v>0.35416666666666669</v>
      </c>
      <c r="N1133" s="65" t="str">
        <f t="shared" si="277"/>
        <v>00:08:00</v>
      </c>
      <c r="O1133" s="66"/>
      <c r="P1133" s="124"/>
      <c r="Q1133" s="67" t="s">
        <v>174</v>
      </c>
      <c r="R1133" s="68">
        <v>0.37152777777777779</v>
      </c>
      <c r="S1133" s="68">
        <v>0.375</v>
      </c>
      <c r="T1133" s="69">
        <f t="shared" si="278"/>
        <v>3.4722222222222099E-3</v>
      </c>
      <c r="U1133" s="61"/>
      <c r="V1133" s="83">
        <v>6.25E-2</v>
      </c>
      <c r="W1133" s="61">
        <f t="shared" si="279"/>
        <v>-5.902777777777779E-2</v>
      </c>
      <c r="X1133" s="171">
        <v>46259.123611111114</v>
      </c>
      <c r="Y1133" s="171">
        <v>46259.472222222219</v>
      </c>
      <c r="Z1133" s="168">
        <f t="shared" si="267"/>
        <v>0.34861111110512866</v>
      </c>
      <c r="AA1133" s="169">
        <f t="shared" si="268"/>
        <v>0.35416666666666669</v>
      </c>
      <c r="AB1133" s="170" t="str">
        <f t="shared" si="269"/>
        <v>00:08:00</v>
      </c>
      <c r="AC1133" s="170" t="b">
        <f t="shared" si="270"/>
        <v>1</v>
      </c>
    </row>
    <row r="1134" spans="1:29" s="128" customFormat="1" ht="9.75" hidden="1" customHeight="1" x14ac:dyDescent="0.3">
      <c r="A1134" s="99">
        <v>46259</v>
      </c>
      <c r="B1134" s="59">
        <v>8199049</v>
      </c>
      <c r="C1134" s="60" t="s">
        <v>57</v>
      </c>
      <c r="D1134" s="60" t="s">
        <v>390</v>
      </c>
      <c r="E1134" s="61">
        <v>0.125</v>
      </c>
      <c r="F1134" s="60" t="s">
        <v>24</v>
      </c>
      <c r="G1134" s="71" t="s">
        <v>13</v>
      </c>
      <c r="H1134" s="62">
        <v>0.11388888888888889</v>
      </c>
      <c r="I1134" s="113" t="str">
        <f t="shared" si="275"/>
        <v>25-08-2026T02:44:00</v>
      </c>
      <c r="J1134" s="62">
        <v>0.17777777777777778</v>
      </c>
      <c r="K1134" s="62"/>
      <c r="L1134" s="63">
        <f t="shared" si="276"/>
        <v>6.3888888888888898E-2</v>
      </c>
      <c r="M1134" s="64">
        <v>8.3333333333333329E-2</v>
      </c>
      <c r="N1134" s="65" t="str">
        <f t="shared" si="277"/>
        <v>00:28:00</v>
      </c>
      <c r="O1134" s="66"/>
      <c r="P1134" s="124"/>
      <c r="Q1134" s="67"/>
      <c r="R1134" s="68"/>
      <c r="S1134" s="68"/>
      <c r="T1134" s="69">
        <f t="shared" si="278"/>
        <v>0</v>
      </c>
      <c r="U1134" s="61"/>
      <c r="V1134" s="83">
        <v>0</v>
      </c>
      <c r="W1134" s="61">
        <f t="shared" si="279"/>
        <v>0</v>
      </c>
      <c r="X1134" s="171">
        <v>46259.113888888889</v>
      </c>
      <c r="Y1134" s="171">
        <v>46259.177777777775</v>
      </c>
      <c r="Z1134" s="168">
        <f t="shared" si="267"/>
        <v>6.3888888886140194E-2</v>
      </c>
      <c r="AA1134" s="169">
        <f t="shared" si="268"/>
        <v>8.3333333333333329E-2</v>
      </c>
      <c r="AB1134" s="170" t="str">
        <f t="shared" si="269"/>
        <v>00:28:00</v>
      </c>
      <c r="AC1134" s="170" t="b">
        <f t="shared" si="270"/>
        <v>1</v>
      </c>
    </row>
    <row r="1135" spans="1:29" s="128" customFormat="1" ht="9.75" hidden="1" customHeight="1" x14ac:dyDescent="0.3">
      <c r="A1135" s="99">
        <v>46259</v>
      </c>
      <c r="B1135" s="59">
        <v>8199277</v>
      </c>
      <c r="C1135" s="60" t="s">
        <v>54</v>
      </c>
      <c r="D1135" s="60" t="s">
        <v>288</v>
      </c>
      <c r="E1135" s="61">
        <v>0.16666666666666666</v>
      </c>
      <c r="F1135" s="60" t="s">
        <v>13</v>
      </c>
      <c r="G1135" s="71" t="s">
        <v>24</v>
      </c>
      <c r="H1135" s="62">
        <v>0.18194444444444444</v>
      </c>
      <c r="I1135" s="113" t="str">
        <f t="shared" si="275"/>
        <v>25-08-2026T04:22:00</v>
      </c>
      <c r="J1135" s="62">
        <v>0.25694444444444442</v>
      </c>
      <c r="K1135" s="62"/>
      <c r="L1135" s="63">
        <f t="shared" ref="L1135:L1166" si="281">J1135-H1135</f>
        <v>7.4999999999999983E-2</v>
      </c>
      <c r="M1135" s="64">
        <v>8.3333333333333329E-2</v>
      </c>
      <c r="N1135" s="65" t="str">
        <f t="shared" ref="N1135:N1166" si="282">IF(M1135-L1135&gt;0,TEXT(M1135-L1135,"HH:MM:SS"),TEXT(ABS(M1135-L1135),"-HH:MM:SS"))</f>
        <v>00:12:00</v>
      </c>
      <c r="O1135" s="66"/>
      <c r="P1135" s="124"/>
      <c r="Q1135" s="67"/>
      <c r="R1135" s="68"/>
      <c r="S1135" s="68"/>
      <c r="T1135" s="69">
        <f t="shared" ref="T1135:T1166" si="283">S1135-R1135</f>
        <v>0</v>
      </c>
      <c r="U1135" s="61"/>
      <c r="V1135" s="83">
        <v>0</v>
      </c>
      <c r="W1135" s="61">
        <f t="shared" ref="W1135:W1166" si="284">T1135-V1135</f>
        <v>0</v>
      </c>
      <c r="X1135" s="171">
        <v>46259.181944444441</v>
      </c>
      <c r="Y1135" s="171">
        <v>46259.256944444445</v>
      </c>
      <c r="Z1135" s="168">
        <f t="shared" si="267"/>
        <v>7.5000000004365575E-2</v>
      </c>
      <c r="AA1135" s="169">
        <f t="shared" si="268"/>
        <v>8.3333333333333329E-2</v>
      </c>
      <c r="AB1135" s="170" t="str">
        <f t="shared" si="269"/>
        <v>00:12:00</v>
      </c>
      <c r="AC1135" s="170" t="b">
        <f t="shared" si="270"/>
        <v>1</v>
      </c>
    </row>
    <row r="1136" spans="1:29" s="128" customFormat="1" ht="9.75" hidden="1" customHeight="1" x14ac:dyDescent="0.3">
      <c r="A1136" s="99">
        <v>46259</v>
      </c>
      <c r="B1136" s="59">
        <v>8199239</v>
      </c>
      <c r="C1136" s="60" t="s">
        <v>83</v>
      </c>
      <c r="D1136" s="60" t="s">
        <v>454</v>
      </c>
      <c r="E1136" s="61">
        <v>0.16666666666666666</v>
      </c>
      <c r="F1136" s="60" t="s">
        <v>13</v>
      </c>
      <c r="G1136" s="71" t="s">
        <v>14</v>
      </c>
      <c r="H1136" s="62">
        <v>0.16805555555555557</v>
      </c>
      <c r="I1136" s="113" t="str">
        <f t="shared" si="275"/>
        <v>25-08-2026T04:02:00</v>
      </c>
      <c r="J1136" s="62">
        <v>0.83680555555555558</v>
      </c>
      <c r="K1136" s="62"/>
      <c r="L1136" s="63">
        <f t="shared" si="281"/>
        <v>0.66874999999999996</v>
      </c>
      <c r="M1136" s="64">
        <v>0.70833333333333337</v>
      </c>
      <c r="N1136" s="65" t="str">
        <f t="shared" si="282"/>
        <v>00:57:00</v>
      </c>
      <c r="O1136" s="66"/>
      <c r="P1136" s="124" t="s">
        <v>779</v>
      </c>
      <c r="Q1136" s="67"/>
      <c r="R1136" s="68"/>
      <c r="S1136" s="68"/>
      <c r="T1136" s="69">
        <f t="shared" si="283"/>
        <v>0</v>
      </c>
      <c r="U1136" s="61" t="s">
        <v>234</v>
      </c>
      <c r="V1136" s="83">
        <v>0</v>
      </c>
      <c r="W1136" s="61">
        <f t="shared" si="284"/>
        <v>0</v>
      </c>
      <c r="X1136" s="172">
        <v>46259.168055555558</v>
      </c>
      <c r="Y1136" s="172">
        <v>46259.836805555555</v>
      </c>
      <c r="Z1136" s="173">
        <f t="shared" si="267"/>
        <v>0.66874999999708962</v>
      </c>
      <c r="AA1136" s="174">
        <f t="shared" si="268"/>
        <v>0.70833333333333337</v>
      </c>
      <c r="AB1136" s="175" t="str">
        <f t="shared" si="269"/>
        <v>00:57:00</v>
      </c>
      <c r="AC1136" s="175" t="b">
        <f t="shared" si="270"/>
        <v>1</v>
      </c>
    </row>
    <row r="1137" spans="1:29" s="128" customFormat="1" ht="9.75" hidden="1" customHeight="1" x14ac:dyDescent="0.3">
      <c r="A1137" s="99">
        <v>46259</v>
      </c>
      <c r="B1137" s="59">
        <v>8199187</v>
      </c>
      <c r="C1137" s="60" t="s">
        <v>29</v>
      </c>
      <c r="D1137" s="60" t="s">
        <v>373</v>
      </c>
      <c r="E1137" s="61">
        <v>0.16666666666666666</v>
      </c>
      <c r="F1137" s="60" t="s">
        <v>17</v>
      </c>
      <c r="G1137" s="71" t="s">
        <v>15</v>
      </c>
      <c r="H1137" s="62">
        <v>0.16319444444444445</v>
      </c>
      <c r="I1137" s="113" t="str">
        <f t="shared" si="275"/>
        <v>25-08-2026T03:55:00</v>
      </c>
      <c r="J1137" s="62">
        <v>0.65763888888888888</v>
      </c>
      <c r="K1137" s="62"/>
      <c r="L1137" s="63">
        <f t="shared" si="281"/>
        <v>0.49444444444444446</v>
      </c>
      <c r="M1137" s="64">
        <v>0.5</v>
      </c>
      <c r="N1137" s="65" t="str">
        <f t="shared" si="282"/>
        <v>00:08:00</v>
      </c>
      <c r="O1137" s="66"/>
      <c r="P1137" s="124"/>
      <c r="Q1137" s="67" t="s">
        <v>98</v>
      </c>
      <c r="R1137" s="68">
        <v>0.375</v>
      </c>
      <c r="S1137" s="68">
        <v>0.45833333333333331</v>
      </c>
      <c r="T1137" s="69">
        <f t="shared" si="283"/>
        <v>8.3333333333333315E-2</v>
      </c>
      <c r="U1137" s="61" t="s">
        <v>234</v>
      </c>
      <c r="V1137" s="83">
        <v>8.3333333333333329E-2</v>
      </c>
      <c r="W1137" s="61">
        <f t="shared" si="284"/>
        <v>0</v>
      </c>
      <c r="X1137" s="171">
        <v>0.16319444444444445</v>
      </c>
      <c r="Y1137" s="171">
        <v>0.65763888888888888</v>
      </c>
      <c r="Z1137" s="168">
        <f t="shared" si="267"/>
        <v>0.49444444444444446</v>
      </c>
      <c r="AA1137" s="169">
        <f t="shared" si="268"/>
        <v>0.5</v>
      </c>
      <c r="AB1137" s="170" t="str">
        <f t="shared" si="269"/>
        <v>00:08:00</v>
      </c>
      <c r="AC1137" s="170" t="b">
        <f t="shared" si="270"/>
        <v>1</v>
      </c>
    </row>
    <row r="1138" spans="1:29" s="128" customFormat="1" ht="9.75" hidden="1" customHeight="1" x14ac:dyDescent="0.3">
      <c r="A1138" s="99">
        <v>46259</v>
      </c>
      <c r="B1138" s="59">
        <v>8199270</v>
      </c>
      <c r="C1138" s="60" t="s">
        <v>50</v>
      </c>
      <c r="D1138" s="60" t="s">
        <v>329</v>
      </c>
      <c r="E1138" s="61">
        <v>0.16666666666666666</v>
      </c>
      <c r="F1138" s="60" t="s">
        <v>31</v>
      </c>
      <c r="G1138" s="71" t="s">
        <v>13</v>
      </c>
      <c r="H1138" s="62">
        <v>0.17916666666666667</v>
      </c>
      <c r="I1138" s="113" t="str">
        <f t="shared" si="275"/>
        <v>25-08-2026T04:18:00</v>
      </c>
      <c r="J1138" s="62">
        <v>0.88472222222222219</v>
      </c>
      <c r="K1138" s="62"/>
      <c r="L1138" s="63">
        <f t="shared" si="281"/>
        <v>0.70555555555555549</v>
      </c>
      <c r="M1138" s="64">
        <v>0.70833333333333337</v>
      </c>
      <c r="N1138" s="65" t="str">
        <f t="shared" si="282"/>
        <v>00:04:00</v>
      </c>
      <c r="O1138" s="66"/>
      <c r="P1138" s="124" t="s">
        <v>610</v>
      </c>
      <c r="Q1138" s="67" t="s">
        <v>13</v>
      </c>
      <c r="R1138" s="68">
        <v>0.79583333333333328</v>
      </c>
      <c r="S1138" s="68">
        <v>0.875</v>
      </c>
      <c r="T1138" s="69">
        <f t="shared" si="283"/>
        <v>7.9166666666666718E-2</v>
      </c>
      <c r="U1138" s="61"/>
      <c r="V1138" s="83">
        <v>8.3333333333333329E-2</v>
      </c>
      <c r="W1138" s="61">
        <f t="shared" si="284"/>
        <v>-4.1666666666666102E-3</v>
      </c>
      <c r="X1138" s="172">
        <v>46259.179166666669</v>
      </c>
      <c r="Y1138" s="172">
        <v>46259.884722222225</v>
      </c>
      <c r="Z1138" s="173">
        <f t="shared" si="267"/>
        <v>0.70555555555620231</v>
      </c>
      <c r="AA1138" s="174">
        <f t="shared" si="268"/>
        <v>0.70833333333333337</v>
      </c>
      <c r="AB1138" s="175" t="str">
        <f t="shared" si="269"/>
        <v>00:04:00</v>
      </c>
      <c r="AC1138" s="175" t="b">
        <f t="shared" si="270"/>
        <v>1</v>
      </c>
    </row>
    <row r="1139" spans="1:29" s="128" customFormat="1" ht="9.75" hidden="1" customHeight="1" x14ac:dyDescent="0.3">
      <c r="A1139" s="99">
        <v>46259</v>
      </c>
      <c r="B1139" s="59">
        <v>8199199</v>
      </c>
      <c r="C1139" s="60" t="s">
        <v>27</v>
      </c>
      <c r="D1139" s="60" t="s">
        <v>378</v>
      </c>
      <c r="E1139" s="61">
        <v>0.16666666666666666</v>
      </c>
      <c r="F1139" s="60" t="s">
        <v>13</v>
      </c>
      <c r="G1139" s="71" t="s">
        <v>28</v>
      </c>
      <c r="H1139" s="62">
        <v>0.16458333333333333</v>
      </c>
      <c r="I1139" s="113" t="str">
        <f t="shared" si="275"/>
        <v>25-08-2026T03:57:00</v>
      </c>
      <c r="J1139" s="62">
        <v>0.3298611111111111</v>
      </c>
      <c r="K1139" s="62"/>
      <c r="L1139" s="63">
        <f t="shared" si="281"/>
        <v>0.16527777777777777</v>
      </c>
      <c r="M1139" s="64">
        <v>0.16666666666666666</v>
      </c>
      <c r="N1139" s="65" t="str">
        <f t="shared" si="282"/>
        <v>00:02:00</v>
      </c>
      <c r="O1139" s="66"/>
      <c r="P1139" s="124"/>
      <c r="Q1139" s="67"/>
      <c r="R1139" s="68"/>
      <c r="S1139" s="68"/>
      <c r="T1139" s="69">
        <f t="shared" si="283"/>
        <v>0</v>
      </c>
      <c r="U1139" s="61"/>
      <c r="V1139" s="83">
        <v>0</v>
      </c>
      <c r="W1139" s="61">
        <f t="shared" si="284"/>
        <v>0</v>
      </c>
      <c r="X1139" s="171">
        <v>46259.164583333331</v>
      </c>
      <c r="Y1139" s="171">
        <v>46259.329861111109</v>
      </c>
      <c r="Z1139" s="168">
        <f t="shared" si="267"/>
        <v>0.16527777777810115</v>
      </c>
      <c r="AA1139" s="169">
        <f t="shared" si="268"/>
        <v>0.16666666666666666</v>
      </c>
      <c r="AB1139" s="170" t="str">
        <f t="shared" si="269"/>
        <v>00:02:00</v>
      </c>
      <c r="AC1139" s="170" t="b">
        <f t="shared" si="270"/>
        <v>1</v>
      </c>
    </row>
    <row r="1140" spans="1:29" s="128" customFormat="1" ht="9.75" hidden="1" customHeight="1" x14ac:dyDescent="0.3">
      <c r="A1140" s="99">
        <v>46259</v>
      </c>
      <c r="B1140" s="59">
        <v>8199374</v>
      </c>
      <c r="C1140" s="60" t="s">
        <v>32</v>
      </c>
      <c r="D1140" s="60" t="s">
        <v>476</v>
      </c>
      <c r="E1140" s="61">
        <v>0.20833333333333334</v>
      </c>
      <c r="F1140" s="60" t="s">
        <v>13</v>
      </c>
      <c r="G1140" s="71" t="s">
        <v>287</v>
      </c>
      <c r="H1140" s="62">
        <v>0.20694444444444443</v>
      </c>
      <c r="I1140" s="113" t="str">
        <f t="shared" si="275"/>
        <v>25-08-2026T04:58:00</v>
      </c>
      <c r="J1140" s="62">
        <v>0.34722222222222221</v>
      </c>
      <c r="K1140" s="62"/>
      <c r="L1140" s="63">
        <f t="shared" si="281"/>
        <v>0.14027777777777778</v>
      </c>
      <c r="M1140" s="64">
        <v>0.14583333333333334</v>
      </c>
      <c r="N1140" s="65" t="str">
        <f t="shared" si="282"/>
        <v>00:08:00</v>
      </c>
      <c r="O1140" s="66"/>
      <c r="P1140" s="124"/>
      <c r="Q1140" s="67"/>
      <c r="R1140" s="68"/>
      <c r="S1140" s="68"/>
      <c r="T1140" s="69">
        <f t="shared" si="283"/>
        <v>0</v>
      </c>
      <c r="U1140" s="61"/>
      <c r="V1140" s="83">
        <v>0</v>
      </c>
      <c r="W1140" s="61">
        <f t="shared" si="284"/>
        <v>0</v>
      </c>
      <c r="X1140" s="171">
        <v>46259.206944444442</v>
      </c>
      <c r="Y1140" s="171">
        <v>46259.347222222219</v>
      </c>
      <c r="Z1140" s="168">
        <f t="shared" si="267"/>
        <v>0.14027777777664596</v>
      </c>
      <c r="AA1140" s="169">
        <f t="shared" si="268"/>
        <v>0.14583333333333334</v>
      </c>
      <c r="AB1140" s="170" t="str">
        <f t="shared" si="269"/>
        <v>00:08:00</v>
      </c>
      <c r="AC1140" s="170" t="b">
        <f t="shared" si="270"/>
        <v>1</v>
      </c>
    </row>
    <row r="1141" spans="1:29" s="128" customFormat="1" ht="9.75" hidden="1" customHeight="1" x14ac:dyDescent="0.3">
      <c r="A1141" s="99">
        <v>46259</v>
      </c>
      <c r="B1141" s="59">
        <v>8199299</v>
      </c>
      <c r="C1141" s="60" t="s">
        <v>25</v>
      </c>
      <c r="D1141" s="60" t="s">
        <v>692</v>
      </c>
      <c r="E1141" s="61">
        <v>0.20833333333333334</v>
      </c>
      <c r="F1141" s="60" t="s">
        <v>26</v>
      </c>
      <c r="G1141" s="71" t="s">
        <v>13</v>
      </c>
      <c r="H1141" s="62">
        <v>46259.188194444447</v>
      </c>
      <c r="I1141" s="113" t="str">
        <f t="shared" si="275"/>
        <v>25-08-2026T04:31:00</v>
      </c>
      <c r="J1141" s="62">
        <v>46259.618055555555</v>
      </c>
      <c r="K1141" s="62"/>
      <c r="L1141" s="63">
        <f t="shared" si="281"/>
        <v>0.42986111110803904</v>
      </c>
      <c r="M1141" s="64">
        <v>0.45833333333333331</v>
      </c>
      <c r="N1141" s="65" t="str">
        <f t="shared" si="282"/>
        <v>00:41:00</v>
      </c>
      <c r="O1141" s="66"/>
      <c r="P1141" s="124"/>
      <c r="Q1141" s="67" t="s">
        <v>13</v>
      </c>
      <c r="R1141" s="68">
        <v>0.55208333333333337</v>
      </c>
      <c r="S1141" s="68">
        <v>0.61805555555555558</v>
      </c>
      <c r="T1141" s="69">
        <f t="shared" si="283"/>
        <v>6.597222222222221E-2</v>
      </c>
      <c r="U1141" s="61"/>
      <c r="V1141" s="83">
        <v>8.3333333333333329E-2</v>
      </c>
      <c r="W1141" s="61">
        <f t="shared" si="284"/>
        <v>-1.7361111111111119E-2</v>
      </c>
      <c r="X1141" s="171">
        <v>46259.188194444447</v>
      </c>
      <c r="Y1141" s="171">
        <v>46259.618055555555</v>
      </c>
      <c r="Z1141" s="168">
        <f t="shared" si="267"/>
        <v>0.42986111110803904</v>
      </c>
      <c r="AA1141" s="169">
        <f t="shared" si="268"/>
        <v>0.45833333333333331</v>
      </c>
      <c r="AB1141" s="170" t="str">
        <f t="shared" si="269"/>
        <v>00:41:00</v>
      </c>
      <c r="AC1141" s="170" t="b">
        <f t="shared" si="270"/>
        <v>1</v>
      </c>
    </row>
    <row r="1142" spans="1:29" s="128" customFormat="1" ht="9.75" hidden="1" customHeight="1" x14ac:dyDescent="0.3">
      <c r="A1142" s="99">
        <v>46259</v>
      </c>
      <c r="B1142" s="59">
        <v>8199578</v>
      </c>
      <c r="C1142" s="60" t="s">
        <v>38</v>
      </c>
      <c r="D1142" s="60" t="s">
        <v>289</v>
      </c>
      <c r="E1142" s="61">
        <v>0.25</v>
      </c>
      <c r="F1142" s="60" t="s">
        <v>14</v>
      </c>
      <c r="G1142" s="71" t="s">
        <v>13</v>
      </c>
      <c r="H1142" s="62">
        <v>0.25</v>
      </c>
      <c r="I1142" s="113" t="str">
        <f t="shared" si="275"/>
        <v>25-08-2026T06:00:00</v>
      </c>
      <c r="J1142" s="62">
        <v>0.89652777777777781</v>
      </c>
      <c r="K1142" s="62"/>
      <c r="L1142" s="63">
        <f t="shared" si="281"/>
        <v>0.64652777777777781</v>
      </c>
      <c r="M1142" s="64">
        <v>0.54166666666666663</v>
      </c>
      <c r="N1142" s="65" t="str">
        <f t="shared" si="282"/>
        <v>-02:31:00</v>
      </c>
      <c r="O1142" s="66"/>
      <c r="P1142" s="124" t="s">
        <v>709</v>
      </c>
      <c r="Q1142" s="67"/>
      <c r="R1142" s="68"/>
      <c r="S1142" s="68"/>
      <c r="T1142" s="69">
        <f t="shared" si="283"/>
        <v>0</v>
      </c>
      <c r="U1142" s="61"/>
      <c r="V1142" s="83">
        <v>0</v>
      </c>
      <c r="W1142" s="61">
        <f t="shared" si="284"/>
        <v>0</v>
      </c>
      <c r="X1142" s="172">
        <v>46259.25</v>
      </c>
      <c r="Y1142" s="172">
        <v>46259.896527777775</v>
      </c>
      <c r="Z1142" s="173">
        <f t="shared" si="267"/>
        <v>0.64652777777519077</v>
      </c>
      <c r="AA1142" s="174">
        <f t="shared" si="268"/>
        <v>0.54166666666666663</v>
      </c>
      <c r="AB1142" s="175" t="str">
        <f t="shared" si="269"/>
        <v>-02:31:00</v>
      </c>
      <c r="AC1142" s="175" t="b">
        <f t="shared" si="270"/>
        <v>1</v>
      </c>
    </row>
    <row r="1143" spans="1:29" s="128" customFormat="1" ht="9.75" hidden="1" customHeight="1" x14ac:dyDescent="0.3">
      <c r="A1143" s="99">
        <v>46259</v>
      </c>
      <c r="B1143" s="59">
        <v>8199629</v>
      </c>
      <c r="C1143" s="60" t="s">
        <v>89</v>
      </c>
      <c r="D1143" s="60" t="s">
        <v>294</v>
      </c>
      <c r="E1143" s="61">
        <v>0.25</v>
      </c>
      <c r="F1143" s="60" t="s">
        <v>13</v>
      </c>
      <c r="G1143" s="71" t="s">
        <v>35</v>
      </c>
      <c r="H1143" s="62">
        <v>0.25763888888888886</v>
      </c>
      <c r="I1143" s="113" t="str">
        <f t="shared" si="275"/>
        <v>25-08-2026T06:11:00</v>
      </c>
      <c r="J1143" s="62">
        <v>0.29166666666666669</v>
      </c>
      <c r="K1143" s="62"/>
      <c r="L1143" s="63">
        <f t="shared" si="281"/>
        <v>3.4027777777777823E-2</v>
      </c>
      <c r="M1143" s="64">
        <v>4.1666666666666664E-2</v>
      </c>
      <c r="N1143" s="65" t="str">
        <f t="shared" si="282"/>
        <v>00:11:00</v>
      </c>
      <c r="O1143" s="66"/>
      <c r="P1143" s="124"/>
      <c r="Q1143" s="67"/>
      <c r="R1143" s="68"/>
      <c r="S1143" s="68"/>
      <c r="T1143" s="69">
        <f t="shared" si="283"/>
        <v>0</v>
      </c>
      <c r="U1143" s="61"/>
      <c r="V1143" s="83">
        <v>0</v>
      </c>
      <c r="W1143" s="61">
        <f t="shared" si="284"/>
        <v>0</v>
      </c>
      <c r="X1143" s="171">
        <v>46259.257638888892</v>
      </c>
      <c r="Y1143" s="171">
        <v>46259.291666666664</v>
      </c>
      <c r="Z1143" s="168">
        <f t="shared" si="267"/>
        <v>3.4027777772280388E-2</v>
      </c>
      <c r="AA1143" s="169">
        <f t="shared" si="268"/>
        <v>4.1666666666666664E-2</v>
      </c>
      <c r="AB1143" s="170" t="str">
        <f t="shared" si="269"/>
        <v>00:11:00</v>
      </c>
      <c r="AC1143" s="170" t="b">
        <f t="shared" si="270"/>
        <v>1</v>
      </c>
    </row>
    <row r="1144" spans="1:29" s="127" customFormat="1" ht="9.75" hidden="1" customHeight="1" x14ac:dyDescent="0.3">
      <c r="A1144" s="98">
        <v>46259</v>
      </c>
      <c r="B1144" s="48">
        <v>8199659</v>
      </c>
      <c r="C1144" s="49" t="s">
        <v>36</v>
      </c>
      <c r="D1144" s="49" t="s">
        <v>300</v>
      </c>
      <c r="E1144" s="50">
        <v>0.27083333333333331</v>
      </c>
      <c r="F1144" s="49" t="s">
        <v>13</v>
      </c>
      <c r="G1144" s="70" t="s">
        <v>14</v>
      </c>
      <c r="H1144" s="51">
        <v>0.26874999999999999</v>
      </c>
      <c r="I1144" s="113" t="str">
        <f t="shared" si="275"/>
        <v>25-08-2026T06:27:00</v>
      </c>
      <c r="J1144" s="51">
        <v>0.98958333333333337</v>
      </c>
      <c r="K1144" s="51"/>
      <c r="L1144" s="52">
        <f t="shared" si="281"/>
        <v>0.72083333333333344</v>
      </c>
      <c r="M1144" s="53">
        <v>0.625</v>
      </c>
      <c r="N1144" s="54" t="str">
        <f t="shared" si="282"/>
        <v>-02:18:00</v>
      </c>
      <c r="O1144" s="55"/>
      <c r="P1144" s="147" t="s">
        <v>709</v>
      </c>
      <c r="Q1144" s="56" t="s">
        <v>15</v>
      </c>
      <c r="R1144" s="57">
        <v>0.60416666666666663</v>
      </c>
      <c r="S1144" s="57">
        <v>0.65138888888888891</v>
      </c>
      <c r="T1144" s="58">
        <f t="shared" si="283"/>
        <v>4.7222222222222276E-2</v>
      </c>
      <c r="U1144" s="50" t="s">
        <v>234</v>
      </c>
      <c r="V1144" s="74">
        <v>8.3333333333333329E-2</v>
      </c>
      <c r="W1144" s="50">
        <f t="shared" si="284"/>
        <v>-3.6111111111111052E-2</v>
      </c>
      <c r="X1144" s="171">
        <v>46259.268750000003</v>
      </c>
      <c r="Y1144" s="171">
        <v>46259.989583333336</v>
      </c>
      <c r="Z1144" s="168">
        <f t="shared" si="267"/>
        <v>0.72083333333284827</v>
      </c>
      <c r="AA1144" s="169">
        <f t="shared" si="268"/>
        <v>0.625</v>
      </c>
      <c r="AB1144" s="170" t="str">
        <f t="shared" si="269"/>
        <v>-02:18:00</v>
      </c>
      <c r="AC1144" s="170" t="b">
        <f t="shared" si="270"/>
        <v>1</v>
      </c>
    </row>
    <row r="1145" spans="1:29" s="128" customFormat="1" ht="9.75" hidden="1" customHeight="1" x14ac:dyDescent="0.3">
      <c r="A1145" s="99">
        <v>46259</v>
      </c>
      <c r="B1145" s="59">
        <v>8199653</v>
      </c>
      <c r="C1145" s="60" t="s">
        <v>99</v>
      </c>
      <c r="D1145" s="60" t="s">
        <v>375</v>
      </c>
      <c r="E1145" s="61">
        <v>0.27083333333333331</v>
      </c>
      <c r="F1145" s="60" t="s">
        <v>103</v>
      </c>
      <c r="G1145" s="71" t="s">
        <v>13</v>
      </c>
      <c r="H1145" s="62">
        <v>0.2673611111111111</v>
      </c>
      <c r="I1145" s="113" t="str">
        <f t="shared" si="275"/>
        <v>25-08-2026T06:25:00</v>
      </c>
      <c r="J1145" s="62">
        <v>0.91527777777777775</v>
      </c>
      <c r="K1145" s="62"/>
      <c r="L1145" s="63">
        <f t="shared" si="281"/>
        <v>0.6479166666666667</v>
      </c>
      <c r="M1145" s="64">
        <v>0.70833333333333337</v>
      </c>
      <c r="N1145" s="65" t="str">
        <f t="shared" si="282"/>
        <v>01:27:00</v>
      </c>
      <c r="O1145" s="66"/>
      <c r="P1145" s="124"/>
      <c r="Q1145" s="67" t="s">
        <v>13</v>
      </c>
      <c r="R1145" s="68">
        <v>0.83472222222222225</v>
      </c>
      <c r="S1145" s="68">
        <v>0.91527777777777775</v>
      </c>
      <c r="T1145" s="69">
        <f t="shared" si="283"/>
        <v>8.0555555555555491E-2</v>
      </c>
      <c r="U1145" s="61"/>
      <c r="V1145" s="83">
        <v>8.3333333333333329E-2</v>
      </c>
      <c r="W1145" s="61">
        <f t="shared" si="284"/>
        <v>-2.7777777777778373E-3</v>
      </c>
      <c r="X1145" s="171">
        <v>46259.267361111109</v>
      </c>
      <c r="Y1145" s="171">
        <v>46259.915277777778</v>
      </c>
      <c r="Z1145" s="168">
        <f t="shared" si="267"/>
        <v>0.64791666666860692</v>
      </c>
      <c r="AA1145" s="169">
        <f t="shared" si="268"/>
        <v>0.70833333333333337</v>
      </c>
      <c r="AB1145" s="170" t="str">
        <f t="shared" si="269"/>
        <v>01:27:00</v>
      </c>
      <c r="AC1145" s="170" t="b">
        <f t="shared" si="270"/>
        <v>1</v>
      </c>
    </row>
    <row r="1146" spans="1:29" s="127" customFormat="1" ht="9.75" hidden="1" customHeight="1" x14ac:dyDescent="0.3">
      <c r="A1146" s="98">
        <v>46259</v>
      </c>
      <c r="B1146" s="48">
        <v>8199752</v>
      </c>
      <c r="C1146" s="49" t="s">
        <v>34</v>
      </c>
      <c r="D1146" s="49" t="s">
        <v>390</v>
      </c>
      <c r="E1146" s="50">
        <v>0.29166666666666669</v>
      </c>
      <c r="F1146" s="49" t="s">
        <v>13</v>
      </c>
      <c r="G1146" s="70" t="s">
        <v>103</v>
      </c>
      <c r="H1146" s="51">
        <v>46259.29791666667</v>
      </c>
      <c r="I1146" s="113" t="str">
        <f t="shared" si="275"/>
        <v>25-08-2026T07:09:00</v>
      </c>
      <c r="J1146" s="51">
        <v>46260.063888888886</v>
      </c>
      <c r="K1146" s="51"/>
      <c r="L1146" s="52">
        <f t="shared" si="281"/>
        <v>0.76597222221607808</v>
      </c>
      <c r="M1146" s="53">
        <v>0.625</v>
      </c>
      <c r="N1146" s="54" t="str">
        <f t="shared" si="282"/>
        <v>-03:23:00</v>
      </c>
      <c r="O1146" s="55">
        <f>250*4</f>
        <v>1000</v>
      </c>
      <c r="P1146" s="147" t="s">
        <v>710</v>
      </c>
      <c r="Q1146" s="56"/>
      <c r="R1146" s="57"/>
      <c r="S1146" s="57"/>
      <c r="T1146" s="58">
        <f t="shared" si="283"/>
        <v>0</v>
      </c>
      <c r="U1146" s="50" t="s">
        <v>234</v>
      </c>
      <c r="V1146" s="74">
        <v>0</v>
      </c>
      <c r="W1146" s="50">
        <f t="shared" si="284"/>
        <v>0</v>
      </c>
      <c r="X1146" s="171">
        <v>46259.29791666667</v>
      </c>
      <c r="Y1146" s="171">
        <v>46260.063888888886</v>
      </c>
      <c r="Z1146" s="168">
        <f t="shared" si="267"/>
        <v>0.76597222221607808</v>
      </c>
      <c r="AA1146" s="169">
        <f t="shared" si="268"/>
        <v>0.625</v>
      </c>
      <c r="AB1146" s="170" t="str">
        <f t="shared" si="269"/>
        <v>-03:23:00</v>
      </c>
      <c r="AC1146" s="170" t="b">
        <f t="shared" si="270"/>
        <v>1</v>
      </c>
    </row>
    <row r="1147" spans="1:29" s="128" customFormat="1" ht="9.75" hidden="1" customHeight="1" x14ac:dyDescent="0.3">
      <c r="A1147" s="99">
        <v>46259</v>
      </c>
      <c r="B1147" s="59">
        <v>8199754</v>
      </c>
      <c r="C1147" s="60" t="s">
        <v>86</v>
      </c>
      <c r="D1147" s="60" t="s">
        <v>182</v>
      </c>
      <c r="E1147" s="61">
        <v>0.29166666666666669</v>
      </c>
      <c r="F1147" s="60" t="s">
        <v>13</v>
      </c>
      <c r="G1147" s="71" t="s">
        <v>31</v>
      </c>
      <c r="H1147" s="62">
        <v>0.2986111111111111</v>
      </c>
      <c r="I1147" s="113" t="str">
        <f t="shared" si="275"/>
        <v>25-08-2026T07:10:00</v>
      </c>
      <c r="J1147" s="62">
        <v>0.90833333333333333</v>
      </c>
      <c r="K1147" s="62"/>
      <c r="L1147" s="63">
        <f t="shared" si="281"/>
        <v>0.60972222222222228</v>
      </c>
      <c r="M1147" s="64">
        <v>0.625</v>
      </c>
      <c r="N1147" s="65" t="str">
        <f t="shared" si="282"/>
        <v>00:22:00</v>
      </c>
      <c r="O1147" s="66"/>
      <c r="P1147" s="124" t="s">
        <v>610</v>
      </c>
      <c r="Q1147" s="67"/>
      <c r="R1147" s="68"/>
      <c r="S1147" s="68"/>
      <c r="T1147" s="69">
        <f t="shared" si="283"/>
        <v>0</v>
      </c>
      <c r="U1147" s="61"/>
      <c r="V1147" s="83">
        <v>0</v>
      </c>
      <c r="W1147" s="61">
        <f t="shared" si="284"/>
        <v>0</v>
      </c>
      <c r="X1147" s="172">
        <v>46259.298611111109</v>
      </c>
      <c r="Y1147" s="172">
        <v>46259.908333333333</v>
      </c>
      <c r="Z1147" s="173">
        <f t="shared" si="267"/>
        <v>0.60972222222335404</v>
      </c>
      <c r="AA1147" s="174">
        <f t="shared" si="268"/>
        <v>0.625</v>
      </c>
      <c r="AB1147" s="175" t="str">
        <f t="shared" si="269"/>
        <v>00:22:00</v>
      </c>
      <c r="AC1147" s="175" t="b">
        <f t="shared" si="270"/>
        <v>1</v>
      </c>
    </row>
    <row r="1148" spans="1:29" s="128" customFormat="1" ht="9.75" hidden="1" customHeight="1" x14ac:dyDescent="0.3">
      <c r="A1148" s="99">
        <v>46259</v>
      </c>
      <c r="B1148" s="59">
        <v>8199788</v>
      </c>
      <c r="C1148" s="60" t="s">
        <v>42</v>
      </c>
      <c r="D1148" s="60" t="s">
        <v>181</v>
      </c>
      <c r="E1148" s="61">
        <v>0.3125</v>
      </c>
      <c r="F1148" s="60" t="s">
        <v>13</v>
      </c>
      <c r="G1148" s="71" t="s">
        <v>55</v>
      </c>
      <c r="H1148" s="62">
        <v>0.31597222222222221</v>
      </c>
      <c r="I1148" s="113" t="str">
        <f t="shared" si="275"/>
        <v>25-08-2026T07:35:00</v>
      </c>
      <c r="J1148" s="62">
        <v>0.37638888888888888</v>
      </c>
      <c r="K1148" s="62"/>
      <c r="L1148" s="63">
        <f t="shared" si="281"/>
        <v>6.0416666666666674E-2</v>
      </c>
      <c r="M1148" s="64">
        <v>6.25E-2</v>
      </c>
      <c r="N1148" s="65" t="str">
        <f t="shared" si="282"/>
        <v>00:03:00</v>
      </c>
      <c r="O1148" s="66"/>
      <c r="P1148" s="124"/>
      <c r="Q1148" s="67"/>
      <c r="R1148" s="68"/>
      <c r="S1148" s="68"/>
      <c r="T1148" s="69">
        <f t="shared" si="283"/>
        <v>0</v>
      </c>
      <c r="U1148" s="61"/>
      <c r="V1148" s="83">
        <v>0</v>
      </c>
      <c r="W1148" s="61">
        <f t="shared" si="284"/>
        <v>0</v>
      </c>
      <c r="X1148" s="171">
        <v>46259.315972222219</v>
      </c>
      <c r="Y1148" s="171">
        <v>46259.376388888886</v>
      </c>
      <c r="Z1148" s="168">
        <f t="shared" si="267"/>
        <v>6.0416666667151731E-2</v>
      </c>
      <c r="AA1148" s="169">
        <f t="shared" si="268"/>
        <v>6.25E-2</v>
      </c>
      <c r="AB1148" s="170" t="str">
        <f t="shared" si="269"/>
        <v>00:03:00</v>
      </c>
      <c r="AC1148" s="170" t="b">
        <f t="shared" si="270"/>
        <v>1</v>
      </c>
    </row>
    <row r="1149" spans="1:29" s="128" customFormat="1" ht="9.75" hidden="1" customHeight="1" x14ac:dyDescent="0.3">
      <c r="A1149" s="99">
        <v>46259</v>
      </c>
      <c r="B1149" s="59">
        <v>8199929</v>
      </c>
      <c r="C1149" s="60" t="s">
        <v>40</v>
      </c>
      <c r="D1149" s="60" t="s">
        <v>460</v>
      </c>
      <c r="E1149" s="61">
        <v>0.375</v>
      </c>
      <c r="F1149" s="60" t="s">
        <v>13</v>
      </c>
      <c r="G1149" s="71" t="s">
        <v>31</v>
      </c>
      <c r="H1149" s="62">
        <v>46259.375</v>
      </c>
      <c r="I1149" s="113" t="str">
        <f t="shared" si="275"/>
        <v>25-08-2026T09:00:00</v>
      </c>
      <c r="J1149" s="62">
        <v>46260.09375</v>
      </c>
      <c r="K1149" s="62"/>
      <c r="L1149" s="63">
        <f t="shared" si="281"/>
        <v>0.71875</v>
      </c>
      <c r="M1149" s="64">
        <v>0.75</v>
      </c>
      <c r="N1149" s="65" t="str">
        <f t="shared" si="282"/>
        <v>00:45:00</v>
      </c>
      <c r="O1149" s="66"/>
      <c r="P1149" s="124" t="s">
        <v>610</v>
      </c>
      <c r="Q1149" s="67" t="s">
        <v>45</v>
      </c>
      <c r="R1149" s="68">
        <v>0.92847222222222225</v>
      </c>
      <c r="S1149" s="68">
        <v>0.9770833333333333</v>
      </c>
      <c r="T1149" s="69">
        <f t="shared" si="283"/>
        <v>4.8611111111111049E-2</v>
      </c>
      <c r="U1149" s="61"/>
      <c r="V1149" s="83">
        <v>8.3333333333333329E-2</v>
      </c>
      <c r="W1149" s="61">
        <f t="shared" si="284"/>
        <v>-3.4722222222222279E-2</v>
      </c>
      <c r="X1149" s="172">
        <v>46259.375</v>
      </c>
      <c r="Y1149" s="172">
        <v>46260.09375</v>
      </c>
      <c r="Z1149" s="173">
        <f t="shared" si="267"/>
        <v>0.71875</v>
      </c>
      <c r="AA1149" s="174">
        <f t="shared" si="268"/>
        <v>0.75</v>
      </c>
      <c r="AB1149" s="175" t="str">
        <f t="shared" si="269"/>
        <v>00:45:00</v>
      </c>
      <c r="AC1149" s="175" t="b">
        <f t="shared" si="270"/>
        <v>1</v>
      </c>
    </row>
    <row r="1150" spans="1:29" s="144" customFormat="1" ht="9.75" hidden="1" customHeight="1" x14ac:dyDescent="0.3">
      <c r="A1150" s="129">
        <v>46259</v>
      </c>
      <c r="B1150" s="130">
        <v>8199902</v>
      </c>
      <c r="C1150" s="131" t="s">
        <v>51</v>
      </c>
      <c r="D1150" s="131" t="s">
        <v>295</v>
      </c>
      <c r="E1150" s="132">
        <v>0.375</v>
      </c>
      <c r="F1150" s="131" t="s">
        <v>49</v>
      </c>
      <c r="G1150" s="133" t="s">
        <v>13</v>
      </c>
      <c r="H1150" s="134">
        <v>0.36875000000000002</v>
      </c>
      <c r="I1150" s="113" t="str">
        <f t="shared" si="275"/>
        <v>25-08-2026T08:51:00</v>
      </c>
      <c r="J1150" s="134">
        <v>0.96111111111111114</v>
      </c>
      <c r="K1150" s="134"/>
      <c r="L1150" s="135">
        <f t="shared" si="281"/>
        <v>0.59236111111111112</v>
      </c>
      <c r="M1150" s="136">
        <v>0.58333333333333337</v>
      </c>
      <c r="N1150" s="137" t="str">
        <f t="shared" si="282"/>
        <v>-00:13:00</v>
      </c>
      <c r="O1150" s="138"/>
      <c r="P1150" s="145" t="s">
        <v>125</v>
      </c>
      <c r="Q1150" s="140" t="s">
        <v>13</v>
      </c>
      <c r="R1150" s="141">
        <v>0.86319444444444449</v>
      </c>
      <c r="S1150" s="141">
        <v>0.95625000000000004</v>
      </c>
      <c r="T1150" s="142">
        <f t="shared" si="283"/>
        <v>9.3055555555555558E-2</v>
      </c>
      <c r="U1150" s="132"/>
      <c r="V1150" s="143">
        <v>8.3333333333333329E-2</v>
      </c>
      <c r="W1150" s="132">
        <f t="shared" si="284"/>
        <v>9.7222222222222293E-3</v>
      </c>
      <c r="X1150" s="171">
        <v>46259.368750000001</v>
      </c>
      <c r="Y1150" s="171">
        <v>46259.961111111108</v>
      </c>
      <c r="Z1150" s="168">
        <f t="shared" ref="Z1150:Z1213" si="285">Y1150-X1150</f>
        <v>0.59236111110658385</v>
      </c>
      <c r="AA1150" s="169">
        <f t="shared" ref="AA1150:AA1213" si="286">M1150</f>
        <v>0.58333333333333337</v>
      </c>
      <c r="AB1150" s="170" t="str">
        <f t="shared" ref="AB1150:AB1213" si="287">IF(AA1150-Z1150&gt;0,TEXT(AA1150-Z1150,"HH:MM:SS"),TEXT(ABS(AA1150-Z1150),"-HH:MM:SS"))</f>
        <v>-00:13:00</v>
      </c>
      <c r="AC1150" s="170" t="b">
        <f t="shared" ref="AC1150:AC1213" si="288">AB1150=N1150</f>
        <v>1</v>
      </c>
    </row>
    <row r="1151" spans="1:29" s="128" customFormat="1" ht="9.75" hidden="1" customHeight="1" x14ac:dyDescent="0.3">
      <c r="A1151" s="99">
        <v>46259</v>
      </c>
      <c r="B1151" s="59">
        <v>8199981</v>
      </c>
      <c r="C1151" s="60" t="s">
        <v>48</v>
      </c>
      <c r="D1151" s="60" t="s">
        <v>183</v>
      </c>
      <c r="E1151" s="61">
        <v>0.41666666666666669</v>
      </c>
      <c r="F1151" s="60" t="s">
        <v>13</v>
      </c>
      <c r="G1151" s="71" t="s">
        <v>49</v>
      </c>
      <c r="H1151" s="62">
        <v>0.41041666666666665</v>
      </c>
      <c r="I1151" s="113" t="str">
        <f t="shared" si="275"/>
        <v>25-08-2026T09:51:00</v>
      </c>
      <c r="J1151" s="62">
        <v>0.90277777777777779</v>
      </c>
      <c r="K1151" s="62"/>
      <c r="L1151" s="63">
        <f t="shared" si="281"/>
        <v>0.49236111111111114</v>
      </c>
      <c r="M1151" s="64">
        <v>0.5</v>
      </c>
      <c r="N1151" s="65" t="str">
        <f t="shared" si="282"/>
        <v>00:11:00</v>
      </c>
      <c r="O1151" s="66"/>
      <c r="P1151" s="124"/>
      <c r="Q1151" s="67"/>
      <c r="R1151" s="68"/>
      <c r="S1151" s="68"/>
      <c r="T1151" s="69">
        <f t="shared" si="283"/>
        <v>0</v>
      </c>
      <c r="U1151" s="61" t="s">
        <v>234</v>
      </c>
      <c r="V1151" s="83">
        <v>0</v>
      </c>
      <c r="W1151" s="61">
        <f t="shared" si="284"/>
        <v>0</v>
      </c>
      <c r="X1151" s="171" t="s">
        <v>371</v>
      </c>
      <c r="Y1151" s="171" t="s">
        <v>371</v>
      </c>
      <c r="Z1151" s="168" t="e">
        <f t="shared" si="285"/>
        <v>#VALUE!</v>
      </c>
      <c r="AA1151" s="169">
        <f t="shared" si="286"/>
        <v>0.5</v>
      </c>
      <c r="AB1151" s="170" t="e">
        <f t="shared" si="287"/>
        <v>#VALUE!</v>
      </c>
      <c r="AC1151" s="170" t="e">
        <f t="shared" si="288"/>
        <v>#VALUE!</v>
      </c>
    </row>
    <row r="1152" spans="1:29" s="127" customFormat="1" ht="9.75" customHeight="1" x14ac:dyDescent="0.3">
      <c r="A1152" s="98">
        <v>46259</v>
      </c>
      <c r="B1152" s="48">
        <v>8198861</v>
      </c>
      <c r="C1152" s="49" t="s">
        <v>90</v>
      </c>
      <c r="D1152" s="49" t="s">
        <v>290</v>
      </c>
      <c r="E1152" s="50">
        <v>0.99930555555555556</v>
      </c>
      <c r="F1152" s="49" t="s">
        <v>13</v>
      </c>
      <c r="G1152" s="70" t="s">
        <v>15</v>
      </c>
      <c r="H1152" s="51">
        <v>6.9444444444444447E-4</v>
      </c>
      <c r="I1152" s="113" t="str">
        <f t="shared" si="275"/>
        <v>25-08-2026T00:01:00</v>
      </c>
      <c r="J1152" s="51">
        <v>0.52777777777777779</v>
      </c>
      <c r="K1152" s="113" t="str">
        <f t="shared" ref="K1152:K1153" si="289">TEXT(A1152,"dd-mm-yyyy")&amp;"T"&amp;TEXT(J1152,"hh:mm:ss")</f>
        <v>25-08-2026T12:40:00</v>
      </c>
      <c r="L1152" s="52">
        <f t="shared" si="281"/>
        <v>0.52708333333333335</v>
      </c>
      <c r="M1152" s="53">
        <v>0.27083333333333331</v>
      </c>
      <c r="N1152" s="54" t="str">
        <f t="shared" si="282"/>
        <v>-06:09:00</v>
      </c>
      <c r="O1152" s="55">
        <v>1400</v>
      </c>
      <c r="P1152" s="147" t="s">
        <v>711</v>
      </c>
      <c r="Q1152" s="56" t="s">
        <v>13</v>
      </c>
      <c r="R1152" s="57">
        <v>2.9166666666666667E-2</v>
      </c>
      <c r="S1152" s="57">
        <v>5.6250000000000001E-2</v>
      </c>
      <c r="T1152" s="58">
        <f t="shared" si="283"/>
        <v>2.7083333333333334E-2</v>
      </c>
      <c r="U1152" s="50"/>
      <c r="V1152" s="74">
        <v>4.1666666666666664E-2</v>
      </c>
      <c r="W1152" s="50">
        <f t="shared" si="284"/>
        <v>-1.458333333333333E-2</v>
      </c>
      <c r="X1152" s="171">
        <v>46259.000694444447</v>
      </c>
      <c r="Y1152" s="171">
        <v>46259.527777777781</v>
      </c>
      <c r="Z1152" s="168">
        <f t="shared" si="285"/>
        <v>0.52708333333430346</v>
      </c>
      <c r="AA1152" s="169">
        <f t="shared" si="286"/>
        <v>0.27083333333333331</v>
      </c>
      <c r="AB1152" s="170" t="str">
        <f t="shared" si="287"/>
        <v>-06:09:00</v>
      </c>
      <c r="AC1152" s="170" t="b">
        <f t="shared" si="288"/>
        <v>1</v>
      </c>
    </row>
    <row r="1153" spans="1:29" s="127" customFormat="1" ht="9.75" hidden="1" customHeight="1" x14ac:dyDescent="0.3">
      <c r="A1153" s="98">
        <v>46259</v>
      </c>
      <c r="B1153" s="48">
        <v>8200449</v>
      </c>
      <c r="C1153" s="49" t="s">
        <v>90</v>
      </c>
      <c r="D1153" s="49" t="s">
        <v>290</v>
      </c>
      <c r="E1153" s="50">
        <v>0.4375</v>
      </c>
      <c r="F1153" s="49" t="s">
        <v>15</v>
      </c>
      <c r="G1153" s="70" t="s">
        <v>13</v>
      </c>
      <c r="H1153" s="51">
        <v>0.58472222222222225</v>
      </c>
      <c r="I1153" s="113" t="str">
        <f t="shared" si="275"/>
        <v>25-08-2026T14:02:00</v>
      </c>
      <c r="J1153" s="51">
        <v>0.9458333333333333</v>
      </c>
      <c r="K1153" s="113" t="str">
        <f t="shared" si="289"/>
        <v>25-08-2026T22:42:00</v>
      </c>
      <c r="L1153" s="52">
        <f t="shared" si="281"/>
        <v>0.36111111111111105</v>
      </c>
      <c r="M1153" s="53">
        <v>0.20833333333333334</v>
      </c>
      <c r="N1153" s="54" t="str">
        <f t="shared" si="282"/>
        <v>-03:40:00</v>
      </c>
      <c r="O1153" s="55">
        <v>800</v>
      </c>
      <c r="P1153" s="147" t="s">
        <v>700</v>
      </c>
      <c r="Q1153" s="56"/>
      <c r="R1153" s="57"/>
      <c r="S1153" s="57"/>
      <c r="T1153" s="58">
        <f t="shared" si="283"/>
        <v>0</v>
      </c>
      <c r="U1153" s="50"/>
      <c r="V1153" s="74">
        <v>0</v>
      </c>
      <c r="W1153" s="50">
        <f t="shared" si="284"/>
        <v>0</v>
      </c>
      <c r="X1153" s="171">
        <v>46259.584722222222</v>
      </c>
      <c r="Y1153" s="171">
        <v>46259.945833333331</v>
      </c>
      <c r="Z1153" s="168">
        <f t="shared" si="285"/>
        <v>0.36111111110949423</v>
      </c>
      <c r="AA1153" s="169">
        <f t="shared" si="286"/>
        <v>0.20833333333333334</v>
      </c>
      <c r="AB1153" s="170" t="str">
        <f t="shared" si="287"/>
        <v>-03:40:00</v>
      </c>
      <c r="AC1153" s="170" t="b">
        <f t="shared" si="288"/>
        <v>1</v>
      </c>
    </row>
    <row r="1154" spans="1:29" s="128" customFormat="1" ht="9.75" hidden="1" customHeight="1" x14ac:dyDescent="0.3">
      <c r="A1154" s="99">
        <v>46259</v>
      </c>
      <c r="B1154" s="59">
        <v>8200126</v>
      </c>
      <c r="C1154" s="60" t="s">
        <v>41</v>
      </c>
      <c r="D1154" s="60" t="s">
        <v>299</v>
      </c>
      <c r="E1154" s="61">
        <v>0.45833333333333331</v>
      </c>
      <c r="F1154" s="60" t="s">
        <v>13</v>
      </c>
      <c r="G1154" s="71" t="s">
        <v>24</v>
      </c>
      <c r="H1154" s="62">
        <v>0.47152777777777777</v>
      </c>
      <c r="I1154" s="113" t="str">
        <f t="shared" si="275"/>
        <v>25-08-2026T11:19:00</v>
      </c>
      <c r="J1154" s="62">
        <v>0.54513888888888884</v>
      </c>
      <c r="K1154" s="62"/>
      <c r="L1154" s="63">
        <f t="shared" si="281"/>
        <v>7.3611111111111072E-2</v>
      </c>
      <c r="M1154" s="64">
        <v>8.3333333333333329E-2</v>
      </c>
      <c r="N1154" s="65" t="str">
        <f t="shared" si="282"/>
        <v>00:14:00</v>
      </c>
      <c r="O1154" s="66"/>
      <c r="P1154" s="124"/>
      <c r="Q1154" s="67"/>
      <c r="R1154" s="68"/>
      <c r="S1154" s="68"/>
      <c r="T1154" s="69">
        <f t="shared" si="283"/>
        <v>0</v>
      </c>
      <c r="U1154" s="61" t="s">
        <v>234</v>
      </c>
      <c r="V1154" s="83">
        <v>0</v>
      </c>
      <c r="W1154" s="61">
        <f t="shared" si="284"/>
        <v>0</v>
      </c>
      <c r="X1154" s="171">
        <v>46259.47152777778</v>
      </c>
      <c r="Y1154" s="171">
        <v>46259.545138888891</v>
      </c>
      <c r="Z1154" s="168">
        <f t="shared" si="285"/>
        <v>7.3611111110949423E-2</v>
      </c>
      <c r="AA1154" s="169">
        <f t="shared" si="286"/>
        <v>8.3333333333333329E-2</v>
      </c>
      <c r="AB1154" s="170" t="str">
        <f t="shared" si="287"/>
        <v>00:14:00</v>
      </c>
      <c r="AC1154" s="170" t="b">
        <f t="shared" si="288"/>
        <v>1</v>
      </c>
    </row>
    <row r="1155" spans="1:29" s="127" customFormat="1" ht="9.75" hidden="1" customHeight="1" x14ac:dyDescent="0.3">
      <c r="A1155" s="98">
        <v>46259</v>
      </c>
      <c r="B1155" s="48">
        <v>8199520</v>
      </c>
      <c r="C1155" s="49" t="s">
        <v>52</v>
      </c>
      <c r="D1155" s="49" t="s">
        <v>616</v>
      </c>
      <c r="E1155" s="50">
        <v>0.54166666666666663</v>
      </c>
      <c r="F1155" s="49" t="s">
        <v>13</v>
      </c>
      <c r="G1155" s="70" t="s">
        <v>15</v>
      </c>
      <c r="H1155" s="51">
        <v>0.24305555555555555</v>
      </c>
      <c r="I1155" s="113" t="str">
        <f t="shared" si="275"/>
        <v>25-08-2026T05:50:00</v>
      </c>
      <c r="J1155" s="51">
        <v>0.66388888888888886</v>
      </c>
      <c r="K1155" s="51"/>
      <c r="L1155" s="52">
        <f t="shared" si="281"/>
        <v>0.42083333333333328</v>
      </c>
      <c r="M1155" s="53">
        <v>0.375</v>
      </c>
      <c r="N1155" s="54" t="str">
        <f t="shared" si="282"/>
        <v>-01:06:00</v>
      </c>
      <c r="O1155" s="55">
        <f>250*2</f>
        <v>500</v>
      </c>
      <c r="P1155" s="147" t="s">
        <v>714</v>
      </c>
      <c r="Q1155" s="56"/>
      <c r="R1155" s="57"/>
      <c r="S1155" s="57"/>
      <c r="T1155" s="58">
        <f t="shared" si="283"/>
        <v>0</v>
      </c>
      <c r="U1155" s="50" t="s">
        <v>234</v>
      </c>
      <c r="V1155" s="74">
        <v>0</v>
      </c>
      <c r="W1155" s="50">
        <f t="shared" si="284"/>
        <v>0</v>
      </c>
      <c r="X1155" s="171">
        <v>46259.243055555555</v>
      </c>
      <c r="Y1155" s="171">
        <v>46259.663888888892</v>
      </c>
      <c r="Z1155" s="168">
        <f t="shared" si="285"/>
        <v>0.42083333333721384</v>
      </c>
      <c r="AA1155" s="169">
        <f t="shared" si="286"/>
        <v>0.375</v>
      </c>
      <c r="AB1155" s="170" t="str">
        <f t="shared" si="287"/>
        <v>-01:06:00</v>
      </c>
      <c r="AC1155" s="170" t="b">
        <f t="shared" si="288"/>
        <v>1</v>
      </c>
    </row>
    <row r="1156" spans="1:29" s="128" customFormat="1" ht="9.75" hidden="1" customHeight="1" x14ac:dyDescent="0.3">
      <c r="A1156" s="99">
        <v>46259</v>
      </c>
      <c r="B1156" s="59">
        <v>8200605</v>
      </c>
      <c r="C1156" s="60" t="s">
        <v>53</v>
      </c>
      <c r="D1156" s="60" t="s">
        <v>298</v>
      </c>
      <c r="E1156" s="61">
        <v>0.64583333333333337</v>
      </c>
      <c r="F1156" s="60" t="s">
        <v>19</v>
      </c>
      <c r="G1156" s="71" t="s">
        <v>13</v>
      </c>
      <c r="H1156" s="62">
        <v>46259.640972222223</v>
      </c>
      <c r="I1156" s="113" t="str">
        <f t="shared" ref="I1156:I1219" si="290">TEXT(A1156,"dd-mm-yyyy")&amp;"T"&amp;TEXT(H1156,"hh:mm:ss")</f>
        <v>25-08-2026T15:23:00</v>
      </c>
      <c r="J1156" s="62">
        <v>46260.067361111112</v>
      </c>
      <c r="K1156" s="62"/>
      <c r="L1156" s="63">
        <f t="shared" si="281"/>
        <v>0.42638888888905058</v>
      </c>
      <c r="M1156" s="64">
        <v>0.4375</v>
      </c>
      <c r="N1156" s="65" t="str">
        <f t="shared" si="282"/>
        <v>00:16:00</v>
      </c>
      <c r="O1156" s="66"/>
      <c r="P1156" s="124"/>
      <c r="Q1156" s="67" t="s">
        <v>95</v>
      </c>
      <c r="R1156" s="68">
        <v>0.75</v>
      </c>
      <c r="S1156" s="68">
        <v>0.80555555555555558</v>
      </c>
      <c r="T1156" s="69">
        <f t="shared" si="283"/>
        <v>5.555555555555558E-2</v>
      </c>
      <c r="U1156" s="61"/>
      <c r="V1156" s="83">
        <v>8.3333333333333329E-2</v>
      </c>
      <c r="W1156" s="61">
        <f t="shared" si="284"/>
        <v>-2.7777777777777748E-2</v>
      </c>
      <c r="X1156" s="171">
        <v>46259.640972222223</v>
      </c>
      <c r="Y1156" s="171">
        <v>46260.067361111112</v>
      </c>
      <c r="Z1156" s="168">
        <f t="shared" si="285"/>
        <v>0.42638888888905058</v>
      </c>
      <c r="AA1156" s="169">
        <f t="shared" si="286"/>
        <v>0.4375</v>
      </c>
      <c r="AB1156" s="170" t="str">
        <f t="shared" si="287"/>
        <v>00:16:00</v>
      </c>
      <c r="AC1156" s="170" t="b">
        <f t="shared" si="288"/>
        <v>1</v>
      </c>
    </row>
    <row r="1157" spans="1:29" s="127" customFormat="1" ht="9.75" hidden="1" customHeight="1" x14ac:dyDescent="0.3">
      <c r="A1157" s="98">
        <v>46259</v>
      </c>
      <c r="B1157" s="48">
        <v>8200857</v>
      </c>
      <c r="C1157" s="49" t="s">
        <v>87</v>
      </c>
      <c r="D1157" s="49" t="s">
        <v>367</v>
      </c>
      <c r="E1157" s="50">
        <v>0.70833333333333337</v>
      </c>
      <c r="F1157" s="49" t="s">
        <v>85</v>
      </c>
      <c r="G1157" s="70" t="s">
        <v>13</v>
      </c>
      <c r="H1157" s="51">
        <v>0.71597222222222223</v>
      </c>
      <c r="I1157" s="113" t="str">
        <f t="shared" si="290"/>
        <v>25-08-2026T17:11:00</v>
      </c>
      <c r="J1157" s="51">
        <v>46260.092361111114</v>
      </c>
      <c r="K1157" s="51"/>
      <c r="L1157" s="52">
        <f t="shared" si="281"/>
        <v>46259.376388888893</v>
      </c>
      <c r="M1157" s="53">
        <v>0.33333333333333331</v>
      </c>
      <c r="N1157" s="54" t="str">
        <f t="shared" si="282"/>
        <v>-01:02:00</v>
      </c>
      <c r="O1157" s="55">
        <v>150</v>
      </c>
      <c r="P1157" s="147" t="s">
        <v>706</v>
      </c>
      <c r="Q1157" s="56" t="s">
        <v>174</v>
      </c>
      <c r="R1157" s="57">
        <v>0.78125</v>
      </c>
      <c r="S1157" s="57">
        <v>0.83194444444444449</v>
      </c>
      <c r="T1157" s="47">
        <f t="shared" si="283"/>
        <v>5.0694444444444486E-2</v>
      </c>
      <c r="U1157" s="50"/>
      <c r="V1157" s="74">
        <v>4.1666666666666664E-2</v>
      </c>
      <c r="W1157" s="50">
        <f t="shared" si="284"/>
        <v>9.027777777777822E-3</v>
      </c>
      <c r="X1157" s="171">
        <v>46259.71597222222</v>
      </c>
      <c r="Y1157" s="171">
        <v>46260.092361111114</v>
      </c>
      <c r="Z1157" s="168">
        <f t="shared" si="285"/>
        <v>0.37638888889341615</v>
      </c>
      <c r="AA1157" s="169">
        <f t="shared" si="286"/>
        <v>0.33333333333333331</v>
      </c>
      <c r="AB1157" s="170" t="str">
        <f t="shared" si="287"/>
        <v>-01:02:00</v>
      </c>
      <c r="AC1157" s="170" t="b">
        <f t="shared" si="288"/>
        <v>1</v>
      </c>
    </row>
    <row r="1158" spans="1:29" s="127" customFormat="1" ht="9.75" hidden="1" customHeight="1" x14ac:dyDescent="0.3">
      <c r="A1158" s="98">
        <v>46259</v>
      </c>
      <c r="B1158" s="48">
        <v>8200786</v>
      </c>
      <c r="C1158" s="49" t="s">
        <v>84</v>
      </c>
      <c r="D1158" s="49" t="s">
        <v>301</v>
      </c>
      <c r="E1158" s="50">
        <v>0.70833333333333337</v>
      </c>
      <c r="F1158" s="49" t="s">
        <v>85</v>
      </c>
      <c r="G1158" s="70" t="s">
        <v>13</v>
      </c>
      <c r="H1158" s="51">
        <v>0.69097222222222221</v>
      </c>
      <c r="I1158" s="113" t="str">
        <f t="shared" si="290"/>
        <v>25-08-2026T16:35:00</v>
      </c>
      <c r="J1158" s="51">
        <v>46260.097222222219</v>
      </c>
      <c r="K1158" s="51"/>
      <c r="L1158" s="52">
        <f t="shared" si="281"/>
        <v>46259.40625</v>
      </c>
      <c r="M1158" s="53">
        <v>0.33333333333333331</v>
      </c>
      <c r="N1158" s="54" t="str">
        <f t="shared" si="282"/>
        <v>-01:45:00</v>
      </c>
      <c r="O1158" s="55">
        <v>300</v>
      </c>
      <c r="P1158" s="147" t="s">
        <v>706</v>
      </c>
      <c r="Q1158" s="56" t="s">
        <v>174</v>
      </c>
      <c r="R1158" s="57">
        <v>0.76388888888888884</v>
      </c>
      <c r="S1158" s="57">
        <v>0.81666666666666665</v>
      </c>
      <c r="T1158" s="47">
        <f t="shared" si="283"/>
        <v>5.2777777777777812E-2</v>
      </c>
      <c r="U1158" s="50"/>
      <c r="V1158" s="74">
        <v>4.1666666666666664E-2</v>
      </c>
      <c r="W1158" s="50">
        <f t="shared" si="284"/>
        <v>1.1111111111111148E-2</v>
      </c>
      <c r="X1158" s="171">
        <v>46259.690972222219</v>
      </c>
      <c r="Y1158" s="171">
        <v>46260.097222222219</v>
      </c>
      <c r="Z1158" s="168">
        <f t="shared" si="285"/>
        <v>0.40625</v>
      </c>
      <c r="AA1158" s="169">
        <f t="shared" si="286"/>
        <v>0.33333333333333331</v>
      </c>
      <c r="AB1158" s="170" t="str">
        <f t="shared" si="287"/>
        <v>-01:45:00</v>
      </c>
      <c r="AC1158" s="170" t="b">
        <f t="shared" si="288"/>
        <v>1</v>
      </c>
    </row>
    <row r="1159" spans="1:29" s="128" customFormat="1" ht="9.75" hidden="1" customHeight="1" x14ac:dyDescent="0.3">
      <c r="A1159" s="99">
        <v>46259</v>
      </c>
      <c r="B1159" s="59">
        <v>8200858</v>
      </c>
      <c r="C1159" s="60" t="s">
        <v>27</v>
      </c>
      <c r="D1159" s="60" t="s">
        <v>378</v>
      </c>
      <c r="E1159" s="61">
        <v>0.70833333333333337</v>
      </c>
      <c r="F1159" s="60" t="s">
        <v>28</v>
      </c>
      <c r="G1159" s="71" t="s">
        <v>13</v>
      </c>
      <c r="H1159" s="62">
        <v>0.71597222222222223</v>
      </c>
      <c r="I1159" s="113" t="str">
        <f t="shared" si="290"/>
        <v>25-08-2026T17:11:00</v>
      </c>
      <c r="J1159" s="62">
        <v>0.88124999999999998</v>
      </c>
      <c r="K1159" s="62"/>
      <c r="L1159" s="63">
        <f t="shared" si="281"/>
        <v>0.16527777777777775</v>
      </c>
      <c r="M1159" s="64">
        <v>0.16666666666666666</v>
      </c>
      <c r="N1159" s="65" t="str">
        <f t="shared" si="282"/>
        <v>00:02:00</v>
      </c>
      <c r="O1159" s="66"/>
      <c r="P1159" s="124"/>
      <c r="Q1159" s="67"/>
      <c r="R1159" s="68"/>
      <c r="S1159" s="68"/>
      <c r="T1159" s="69">
        <f t="shared" si="283"/>
        <v>0</v>
      </c>
      <c r="U1159" s="61"/>
      <c r="V1159" s="83">
        <v>0</v>
      </c>
      <c r="W1159" s="61">
        <f t="shared" si="284"/>
        <v>0</v>
      </c>
      <c r="X1159" s="171">
        <v>46259.71597222222</v>
      </c>
      <c r="Y1159" s="171">
        <v>46259.881249999999</v>
      </c>
      <c r="Z1159" s="168">
        <f t="shared" si="285"/>
        <v>0.16527777777810115</v>
      </c>
      <c r="AA1159" s="169">
        <f t="shared" si="286"/>
        <v>0.16666666666666666</v>
      </c>
      <c r="AB1159" s="170" t="str">
        <f t="shared" si="287"/>
        <v>00:02:00</v>
      </c>
      <c r="AC1159" s="170" t="b">
        <f t="shared" si="288"/>
        <v>1</v>
      </c>
    </row>
    <row r="1160" spans="1:29" s="128" customFormat="1" ht="9.75" hidden="1" customHeight="1" x14ac:dyDescent="0.3">
      <c r="A1160" s="99">
        <v>46259</v>
      </c>
      <c r="B1160" s="59">
        <v>8200886</v>
      </c>
      <c r="C1160" s="60" t="s">
        <v>89</v>
      </c>
      <c r="D1160" s="60" t="s">
        <v>294</v>
      </c>
      <c r="E1160" s="61">
        <v>0.75</v>
      </c>
      <c r="F1160" s="60" t="s">
        <v>35</v>
      </c>
      <c r="G1160" s="71" t="s">
        <v>13</v>
      </c>
      <c r="H1160" s="62">
        <v>0.72986111111111107</v>
      </c>
      <c r="I1160" s="113" t="str">
        <f t="shared" si="290"/>
        <v>25-08-2026T17:31:00</v>
      </c>
      <c r="J1160" s="62">
        <v>0.76388888888888884</v>
      </c>
      <c r="K1160" s="62"/>
      <c r="L1160" s="63">
        <f t="shared" si="281"/>
        <v>3.4027777777777768E-2</v>
      </c>
      <c r="M1160" s="64">
        <v>4.1666666666666664E-2</v>
      </c>
      <c r="N1160" s="65" t="str">
        <f t="shared" si="282"/>
        <v>00:11:00</v>
      </c>
      <c r="O1160" s="66"/>
      <c r="P1160" s="124"/>
      <c r="Q1160" s="67"/>
      <c r="R1160" s="68"/>
      <c r="S1160" s="68"/>
      <c r="T1160" s="69">
        <f t="shared" si="283"/>
        <v>0</v>
      </c>
      <c r="U1160" s="61"/>
      <c r="V1160" s="83">
        <v>0</v>
      </c>
      <c r="W1160" s="61">
        <f t="shared" si="284"/>
        <v>0</v>
      </c>
      <c r="X1160" s="171">
        <v>46259.729861111111</v>
      </c>
      <c r="Y1160" s="171">
        <v>46259.763888888891</v>
      </c>
      <c r="Z1160" s="168">
        <f t="shared" si="285"/>
        <v>3.4027777779556345E-2</v>
      </c>
      <c r="AA1160" s="169">
        <f t="shared" si="286"/>
        <v>4.1666666666666664E-2</v>
      </c>
      <c r="AB1160" s="170" t="str">
        <f t="shared" si="287"/>
        <v>00:11:00</v>
      </c>
      <c r="AC1160" s="170" t="b">
        <f t="shared" si="288"/>
        <v>1</v>
      </c>
    </row>
    <row r="1161" spans="1:29" s="128" customFormat="1" ht="9.75" hidden="1" customHeight="1" x14ac:dyDescent="0.3">
      <c r="A1161" s="99">
        <v>46259</v>
      </c>
      <c r="B1161" s="59">
        <v>8201126</v>
      </c>
      <c r="C1161" s="60" t="s">
        <v>32</v>
      </c>
      <c r="D1161" s="60" t="s">
        <v>476</v>
      </c>
      <c r="E1161" s="61">
        <v>0.83333333333333337</v>
      </c>
      <c r="F1161" s="60" t="s">
        <v>287</v>
      </c>
      <c r="G1161" s="71" t="s">
        <v>13</v>
      </c>
      <c r="H1161" s="62">
        <v>0.8041666666666667</v>
      </c>
      <c r="I1161" s="113" t="str">
        <f t="shared" si="290"/>
        <v>25-08-2026T19:18:00</v>
      </c>
      <c r="J1161" s="62">
        <v>0.94374999999999998</v>
      </c>
      <c r="K1161" s="62"/>
      <c r="L1161" s="63">
        <f t="shared" si="281"/>
        <v>0.13958333333333328</v>
      </c>
      <c r="M1161" s="64">
        <v>0.14583333333333334</v>
      </c>
      <c r="N1161" s="65" t="str">
        <f t="shared" si="282"/>
        <v>00:09:00</v>
      </c>
      <c r="O1161" s="66"/>
      <c r="P1161" s="124"/>
      <c r="Q1161" s="67"/>
      <c r="R1161" s="68"/>
      <c r="S1161" s="68"/>
      <c r="T1161" s="69">
        <f t="shared" si="283"/>
        <v>0</v>
      </c>
      <c r="U1161" s="61"/>
      <c r="V1161" s="83">
        <v>0</v>
      </c>
      <c r="W1161" s="61">
        <f t="shared" si="284"/>
        <v>0</v>
      </c>
      <c r="X1161" s="171">
        <v>46259.804166666669</v>
      </c>
      <c r="Y1161" s="171">
        <v>46259.943749999999</v>
      </c>
      <c r="Z1161" s="168">
        <f t="shared" si="285"/>
        <v>0.13958333332993789</v>
      </c>
      <c r="AA1161" s="169">
        <f t="shared" si="286"/>
        <v>0.14583333333333334</v>
      </c>
      <c r="AB1161" s="170" t="str">
        <f t="shared" si="287"/>
        <v>00:09:00</v>
      </c>
      <c r="AC1161" s="170" t="b">
        <f t="shared" si="288"/>
        <v>1</v>
      </c>
    </row>
    <row r="1162" spans="1:29" s="128" customFormat="1" ht="9.75" hidden="1" customHeight="1" x14ac:dyDescent="0.3">
      <c r="A1162" s="99">
        <v>46259</v>
      </c>
      <c r="B1162" s="59">
        <v>8201418</v>
      </c>
      <c r="C1162" s="60" t="s">
        <v>42</v>
      </c>
      <c r="D1162" s="60" t="s">
        <v>181</v>
      </c>
      <c r="E1162" s="61">
        <v>0.875</v>
      </c>
      <c r="F1162" s="60" t="s">
        <v>55</v>
      </c>
      <c r="G1162" s="71" t="s">
        <v>13</v>
      </c>
      <c r="H1162" s="62">
        <v>0.88472222222222219</v>
      </c>
      <c r="I1162" s="113" t="str">
        <f t="shared" si="290"/>
        <v>25-08-2026T21:14:00</v>
      </c>
      <c r="J1162" s="62">
        <v>0.93680555555555556</v>
      </c>
      <c r="K1162" s="62"/>
      <c r="L1162" s="63">
        <f t="shared" si="281"/>
        <v>5.208333333333337E-2</v>
      </c>
      <c r="M1162" s="64">
        <v>6.25E-2</v>
      </c>
      <c r="N1162" s="65" t="str">
        <f t="shared" si="282"/>
        <v>00:15:00</v>
      </c>
      <c r="O1162" s="66"/>
      <c r="P1162" s="124"/>
      <c r="Q1162" s="67"/>
      <c r="R1162" s="68"/>
      <c r="S1162" s="68"/>
      <c r="T1162" s="69">
        <f t="shared" si="283"/>
        <v>0</v>
      </c>
      <c r="U1162" s="61"/>
      <c r="V1162" s="83">
        <v>0</v>
      </c>
      <c r="W1162" s="61">
        <f t="shared" si="284"/>
        <v>0</v>
      </c>
      <c r="X1162" s="171">
        <v>46259.884722222225</v>
      </c>
      <c r="Y1162" s="171">
        <v>46259.936805555553</v>
      </c>
      <c r="Z1162" s="168">
        <f t="shared" si="285"/>
        <v>5.2083333328482695E-2</v>
      </c>
      <c r="AA1162" s="169">
        <f t="shared" si="286"/>
        <v>6.25E-2</v>
      </c>
      <c r="AB1162" s="170" t="str">
        <f t="shared" si="287"/>
        <v>00:15:00</v>
      </c>
      <c r="AC1162" s="170" t="b">
        <f t="shared" si="288"/>
        <v>1</v>
      </c>
    </row>
    <row r="1163" spans="1:29" s="128" customFormat="1" ht="9.75" hidden="1" customHeight="1" x14ac:dyDescent="0.3">
      <c r="A1163" s="99">
        <v>46259</v>
      </c>
      <c r="B1163" s="59">
        <v>8200743</v>
      </c>
      <c r="C1163" s="60" t="s">
        <v>54</v>
      </c>
      <c r="D1163" s="60" t="s">
        <v>288</v>
      </c>
      <c r="E1163" s="61">
        <v>0.875</v>
      </c>
      <c r="F1163" s="60" t="s">
        <v>24</v>
      </c>
      <c r="G1163" s="71" t="s">
        <v>13</v>
      </c>
      <c r="H1163" s="62">
        <v>0.67361111111111116</v>
      </c>
      <c r="I1163" s="113" t="str">
        <f t="shared" si="290"/>
        <v>25-08-2026T16:10:00</v>
      </c>
      <c r="J1163" s="62">
        <v>0.74722222222222223</v>
      </c>
      <c r="K1163" s="62"/>
      <c r="L1163" s="63">
        <f t="shared" si="281"/>
        <v>7.3611111111111072E-2</v>
      </c>
      <c r="M1163" s="64">
        <v>8.3333333333333329E-2</v>
      </c>
      <c r="N1163" s="65" t="str">
        <f t="shared" si="282"/>
        <v>00:14:00</v>
      </c>
      <c r="O1163" s="66"/>
      <c r="P1163" s="124"/>
      <c r="Q1163" s="67"/>
      <c r="R1163" s="68"/>
      <c r="S1163" s="68"/>
      <c r="T1163" s="69">
        <f t="shared" si="283"/>
        <v>0</v>
      </c>
      <c r="U1163" s="61"/>
      <c r="V1163" s="83">
        <v>0</v>
      </c>
      <c r="W1163" s="61">
        <f t="shared" si="284"/>
        <v>0</v>
      </c>
      <c r="X1163" s="171">
        <v>46259.673611111109</v>
      </c>
      <c r="Y1163" s="171">
        <v>46259.74722222222</v>
      </c>
      <c r="Z1163" s="168">
        <f t="shared" si="285"/>
        <v>7.3611111110949423E-2</v>
      </c>
      <c r="AA1163" s="169">
        <f t="shared" si="286"/>
        <v>8.3333333333333329E-2</v>
      </c>
      <c r="AB1163" s="170" t="str">
        <f t="shared" si="287"/>
        <v>00:14:00</v>
      </c>
      <c r="AC1163" s="170" t="b">
        <f t="shared" si="288"/>
        <v>1</v>
      </c>
    </row>
    <row r="1164" spans="1:29" s="127" customFormat="1" ht="9.75" hidden="1" customHeight="1" x14ac:dyDescent="0.3">
      <c r="A1164" s="98">
        <v>46259</v>
      </c>
      <c r="B1164" s="48">
        <v>8199749</v>
      </c>
      <c r="C1164" s="49" t="s">
        <v>20</v>
      </c>
      <c r="D1164" s="49" t="s">
        <v>232</v>
      </c>
      <c r="E1164" s="50">
        <v>0.95833333333333337</v>
      </c>
      <c r="F1164" s="49" t="s">
        <v>21</v>
      </c>
      <c r="G1164" s="70" t="s">
        <v>13</v>
      </c>
      <c r="H1164" s="51">
        <v>0.29652777777777778</v>
      </c>
      <c r="I1164" s="113" t="str">
        <f t="shared" si="290"/>
        <v>25-08-2026T07:07:00</v>
      </c>
      <c r="J1164" s="51">
        <v>0.74652777777777779</v>
      </c>
      <c r="K1164" s="51"/>
      <c r="L1164" s="52">
        <f t="shared" si="281"/>
        <v>0.45</v>
      </c>
      <c r="M1164" s="53">
        <v>0.25</v>
      </c>
      <c r="N1164" s="54" t="str">
        <f t="shared" si="282"/>
        <v>-04:48:00</v>
      </c>
      <c r="O1164" s="55">
        <v>200</v>
      </c>
      <c r="P1164" s="147" t="s">
        <v>700</v>
      </c>
      <c r="Q1164" s="56"/>
      <c r="R1164" s="57"/>
      <c r="S1164" s="57"/>
      <c r="T1164" s="58">
        <f t="shared" si="283"/>
        <v>0</v>
      </c>
      <c r="U1164" s="50"/>
      <c r="V1164" s="74">
        <v>0</v>
      </c>
      <c r="W1164" s="50">
        <f t="shared" si="284"/>
        <v>0</v>
      </c>
      <c r="X1164" s="171">
        <v>46259.296527777777</v>
      </c>
      <c r="Y1164" s="171">
        <v>46259.746527777781</v>
      </c>
      <c r="Z1164" s="168">
        <f t="shared" si="285"/>
        <v>0.45000000000436557</v>
      </c>
      <c r="AA1164" s="169">
        <f t="shared" si="286"/>
        <v>0.25</v>
      </c>
      <c r="AB1164" s="170" t="str">
        <f t="shared" si="287"/>
        <v>-04:48:00</v>
      </c>
      <c r="AC1164" s="170" t="b">
        <f t="shared" si="288"/>
        <v>1</v>
      </c>
    </row>
    <row r="1165" spans="1:29" s="128" customFormat="1" ht="9.75" hidden="1" customHeight="1" x14ac:dyDescent="0.3">
      <c r="A1165" s="99">
        <v>46259</v>
      </c>
      <c r="B1165" s="59">
        <v>8201610</v>
      </c>
      <c r="C1165" s="60" t="s">
        <v>203</v>
      </c>
      <c r="D1165" s="60" t="s">
        <v>297</v>
      </c>
      <c r="E1165" s="61">
        <v>0.95833333333333337</v>
      </c>
      <c r="F1165" s="60" t="s">
        <v>173</v>
      </c>
      <c r="G1165" s="71" t="s">
        <v>13</v>
      </c>
      <c r="H1165" s="62">
        <v>46259.959722222222</v>
      </c>
      <c r="I1165" s="113" t="str">
        <f t="shared" si="290"/>
        <v>25-08-2026T23:02:00</v>
      </c>
      <c r="J1165" s="62">
        <v>46261.84097222222</v>
      </c>
      <c r="K1165" s="62"/>
      <c r="L1165" s="63">
        <f t="shared" si="281"/>
        <v>1.8812499999985448</v>
      </c>
      <c r="M1165" s="64">
        <v>1.9166666666666667</v>
      </c>
      <c r="N1165" s="65" t="str">
        <f t="shared" si="282"/>
        <v>00:51:00</v>
      </c>
      <c r="O1165" s="66"/>
      <c r="P1165" s="124"/>
      <c r="Q1165" s="67" t="s">
        <v>96</v>
      </c>
      <c r="R1165" s="68">
        <v>46260.097222222219</v>
      </c>
      <c r="S1165" s="68">
        <v>46260.194444444445</v>
      </c>
      <c r="T1165" s="47">
        <f t="shared" si="283"/>
        <v>9.7222222226264421E-2</v>
      </c>
      <c r="U1165" s="61"/>
      <c r="V1165" s="83">
        <v>8.3333333333333329E-2</v>
      </c>
      <c r="W1165" s="61">
        <f t="shared" si="284"/>
        <v>1.3888888892931092E-2</v>
      </c>
      <c r="X1165" s="171">
        <v>46259.959722222222</v>
      </c>
      <c r="Y1165" s="171">
        <v>46261.84097222222</v>
      </c>
      <c r="Z1165" s="168">
        <f t="shared" si="285"/>
        <v>1.8812499999985448</v>
      </c>
      <c r="AA1165" s="169">
        <f t="shared" si="286"/>
        <v>1.9166666666666667</v>
      </c>
      <c r="AB1165" s="170" t="str">
        <f t="shared" si="287"/>
        <v>00:51:00</v>
      </c>
      <c r="AC1165" s="170" t="b">
        <f t="shared" si="288"/>
        <v>1</v>
      </c>
    </row>
    <row r="1166" spans="1:29" s="127" customFormat="1" ht="9.75" hidden="1" customHeight="1" x14ac:dyDescent="0.3">
      <c r="A1166" s="98">
        <v>46259</v>
      </c>
      <c r="B1166" s="48">
        <v>8210168</v>
      </c>
      <c r="C1166" s="49" t="s">
        <v>52</v>
      </c>
      <c r="D1166" s="49" t="s">
        <v>616</v>
      </c>
      <c r="E1166" s="50">
        <v>0.99930555555555556</v>
      </c>
      <c r="F1166" s="49" t="s">
        <v>15</v>
      </c>
      <c r="G1166" s="70" t="s">
        <v>13</v>
      </c>
      <c r="H1166" s="51">
        <v>46259.997916666667</v>
      </c>
      <c r="I1166" s="113" t="str">
        <f t="shared" si="290"/>
        <v>25-08-2026T23:57:00</v>
      </c>
      <c r="J1166" s="51">
        <v>46260.293749999997</v>
      </c>
      <c r="K1166" s="51"/>
      <c r="L1166" s="52">
        <f t="shared" si="281"/>
        <v>0.29583333332993789</v>
      </c>
      <c r="M1166" s="53">
        <v>0.375</v>
      </c>
      <c r="N1166" s="54" t="str">
        <f t="shared" si="282"/>
        <v>01:54:00</v>
      </c>
      <c r="O1166" s="55"/>
      <c r="P1166" s="147" t="s">
        <v>714</v>
      </c>
      <c r="Q1166" s="56"/>
      <c r="R1166" s="57"/>
      <c r="S1166" s="57"/>
      <c r="T1166" s="58">
        <f t="shared" si="283"/>
        <v>0</v>
      </c>
      <c r="U1166" s="50"/>
      <c r="V1166" s="74">
        <v>0</v>
      </c>
      <c r="W1166" s="50">
        <f t="shared" si="284"/>
        <v>0</v>
      </c>
      <c r="X1166" s="171" t="s">
        <v>371</v>
      </c>
      <c r="Y1166" s="171" t="s">
        <v>371</v>
      </c>
      <c r="Z1166" s="168" t="e">
        <f t="shared" si="285"/>
        <v>#VALUE!</v>
      </c>
      <c r="AA1166" s="169">
        <f t="shared" si="286"/>
        <v>0.375</v>
      </c>
      <c r="AB1166" s="170" t="e">
        <f t="shared" si="287"/>
        <v>#VALUE!</v>
      </c>
      <c r="AC1166" s="170" t="e">
        <f t="shared" si="288"/>
        <v>#VALUE!</v>
      </c>
    </row>
    <row r="1167" spans="1:29" s="127" customFormat="1" ht="9.75" hidden="1" customHeight="1" x14ac:dyDescent="0.3">
      <c r="A1167" s="98">
        <v>46259</v>
      </c>
      <c r="B1167" s="48">
        <v>8200401</v>
      </c>
      <c r="C1167" s="49" t="s">
        <v>57</v>
      </c>
      <c r="D1167" s="49" t="s">
        <v>326</v>
      </c>
      <c r="E1167" s="50">
        <v>0.45833333333333331</v>
      </c>
      <c r="F1167" s="49" t="s">
        <v>13</v>
      </c>
      <c r="G1167" s="70" t="s">
        <v>24</v>
      </c>
      <c r="H1167" s="51">
        <v>0.57361111111111107</v>
      </c>
      <c r="I1167" s="113" t="str">
        <f t="shared" si="290"/>
        <v>25-08-2026T13:46:00</v>
      </c>
      <c r="J1167" s="51">
        <v>0.68402777777777779</v>
      </c>
      <c r="K1167" s="51"/>
      <c r="L1167" s="52">
        <f t="shared" ref="L1167:L1198" si="291">J1167-H1167</f>
        <v>0.11041666666666672</v>
      </c>
      <c r="M1167" s="53">
        <v>8.3333333333333329E-2</v>
      </c>
      <c r="N1167" s="54" t="str">
        <f t="shared" ref="N1167:N1198" si="292">IF(M1167-L1167&gt;0,TEXT(M1167-L1167,"HH:MM:SS"),TEXT(ABS(M1167-L1167),"-HH:MM:SS"))</f>
        <v>-00:39:00</v>
      </c>
      <c r="O1167" s="55">
        <v>250</v>
      </c>
      <c r="P1167" s="147" t="s">
        <v>610</v>
      </c>
      <c r="Q1167" s="56"/>
      <c r="R1167" s="57"/>
      <c r="S1167" s="57"/>
      <c r="T1167" s="58">
        <f t="shared" ref="T1167:T1198" si="293">S1167-R1167</f>
        <v>0</v>
      </c>
      <c r="U1167" s="50"/>
      <c r="V1167" s="74">
        <v>0</v>
      </c>
      <c r="W1167" s="50">
        <f t="shared" ref="W1167:W1198" si="294">T1167-V1167</f>
        <v>0</v>
      </c>
      <c r="X1167" s="171">
        <v>46259.573611111111</v>
      </c>
      <c r="Y1167" s="171">
        <v>46259.684027777781</v>
      </c>
      <c r="Z1167" s="168">
        <f t="shared" si="285"/>
        <v>0.11041666667006211</v>
      </c>
      <c r="AA1167" s="169">
        <f t="shared" si="286"/>
        <v>8.3333333333333329E-2</v>
      </c>
      <c r="AB1167" s="170" t="str">
        <f t="shared" si="287"/>
        <v>-00:39:00</v>
      </c>
      <c r="AC1167" s="170" t="b">
        <f t="shared" si="288"/>
        <v>1</v>
      </c>
    </row>
    <row r="1168" spans="1:29" s="127" customFormat="1" ht="9.75" hidden="1" customHeight="1" x14ac:dyDescent="0.3">
      <c r="A1168" s="98">
        <v>46259</v>
      </c>
      <c r="B1168" s="48">
        <v>8201662</v>
      </c>
      <c r="C1168" s="49" t="s">
        <v>57</v>
      </c>
      <c r="D1168" s="49" t="s">
        <v>326</v>
      </c>
      <c r="E1168" s="50">
        <v>0.99930555555555556</v>
      </c>
      <c r="F1168" s="49" t="s">
        <v>24</v>
      </c>
      <c r="G1168" s="70" t="s">
        <v>13</v>
      </c>
      <c r="H1168" s="51">
        <v>46259.993750000001</v>
      </c>
      <c r="I1168" s="113" t="str">
        <f t="shared" si="290"/>
        <v>25-08-2026T23:51:00</v>
      </c>
      <c r="J1168" s="51">
        <v>46260.088194444441</v>
      </c>
      <c r="K1168" s="51"/>
      <c r="L1168" s="52">
        <f t="shared" si="291"/>
        <v>9.4444444439432118E-2</v>
      </c>
      <c r="M1168" s="53">
        <v>8.3333333333333329E-2</v>
      </c>
      <c r="N1168" s="54" t="str">
        <f t="shared" si="292"/>
        <v>-00:16:00</v>
      </c>
      <c r="O1168" s="55">
        <v>250</v>
      </c>
      <c r="P1168" s="147" t="s">
        <v>610</v>
      </c>
      <c r="Q1168" s="56"/>
      <c r="R1168" s="57"/>
      <c r="S1168" s="57"/>
      <c r="T1168" s="58">
        <f t="shared" si="293"/>
        <v>0</v>
      </c>
      <c r="U1168" s="50"/>
      <c r="V1168" s="74">
        <v>0</v>
      </c>
      <c r="W1168" s="50">
        <f t="shared" si="294"/>
        <v>0</v>
      </c>
      <c r="X1168" s="171">
        <v>46259.993750000001</v>
      </c>
      <c r="Y1168" s="171">
        <v>46260.088194444441</v>
      </c>
      <c r="Z1168" s="168">
        <f t="shared" si="285"/>
        <v>9.4444444439432118E-2</v>
      </c>
      <c r="AA1168" s="169">
        <f t="shared" si="286"/>
        <v>8.3333333333333329E-2</v>
      </c>
      <c r="AB1168" s="170" t="str">
        <f t="shared" si="287"/>
        <v>-00:16:00</v>
      </c>
      <c r="AC1168" s="170" t="b">
        <f t="shared" si="288"/>
        <v>1</v>
      </c>
    </row>
    <row r="1169" spans="1:29" s="127" customFormat="1" ht="9.75" hidden="1" customHeight="1" x14ac:dyDescent="0.3">
      <c r="A1169" s="98">
        <v>46259</v>
      </c>
      <c r="B1169" s="48">
        <v>8199407</v>
      </c>
      <c r="C1169" s="49" t="s">
        <v>307</v>
      </c>
      <c r="D1169" s="49" t="s">
        <v>464</v>
      </c>
      <c r="E1169" s="50" t="s">
        <v>184</v>
      </c>
      <c r="F1169" s="49" t="s">
        <v>13</v>
      </c>
      <c r="G1169" s="70" t="s">
        <v>712</v>
      </c>
      <c r="H1169" s="51">
        <v>46259.211111111108</v>
      </c>
      <c r="I1169" s="113" t="str">
        <f t="shared" si="290"/>
        <v>25-08-2026T05:04:00</v>
      </c>
      <c r="J1169" s="51">
        <v>46260.180555555555</v>
      </c>
      <c r="K1169" s="51"/>
      <c r="L1169" s="52">
        <f t="shared" si="291"/>
        <v>0.96944444444670808</v>
      </c>
      <c r="M1169" s="53">
        <v>0.75</v>
      </c>
      <c r="N1169" s="54" t="str">
        <f t="shared" si="292"/>
        <v>-05:16:00</v>
      </c>
      <c r="O1169" s="55"/>
      <c r="P1169" s="147" t="s">
        <v>184</v>
      </c>
      <c r="Q1169" s="56"/>
      <c r="R1169" s="57"/>
      <c r="S1169" s="57"/>
      <c r="T1169" s="58">
        <f t="shared" si="293"/>
        <v>0</v>
      </c>
      <c r="U1169" s="50"/>
      <c r="V1169" s="74" t="s">
        <v>393</v>
      </c>
      <c r="W1169" s="50" t="e">
        <f t="shared" si="294"/>
        <v>#VALUE!</v>
      </c>
      <c r="X1169" s="171">
        <v>46259.211111111108</v>
      </c>
      <c r="Y1169" s="171">
        <v>46260.180555555555</v>
      </c>
      <c r="Z1169" s="168">
        <f t="shared" si="285"/>
        <v>0.96944444444670808</v>
      </c>
      <c r="AA1169" s="169">
        <f t="shared" si="286"/>
        <v>0.75</v>
      </c>
      <c r="AB1169" s="170" t="str">
        <f t="shared" si="287"/>
        <v>-05:16:00</v>
      </c>
      <c r="AC1169" s="170" t="b">
        <f t="shared" si="288"/>
        <v>1</v>
      </c>
    </row>
    <row r="1170" spans="1:29" s="128" customFormat="1" ht="9.75" hidden="1" customHeight="1" x14ac:dyDescent="0.3">
      <c r="A1170" s="99">
        <v>46259</v>
      </c>
      <c r="B1170" s="59">
        <v>8200810</v>
      </c>
      <c r="C1170" s="60" t="s">
        <v>102</v>
      </c>
      <c r="D1170" s="60" t="s">
        <v>384</v>
      </c>
      <c r="E1170" s="61" t="s">
        <v>184</v>
      </c>
      <c r="F1170" s="60" t="s">
        <v>13</v>
      </c>
      <c r="G1170" s="71" t="s">
        <v>23</v>
      </c>
      <c r="H1170" s="62">
        <v>46259.699305555558</v>
      </c>
      <c r="I1170" s="113" t="str">
        <f t="shared" si="290"/>
        <v>25-08-2026T16:47:00</v>
      </c>
      <c r="J1170" s="62">
        <v>46260.794444444444</v>
      </c>
      <c r="K1170" s="62"/>
      <c r="L1170" s="63">
        <f t="shared" si="291"/>
        <v>1.0951388888861402</v>
      </c>
      <c r="M1170" s="64">
        <v>1.1666666666666667</v>
      </c>
      <c r="N1170" s="65" t="str">
        <f t="shared" si="292"/>
        <v>01:43:00</v>
      </c>
      <c r="O1170" s="66"/>
      <c r="P1170" s="124" t="s">
        <v>184</v>
      </c>
      <c r="Q1170" s="67" t="s">
        <v>697</v>
      </c>
      <c r="R1170" s="68" t="s">
        <v>372</v>
      </c>
      <c r="S1170" s="68" t="s">
        <v>372</v>
      </c>
      <c r="T1170" s="69" t="e">
        <f t="shared" si="293"/>
        <v>#VALUE!</v>
      </c>
      <c r="U1170" s="61"/>
      <c r="V1170" s="83" t="s">
        <v>393</v>
      </c>
      <c r="W1170" s="61" t="e">
        <f t="shared" si="294"/>
        <v>#VALUE!</v>
      </c>
      <c r="X1170" s="172">
        <v>46259.699305555558</v>
      </c>
      <c r="Y1170" s="172">
        <v>46260.794444444444</v>
      </c>
      <c r="Z1170" s="173">
        <f t="shared" si="285"/>
        <v>1.0951388888861402</v>
      </c>
      <c r="AA1170" s="174">
        <f t="shared" si="286"/>
        <v>1.1666666666666667</v>
      </c>
      <c r="AB1170" s="175" t="str">
        <f t="shared" si="287"/>
        <v>01:43:00</v>
      </c>
      <c r="AC1170" s="175" t="b">
        <f t="shared" si="288"/>
        <v>1</v>
      </c>
    </row>
    <row r="1171" spans="1:29" s="127" customFormat="1" ht="9.75" hidden="1" customHeight="1" x14ac:dyDescent="0.3">
      <c r="A1171" s="98">
        <v>46259</v>
      </c>
      <c r="B1171" s="48">
        <v>8200342</v>
      </c>
      <c r="C1171" s="49" t="s">
        <v>105</v>
      </c>
      <c r="D1171" s="49" t="s">
        <v>386</v>
      </c>
      <c r="E1171" s="50" t="s">
        <v>184</v>
      </c>
      <c r="F1171" s="49" t="s">
        <v>13</v>
      </c>
      <c r="G1171" s="70" t="s">
        <v>21</v>
      </c>
      <c r="H1171" s="51">
        <v>0.54722222222222228</v>
      </c>
      <c r="I1171" s="113" t="str">
        <f t="shared" si="290"/>
        <v>25-08-2026T13:08:00</v>
      </c>
      <c r="J1171" s="51">
        <v>0.93333333333333335</v>
      </c>
      <c r="K1171" s="51"/>
      <c r="L1171" s="52">
        <f t="shared" si="291"/>
        <v>0.38611111111111107</v>
      </c>
      <c r="M1171" s="53">
        <v>0.33333333333333331</v>
      </c>
      <c r="N1171" s="54" t="str">
        <f t="shared" si="292"/>
        <v>-01:16:00</v>
      </c>
      <c r="O1171" s="55"/>
      <c r="P1171" s="147" t="s">
        <v>184</v>
      </c>
      <c r="Q1171" s="56"/>
      <c r="R1171" s="57"/>
      <c r="S1171" s="57"/>
      <c r="T1171" s="58">
        <f t="shared" si="293"/>
        <v>0</v>
      </c>
      <c r="U1171" s="50"/>
      <c r="V1171" s="74" t="s">
        <v>393</v>
      </c>
      <c r="W1171" s="50" t="e">
        <f t="shared" si="294"/>
        <v>#VALUE!</v>
      </c>
      <c r="X1171" s="171">
        <v>46259.547222222223</v>
      </c>
      <c r="Y1171" s="171">
        <v>46259.933333333334</v>
      </c>
      <c r="Z1171" s="168">
        <f t="shared" si="285"/>
        <v>0.38611111111094942</v>
      </c>
      <c r="AA1171" s="169">
        <f t="shared" si="286"/>
        <v>0.33333333333333331</v>
      </c>
      <c r="AB1171" s="170" t="str">
        <f t="shared" si="287"/>
        <v>-01:16:00</v>
      </c>
      <c r="AC1171" s="170" t="b">
        <f t="shared" si="288"/>
        <v>1</v>
      </c>
    </row>
    <row r="1172" spans="1:29" s="127" customFormat="1" ht="9.75" hidden="1" customHeight="1" x14ac:dyDescent="0.3">
      <c r="A1172" s="98">
        <v>46259</v>
      </c>
      <c r="B1172" s="48">
        <v>8200361</v>
      </c>
      <c r="C1172" s="49" t="s">
        <v>46</v>
      </c>
      <c r="D1172" s="49" t="s">
        <v>374</v>
      </c>
      <c r="E1172" s="50" t="s">
        <v>184</v>
      </c>
      <c r="F1172" s="49" t="s">
        <v>13</v>
      </c>
      <c r="G1172" s="70" t="s">
        <v>15</v>
      </c>
      <c r="H1172" s="51">
        <v>0.55069444444444449</v>
      </c>
      <c r="I1172" s="113" t="str">
        <f t="shared" si="290"/>
        <v>25-08-2026T13:13:00</v>
      </c>
      <c r="J1172" s="51">
        <v>0.89930555555555558</v>
      </c>
      <c r="K1172" s="51"/>
      <c r="L1172" s="52">
        <f t="shared" si="291"/>
        <v>0.34861111111111109</v>
      </c>
      <c r="M1172" s="53">
        <v>0.25</v>
      </c>
      <c r="N1172" s="54" t="str">
        <f t="shared" si="292"/>
        <v>-02:22:00</v>
      </c>
      <c r="O1172" s="55"/>
      <c r="P1172" s="147" t="s">
        <v>713</v>
      </c>
      <c r="Q1172" s="56"/>
      <c r="R1172" s="57"/>
      <c r="S1172" s="57"/>
      <c r="T1172" s="58">
        <f t="shared" si="293"/>
        <v>0</v>
      </c>
      <c r="U1172" s="50"/>
      <c r="V1172" s="74" t="s">
        <v>393</v>
      </c>
      <c r="W1172" s="50" t="e">
        <f t="shared" si="294"/>
        <v>#VALUE!</v>
      </c>
      <c r="X1172" s="171">
        <v>46259.550694444442</v>
      </c>
      <c r="Y1172" s="171">
        <v>46259.899305555555</v>
      </c>
      <c r="Z1172" s="168">
        <f t="shared" si="285"/>
        <v>0.34861111111240461</v>
      </c>
      <c r="AA1172" s="169">
        <f t="shared" si="286"/>
        <v>0.25</v>
      </c>
      <c r="AB1172" s="170" t="str">
        <f t="shared" si="287"/>
        <v>-02:22:00</v>
      </c>
      <c r="AC1172" s="170" t="b">
        <f t="shared" si="288"/>
        <v>1</v>
      </c>
    </row>
    <row r="1173" spans="1:29" s="144" customFormat="1" ht="9.75" hidden="1" customHeight="1" x14ac:dyDescent="0.3">
      <c r="A1173" s="129">
        <v>46260</v>
      </c>
      <c r="B1173" s="130">
        <v>8201777</v>
      </c>
      <c r="C1173" s="131" t="s">
        <v>25</v>
      </c>
      <c r="D1173" s="131" t="s">
        <v>718</v>
      </c>
      <c r="E1173" s="132">
        <v>6.25E-2</v>
      </c>
      <c r="F1173" s="131" t="s">
        <v>13</v>
      </c>
      <c r="G1173" s="133" t="s">
        <v>26</v>
      </c>
      <c r="H1173" s="134">
        <v>7.013888888888889E-2</v>
      </c>
      <c r="I1173" s="113" t="str">
        <f t="shared" si="290"/>
        <v>26-08-2026T01:41:00</v>
      </c>
      <c r="J1173" s="134">
        <v>0.54374999999999996</v>
      </c>
      <c r="K1173" s="134"/>
      <c r="L1173" s="135">
        <f t="shared" si="291"/>
        <v>0.47361111111111109</v>
      </c>
      <c r="M1173" s="136">
        <v>0.41666666666666669</v>
      </c>
      <c r="N1173" s="137" t="str">
        <f t="shared" si="292"/>
        <v>-01:22:00</v>
      </c>
      <c r="O1173" s="138"/>
      <c r="P1173" s="145" t="s">
        <v>125</v>
      </c>
      <c r="Q1173" s="140" t="s">
        <v>179</v>
      </c>
      <c r="R1173" s="141">
        <v>0.25</v>
      </c>
      <c r="S1173" s="141">
        <v>0.37708333333333333</v>
      </c>
      <c r="T1173" s="142">
        <f t="shared" si="293"/>
        <v>0.12708333333333333</v>
      </c>
      <c r="U1173" s="132" t="s">
        <v>234</v>
      </c>
      <c r="V1173" s="143">
        <v>4.1666666666666664E-2</v>
      </c>
      <c r="W1173" s="132">
        <f t="shared" si="294"/>
        <v>8.5416666666666669E-2</v>
      </c>
      <c r="X1173" s="171">
        <v>46260.070138888892</v>
      </c>
      <c r="Y1173" s="171">
        <v>46260.543749999997</v>
      </c>
      <c r="Z1173" s="168">
        <f t="shared" si="285"/>
        <v>0.47361111110512866</v>
      </c>
      <c r="AA1173" s="169">
        <f t="shared" si="286"/>
        <v>0.41666666666666669</v>
      </c>
      <c r="AB1173" s="170" t="str">
        <f t="shared" si="287"/>
        <v>-01:22:00</v>
      </c>
      <c r="AC1173" s="170" t="b">
        <f t="shared" si="288"/>
        <v>1</v>
      </c>
    </row>
    <row r="1174" spans="1:29" s="128" customFormat="1" ht="9.75" hidden="1" customHeight="1" x14ac:dyDescent="0.3">
      <c r="A1174" s="99">
        <v>46260</v>
      </c>
      <c r="B1174" s="59">
        <v>8202170</v>
      </c>
      <c r="C1174" s="60" t="s">
        <v>53</v>
      </c>
      <c r="D1174" s="60" t="s">
        <v>298</v>
      </c>
      <c r="E1174" s="61">
        <v>8.3333333333333329E-2</v>
      </c>
      <c r="F1174" s="60" t="s">
        <v>13</v>
      </c>
      <c r="G1174" s="71" t="s">
        <v>19</v>
      </c>
      <c r="H1174" s="62">
        <v>0.2048611111111111</v>
      </c>
      <c r="I1174" s="113" t="str">
        <f t="shared" si="290"/>
        <v>26-08-2026T04:55:00</v>
      </c>
      <c r="J1174" s="62">
        <v>0.60069444444444442</v>
      </c>
      <c r="K1174" s="62"/>
      <c r="L1174" s="63">
        <f t="shared" si="291"/>
        <v>0.39583333333333331</v>
      </c>
      <c r="M1174" s="64">
        <v>0.41666666666666669</v>
      </c>
      <c r="N1174" s="65" t="str">
        <f t="shared" si="292"/>
        <v>00:30:00</v>
      </c>
      <c r="O1174" s="66"/>
      <c r="P1174" s="124"/>
      <c r="Q1174" s="67" t="s">
        <v>229</v>
      </c>
      <c r="R1174" s="68">
        <v>0.4826388888888889</v>
      </c>
      <c r="S1174" s="68">
        <v>0.48958333333333331</v>
      </c>
      <c r="T1174" s="69">
        <f t="shared" si="293"/>
        <v>6.9444444444444198E-3</v>
      </c>
      <c r="U1174" s="61"/>
      <c r="V1174" s="83">
        <v>6.25E-2</v>
      </c>
      <c r="W1174" s="61">
        <f t="shared" si="294"/>
        <v>-5.555555555555558E-2</v>
      </c>
      <c r="X1174" s="171">
        <v>46260.204861111109</v>
      </c>
      <c r="Y1174" s="171">
        <v>46260.600694444445</v>
      </c>
      <c r="Z1174" s="168">
        <f t="shared" si="285"/>
        <v>0.39583333333575865</v>
      </c>
      <c r="AA1174" s="169">
        <f t="shared" si="286"/>
        <v>0.41666666666666669</v>
      </c>
      <c r="AB1174" s="170" t="str">
        <f t="shared" si="287"/>
        <v>00:30:00</v>
      </c>
      <c r="AC1174" s="170" t="b">
        <f t="shared" si="288"/>
        <v>1</v>
      </c>
    </row>
    <row r="1175" spans="1:29" s="128" customFormat="1" ht="9.75" hidden="1" customHeight="1" x14ac:dyDescent="0.3">
      <c r="A1175" s="99">
        <v>46260</v>
      </c>
      <c r="B1175" s="59">
        <v>8201818</v>
      </c>
      <c r="C1175" s="60" t="s">
        <v>29</v>
      </c>
      <c r="D1175" s="60" t="s">
        <v>373</v>
      </c>
      <c r="E1175" s="61">
        <v>8.3333333333333329E-2</v>
      </c>
      <c r="F1175" s="60" t="s">
        <v>15</v>
      </c>
      <c r="G1175" s="71" t="s">
        <v>17</v>
      </c>
      <c r="H1175" s="62">
        <v>8.1944444444444445E-2</v>
      </c>
      <c r="I1175" s="113" t="str">
        <f t="shared" si="290"/>
        <v>26-08-2026T01:58:00</v>
      </c>
      <c r="J1175" s="62">
        <v>0.49236111111111114</v>
      </c>
      <c r="K1175" s="62"/>
      <c r="L1175" s="63">
        <f t="shared" si="291"/>
        <v>0.41041666666666671</v>
      </c>
      <c r="M1175" s="64">
        <v>0.41666666666666669</v>
      </c>
      <c r="N1175" s="65" t="str">
        <f t="shared" si="292"/>
        <v>00:09:00</v>
      </c>
      <c r="O1175" s="66"/>
      <c r="P1175" s="124"/>
      <c r="Q1175" s="67"/>
      <c r="R1175" s="68"/>
      <c r="S1175" s="68"/>
      <c r="T1175" s="69">
        <f t="shared" si="293"/>
        <v>0</v>
      </c>
      <c r="U1175" s="61"/>
      <c r="V1175" s="83">
        <v>0</v>
      </c>
      <c r="W1175" s="61">
        <f t="shared" si="294"/>
        <v>0</v>
      </c>
      <c r="X1175" s="171">
        <v>8.1944444444444445E-2</v>
      </c>
      <c r="Y1175" s="171">
        <v>0.49236111111111114</v>
      </c>
      <c r="Z1175" s="168">
        <f t="shared" si="285"/>
        <v>0.41041666666666671</v>
      </c>
      <c r="AA1175" s="169">
        <f t="shared" si="286"/>
        <v>0.41666666666666669</v>
      </c>
      <c r="AB1175" s="170" t="str">
        <f t="shared" si="287"/>
        <v>00:09:00</v>
      </c>
      <c r="AC1175" s="170" t="b">
        <f t="shared" si="288"/>
        <v>1</v>
      </c>
    </row>
    <row r="1176" spans="1:29" s="128" customFormat="1" ht="9.75" hidden="1" customHeight="1" x14ac:dyDescent="0.3">
      <c r="A1176" s="99">
        <v>46260</v>
      </c>
      <c r="B1176" s="59">
        <v>8201862</v>
      </c>
      <c r="C1176" s="60" t="s">
        <v>94</v>
      </c>
      <c r="D1176" s="60" t="s">
        <v>293</v>
      </c>
      <c r="E1176" s="61">
        <v>0.125</v>
      </c>
      <c r="F1176" s="60" t="s">
        <v>23</v>
      </c>
      <c r="G1176" s="71" t="s">
        <v>13</v>
      </c>
      <c r="H1176" s="62">
        <v>46260.106944444444</v>
      </c>
      <c r="I1176" s="113" t="str">
        <f t="shared" si="290"/>
        <v>26-08-2026T02:34:00</v>
      </c>
      <c r="J1176" s="62">
        <v>46261.295138888891</v>
      </c>
      <c r="K1176" s="62"/>
      <c r="L1176" s="63">
        <f t="shared" si="291"/>
        <v>1.1881944444467081</v>
      </c>
      <c r="M1176" s="64">
        <v>8.3333333333333329E-2</v>
      </c>
      <c r="N1176" s="65" t="str">
        <f t="shared" si="292"/>
        <v>-02:31:00</v>
      </c>
      <c r="O1176" s="66"/>
      <c r="P1176" s="124" t="s">
        <v>773</v>
      </c>
      <c r="Q1176" s="67" t="s">
        <v>13</v>
      </c>
      <c r="R1176" s="68">
        <v>46261.220138888886</v>
      </c>
      <c r="S1176" s="68">
        <v>46261.288194444445</v>
      </c>
      <c r="T1176" s="69">
        <f t="shared" si="293"/>
        <v>6.805555555911269E-2</v>
      </c>
      <c r="U1176" s="61"/>
      <c r="V1176" s="83">
        <v>8.3333333333333329E-2</v>
      </c>
      <c r="W1176" s="61">
        <f t="shared" si="294"/>
        <v>-1.5277777774220638E-2</v>
      </c>
      <c r="X1176" s="172">
        <v>46260.106944444444</v>
      </c>
      <c r="Y1176" s="172">
        <v>46261.295138888891</v>
      </c>
      <c r="Z1176" s="173">
        <f t="shared" si="285"/>
        <v>1.1881944444467081</v>
      </c>
      <c r="AA1176" s="174">
        <f t="shared" si="286"/>
        <v>8.3333333333333329E-2</v>
      </c>
      <c r="AB1176" s="175" t="str">
        <f t="shared" si="287"/>
        <v>-02:31:00</v>
      </c>
      <c r="AC1176" s="175" t="b">
        <f t="shared" si="288"/>
        <v>1</v>
      </c>
    </row>
    <row r="1177" spans="1:29" s="128" customFormat="1" ht="9.75" hidden="1" customHeight="1" x14ac:dyDescent="0.3">
      <c r="A1177" s="99">
        <v>46260</v>
      </c>
      <c r="B1177" s="59">
        <v>8202118</v>
      </c>
      <c r="C1177" s="60" t="s">
        <v>87</v>
      </c>
      <c r="D1177" s="60" t="s">
        <v>367</v>
      </c>
      <c r="E1177" s="61">
        <v>0.125</v>
      </c>
      <c r="F1177" s="60" t="s">
        <v>13</v>
      </c>
      <c r="G1177" s="71" t="s">
        <v>284</v>
      </c>
      <c r="H1177" s="62">
        <v>0.18888888888888888</v>
      </c>
      <c r="I1177" s="113" t="str">
        <f t="shared" si="290"/>
        <v>26-08-2026T04:32:00</v>
      </c>
      <c r="J1177" s="62">
        <v>0.53819444444444442</v>
      </c>
      <c r="K1177" s="62"/>
      <c r="L1177" s="63">
        <f t="shared" si="291"/>
        <v>0.34930555555555554</v>
      </c>
      <c r="M1177" s="64">
        <v>0.35416666666666669</v>
      </c>
      <c r="N1177" s="65" t="str">
        <f t="shared" si="292"/>
        <v>00:07:00</v>
      </c>
      <c r="O1177" s="66"/>
      <c r="P1177" s="124"/>
      <c r="Q1177" s="67" t="s">
        <v>174</v>
      </c>
      <c r="R1177" s="68">
        <v>0.46527777777777779</v>
      </c>
      <c r="S1177" s="68">
        <v>0.4861111111111111</v>
      </c>
      <c r="T1177" s="69">
        <f t="shared" si="293"/>
        <v>2.0833333333333315E-2</v>
      </c>
      <c r="U1177" s="61"/>
      <c r="V1177" s="83">
        <v>6.25E-2</v>
      </c>
      <c r="W1177" s="61">
        <f t="shared" si="294"/>
        <v>-4.1666666666666685E-2</v>
      </c>
      <c r="X1177" s="171">
        <v>46260.188888888886</v>
      </c>
      <c r="Y1177" s="171">
        <v>46260.538194444445</v>
      </c>
      <c r="Z1177" s="168">
        <f t="shared" si="285"/>
        <v>0.34930555555911269</v>
      </c>
      <c r="AA1177" s="169">
        <f t="shared" si="286"/>
        <v>0.35416666666666669</v>
      </c>
      <c r="AB1177" s="170" t="str">
        <f t="shared" si="287"/>
        <v>00:07:00</v>
      </c>
      <c r="AC1177" s="170" t="b">
        <f t="shared" si="288"/>
        <v>1</v>
      </c>
    </row>
    <row r="1178" spans="1:29" s="127" customFormat="1" ht="9.75" hidden="1" customHeight="1" x14ac:dyDescent="0.3">
      <c r="A1178" s="98">
        <v>46260</v>
      </c>
      <c r="B1178" s="48">
        <v>8201916</v>
      </c>
      <c r="C1178" s="49" t="s">
        <v>41</v>
      </c>
      <c r="D1178" s="49" t="s">
        <v>299</v>
      </c>
      <c r="E1178" s="50">
        <v>0.125</v>
      </c>
      <c r="F1178" s="49" t="s">
        <v>24</v>
      </c>
      <c r="G1178" s="70" t="s">
        <v>13</v>
      </c>
      <c r="H1178" s="51">
        <v>0.125</v>
      </c>
      <c r="I1178" s="113" t="str">
        <f t="shared" si="290"/>
        <v>26-08-2026T03:00:00</v>
      </c>
      <c r="J1178" s="51">
        <v>0.24236111111111111</v>
      </c>
      <c r="K1178" s="51"/>
      <c r="L1178" s="52">
        <f t="shared" si="291"/>
        <v>0.11736111111111111</v>
      </c>
      <c r="M1178" s="53">
        <v>8.3333333333333329E-2</v>
      </c>
      <c r="N1178" s="54" t="str">
        <f t="shared" si="292"/>
        <v>-00:49:00</v>
      </c>
      <c r="O1178" s="55">
        <v>250</v>
      </c>
      <c r="P1178" s="147" t="s">
        <v>610</v>
      </c>
      <c r="Q1178" s="56"/>
      <c r="R1178" s="57"/>
      <c r="S1178" s="57"/>
      <c r="T1178" s="58">
        <f t="shared" si="293"/>
        <v>0</v>
      </c>
      <c r="U1178" s="50"/>
      <c r="V1178" s="74">
        <v>0</v>
      </c>
      <c r="W1178" s="50">
        <f t="shared" si="294"/>
        <v>0</v>
      </c>
      <c r="X1178" s="171">
        <v>46260.125</v>
      </c>
      <c r="Y1178" s="171">
        <v>46260.242361111108</v>
      </c>
      <c r="Z1178" s="168">
        <f t="shared" si="285"/>
        <v>0.11736111110803904</v>
      </c>
      <c r="AA1178" s="169">
        <f t="shared" si="286"/>
        <v>8.3333333333333329E-2</v>
      </c>
      <c r="AB1178" s="170" t="str">
        <f t="shared" si="287"/>
        <v>-00:49:00</v>
      </c>
      <c r="AC1178" s="170" t="b">
        <f t="shared" si="288"/>
        <v>1</v>
      </c>
    </row>
    <row r="1179" spans="1:29" s="128" customFormat="1" ht="9.75" hidden="1" customHeight="1" x14ac:dyDescent="0.3">
      <c r="A1179" s="99">
        <v>46260</v>
      </c>
      <c r="B1179" s="59">
        <v>8201981</v>
      </c>
      <c r="C1179" s="60" t="s">
        <v>54</v>
      </c>
      <c r="D1179" s="60" t="s">
        <v>288</v>
      </c>
      <c r="E1179" s="61">
        <v>0.16666666666666666</v>
      </c>
      <c r="F1179" s="60" t="s">
        <v>13</v>
      </c>
      <c r="G1179" s="71" t="s">
        <v>24</v>
      </c>
      <c r="H1179" s="62">
        <v>0.15486111111111112</v>
      </c>
      <c r="I1179" s="113" t="str">
        <f t="shared" si="290"/>
        <v>26-08-2026T03:43:00</v>
      </c>
      <c r="J1179" s="62">
        <v>0.22916666666666666</v>
      </c>
      <c r="K1179" s="62"/>
      <c r="L1179" s="63">
        <f t="shared" si="291"/>
        <v>7.4305555555555541E-2</v>
      </c>
      <c r="M1179" s="64">
        <v>8.3333333333333329E-2</v>
      </c>
      <c r="N1179" s="65" t="str">
        <f t="shared" si="292"/>
        <v>00:13:00</v>
      </c>
      <c r="O1179" s="66"/>
      <c r="P1179" s="124"/>
      <c r="Q1179" s="67"/>
      <c r="R1179" s="68"/>
      <c r="S1179" s="68"/>
      <c r="T1179" s="69">
        <f t="shared" si="293"/>
        <v>0</v>
      </c>
      <c r="U1179" s="61"/>
      <c r="V1179" s="83">
        <v>0</v>
      </c>
      <c r="W1179" s="61">
        <f t="shared" si="294"/>
        <v>0</v>
      </c>
      <c r="X1179" s="171">
        <v>46260.154861111114</v>
      </c>
      <c r="Y1179" s="171">
        <v>46260.229166666664</v>
      </c>
      <c r="Z1179" s="168">
        <f t="shared" si="285"/>
        <v>7.4305555550381541E-2</v>
      </c>
      <c r="AA1179" s="169">
        <f t="shared" si="286"/>
        <v>8.3333333333333329E-2</v>
      </c>
      <c r="AB1179" s="170" t="str">
        <f t="shared" si="287"/>
        <v>00:13:00</v>
      </c>
      <c r="AC1179" s="170" t="b">
        <f t="shared" si="288"/>
        <v>1</v>
      </c>
    </row>
    <row r="1180" spans="1:29" s="127" customFormat="1" ht="9.75" hidden="1" customHeight="1" x14ac:dyDescent="0.3">
      <c r="A1180" s="98">
        <v>46260</v>
      </c>
      <c r="B1180" s="48">
        <v>8202222</v>
      </c>
      <c r="C1180" s="49" t="s">
        <v>12</v>
      </c>
      <c r="D1180" s="49" t="s">
        <v>586</v>
      </c>
      <c r="E1180" s="50">
        <v>0.16666666666666666</v>
      </c>
      <c r="F1180" s="49" t="s">
        <v>13</v>
      </c>
      <c r="G1180" s="70" t="s">
        <v>14</v>
      </c>
      <c r="H1180" s="51">
        <v>0.21041666666666667</v>
      </c>
      <c r="I1180" s="113" t="str">
        <f t="shared" si="290"/>
        <v>26-08-2026T05:03:00</v>
      </c>
      <c r="J1180" s="51">
        <v>0.75347222222222221</v>
      </c>
      <c r="K1180" s="51"/>
      <c r="L1180" s="52">
        <f t="shared" si="291"/>
        <v>0.54305555555555551</v>
      </c>
      <c r="M1180" s="53">
        <v>0.54166666666666663</v>
      </c>
      <c r="N1180" s="54" t="str">
        <f t="shared" si="292"/>
        <v>-00:02:00</v>
      </c>
      <c r="O1180" s="55">
        <v>200</v>
      </c>
      <c r="P1180" s="147" t="s">
        <v>610</v>
      </c>
      <c r="Q1180" s="56"/>
      <c r="R1180" s="57"/>
      <c r="S1180" s="57"/>
      <c r="T1180" s="58">
        <f t="shared" si="293"/>
        <v>0</v>
      </c>
      <c r="U1180" s="50"/>
      <c r="V1180" s="74">
        <v>0</v>
      </c>
      <c r="W1180" s="50">
        <f t="shared" si="294"/>
        <v>0</v>
      </c>
      <c r="X1180" s="171">
        <v>46260.210416666669</v>
      </c>
      <c r="Y1180" s="171">
        <v>46260.753472222219</v>
      </c>
      <c r="Z1180" s="168">
        <f t="shared" si="285"/>
        <v>0.54305555555038154</v>
      </c>
      <c r="AA1180" s="169">
        <f t="shared" si="286"/>
        <v>0.54166666666666663</v>
      </c>
      <c r="AB1180" s="170" t="str">
        <f t="shared" si="287"/>
        <v>-00:02:00</v>
      </c>
      <c r="AC1180" s="170" t="b">
        <f t="shared" si="288"/>
        <v>1</v>
      </c>
    </row>
    <row r="1181" spans="1:29" s="128" customFormat="1" ht="9.75" hidden="1" customHeight="1" x14ac:dyDescent="0.3">
      <c r="A1181" s="99">
        <v>46260</v>
      </c>
      <c r="B1181" s="59">
        <v>8202025</v>
      </c>
      <c r="C1181" s="60" t="s">
        <v>16</v>
      </c>
      <c r="D1181" s="60" t="s">
        <v>285</v>
      </c>
      <c r="E1181" s="61">
        <v>0.16666666666666666</v>
      </c>
      <c r="F1181" s="60" t="s">
        <v>17</v>
      </c>
      <c r="G1181" s="71" t="s">
        <v>15</v>
      </c>
      <c r="H1181" s="62">
        <v>0.16458333333333333</v>
      </c>
      <c r="I1181" s="113" t="str">
        <f t="shared" si="290"/>
        <v>26-08-2026T03:57:00</v>
      </c>
      <c r="J1181" s="62">
        <v>0.65972222222222221</v>
      </c>
      <c r="K1181" s="62"/>
      <c r="L1181" s="63">
        <f t="shared" si="291"/>
        <v>0.49513888888888891</v>
      </c>
      <c r="M1181" s="64">
        <v>0.5</v>
      </c>
      <c r="N1181" s="65" t="str">
        <f t="shared" si="292"/>
        <v>00:07:00</v>
      </c>
      <c r="O1181" s="66"/>
      <c r="P1181" s="124"/>
      <c r="Q1181" s="67" t="s">
        <v>98</v>
      </c>
      <c r="R1181" s="68">
        <v>0.375</v>
      </c>
      <c r="S1181" s="68">
        <v>0.45833333333333331</v>
      </c>
      <c r="T1181" s="69">
        <f t="shared" si="293"/>
        <v>8.3333333333333315E-2</v>
      </c>
      <c r="U1181" s="61"/>
      <c r="V1181" s="83">
        <v>8.3333333333333329E-2</v>
      </c>
      <c r="W1181" s="61">
        <f t="shared" si="294"/>
        <v>0</v>
      </c>
      <c r="X1181" s="171">
        <v>0.16458333333333333</v>
      </c>
      <c r="Y1181" s="171">
        <v>0.65972222222222221</v>
      </c>
      <c r="Z1181" s="168">
        <f t="shared" si="285"/>
        <v>0.49513888888888891</v>
      </c>
      <c r="AA1181" s="169">
        <f t="shared" si="286"/>
        <v>0.5</v>
      </c>
      <c r="AB1181" s="170" t="str">
        <f t="shared" si="287"/>
        <v>00:07:00</v>
      </c>
      <c r="AC1181" s="170" t="b">
        <f t="shared" si="288"/>
        <v>1</v>
      </c>
    </row>
    <row r="1182" spans="1:29" s="127" customFormat="1" ht="9.75" hidden="1" customHeight="1" x14ac:dyDescent="0.3">
      <c r="A1182" s="98">
        <v>46260</v>
      </c>
      <c r="B1182" s="48">
        <v>8201993</v>
      </c>
      <c r="C1182" s="49" t="s">
        <v>86</v>
      </c>
      <c r="D1182" s="49" t="s">
        <v>182</v>
      </c>
      <c r="E1182" s="50">
        <v>0.16666666666666666</v>
      </c>
      <c r="F1182" s="49" t="s">
        <v>31</v>
      </c>
      <c r="G1182" s="70" t="s">
        <v>13</v>
      </c>
      <c r="H1182" s="51">
        <v>0.15902777777777777</v>
      </c>
      <c r="I1182" s="113" t="str">
        <f t="shared" si="290"/>
        <v>26-08-2026T03:49:00</v>
      </c>
      <c r="J1182" s="51">
        <v>0.86805555555555558</v>
      </c>
      <c r="K1182" s="51"/>
      <c r="L1182" s="52">
        <f t="shared" si="291"/>
        <v>0.70902777777777781</v>
      </c>
      <c r="M1182" s="53">
        <v>0.70833333333333337</v>
      </c>
      <c r="N1182" s="54" t="str">
        <f t="shared" si="292"/>
        <v>-00:01:00</v>
      </c>
      <c r="O1182" s="55">
        <v>200</v>
      </c>
      <c r="P1182" s="147" t="s">
        <v>777</v>
      </c>
      <c r="Q1182" s="56" t="s">
        <v>13</v>
      </c>
      <c r="R1182" s="57">
        <v>0.80069444444444449</v>
      </c>
      <c r="S1182" s="57">
        <v>0.84722222222222221</v>
      </c>
      <c r="T1182" s="58">
        <f t="shared" si="293"/>
        <v>4.6527777777777724E-2</v>
      </c>
      <c r="U1182" s="50"/>
      <c r="V1182" s="74">
        <v>8.3333333333333329E-2</v>
      </c>
      <c r="W1182" s="50">
        <f t="shared" si="294"/>
        <v>-3.6805555555555605E-2</v>
      </c>
      <c r="X1182" s="171">
        <v>46260.15902777778</v>
      </c>
      <c r="Y1182" s="171">
        <v>46260.868055555555</v>
      </c>
      <c r="Z1182" s="168">
        <f t="shared" si="285"/>
        <v>0.70902777777519077</v>
      </c>
      <c r="AA1182" s="169">
        <f t="shared" si="286"/>
        <v>0.70833333333333337</v>
      </c>
      <c r="AB1182" s="170" t="str">
        <f t="shared" si="287"/>
        <v>-00:01:00</v>
      </c>
      <c r="AC1182" s="170" t="b">
        <f t="shared" si="288"/>
        <v>1</v>
      </c>
    </row>
    <row r="1183" spans="1:29" s="128" customFormat="1" ht="9.75" hidden="1" customHeight="1" x14ac:dyDescent="0.3">
      <c r="A1183" s="99">
        <v>46260</v>
      </c>
      <c r="B1183" s="59">
        <v>8202050</v>
      </c>
      <c r="C1183" s="60" t="s">
        <v>27</v>
      </c>
      <c r="D1183" s="60" t="s">
        <v>378</v>
      </c>
      <c r="E1183" s="61">
        <v>0.16666666666666666</v>
      </c>
      <c r="F1183" s="60" t="s">
        <v>13</v>
      </c>
      <c r="G1183" s="71" t="s">
        <v>28</v>
      </c>
      <c r="H1183" s="62">
        <v>0.16666666666666666</v>
      </c>
      <c r="I1183" s="113" t="str">
        <f t="shared" si="290"/>
        <v>26-08-2026T04:00:00</v>
      </c>
      <c r="J1183" s="62">
        <v>0.3298611111111111</v>
      </c>
      <c r="K1183" s="62"/>
      <c r="L1183" s="63">
        <f t="shared" si="291"/>
        <v>0.16319444444444445</v>
      </c>
      <c r="M1183" s="64">
        <v>0.16666666666666666</v>
      </c>
      <c r="N1183" s="65" t="str">
        <f t="shared" si="292"/>
        <v>00:05:00</v>
      </c>
      <c r="O1183" s="66"/>
      <c r="P1183" s="124"/>
      <c r="Q1183" s="67"/>
      <c r="R1183" s="68"/>
      <c r="S1183" s="68"/>
      <c r="T1183" s="69">
        <f t="shared" si="293"/>
        <v>0</v>
      </c>
      <c r="U1183" s="61"/>
      <c r="V1183" s="83">
        <v>0</v>
      </c>
      <c r="W1183" s="61">
        <f t="shared" si="294"/>
        <v>0</v>
      </c>
      <c r="X1183" s="171">
        <v>46260.166666666664</v>
      </c>
      <c r="Y1183" s="171">
        <v>46260.329861111109</v>
      </c>
      <c r="Z1183" s="168">
        <f t="shared" si="285"/>
        <v>0.16319444444525288</v>
      </c>
      <c r="AA1183" s="169">
        <f t="shared" si="286"/>
        <v>0.16666666666666666</v>
      </c>
      <c r="AB1183" s="170" t="str">
        <f t="shared" si="287"/>
        <v>00:05:00</v>
      </c>
      <c r="AC1183" s="170" t="b">
        <f t="shared" si="288"/>
        <v>1</v>
      </c>
    </row>
    <row r="1184" spans="1:29" s="128" customFormat="1" ht="9.75" hidden="1" customHeight="1" x14ac:dyDescent="0.3">
      <c r="A1184" s="99">
        <v>46260</v>
      </c>
      <c r="B1184" s="59">
        <v>8202218</v>
      </c>
      <c r="C1184" s="60" t="s">
        <v>32</v>
      </c>
      <c r="D1184" s="60" t="s">
        <v>476</v>
      </c>
      <c r="E1184" s="61">
        <v>0.20833333333333334</v>
      </c>
      <c r="F1184" s="60" t="s">
        <v>13</v>
      </c>
      <c r="G1184" s="71" t="s">
        <v>287</v>
      </c>
      <c r="H1184" s="62">
        <v>0.21041666666666667</v>
      </c>
      <c r="I1184" s="113" t="str">
        <f t="shared" si="290"/>
        <v>26-08-2026T05:03:00</v>
      </c>
      <c r="J1184" s="62">
        <v>0.35069444444444442</v>
      </c>
      <c r="K1184" s="62"/>
      <c r="L1184" s="63">
        <f t="shared" si="291"/>
        <v>0.14027777777777775</v>
      </c>
      <c r="M1184" s="64">
        <v>0.14583333333333334</v>
      </c>
      <c r="N1184" s="65" t="str">
        <f t="shared" si="292"/>
        <v>00:08:00</v>
      </c>
      <c r="O1184" s="66"/>
      <c r="P1184" s="124"/>
      <c r="Q1184" s="67"/>
      <c r="R1184" s="68"/>
      <c r="S1184" s="68"/>
      <c r="T1184" s="69">
        <f t="shared" si="293"/>
        <v>0</v>
      </c>
      <c r="U1184" s="61"/>
      <c r="V1184" s="83">
        <v>0</v>
      </c>
      <c r="W1184" s="61">
        <f t="shared" si="294"/>
        <v>0</v>
      </c>
      <c r="X1184" s="171">
        <v>46260.210416666669</v>
      </c>
      <c r="Y1184" s="171">
        <v>46260.350694444445</v>
      </c>
      <c r="Z1184" s="168">
        <f t="shared" si="285"/>
        <v>0.14027777777664596</v>
      </c>
      <c r="AA1184" s="169">
        <f t="shared" si="286"/>
        <v>0.14583333333333334</v>
      </c>
      <c r="AB1184" s="170" t="str">
        <f t="shared" si="287"/>
        <v>00:08:00</v>
      </c>
      <c r="AC1184" s="170" t="b">
        <f t="shared" si="288"/>
        <v>1</v>
      </c>
    </row>
    <row r="1185" spans="1:29" s="128" customFormat="1" ht="9.75" hidden="1" customHeight="1" x14ac:dyDescent="0.3">
      <c r="A1185" s="99">
        <v>46260</v>
      </c>
      <c r="B1185" s="59">
        <v>8202117</v>
      </c>
      <c r="C1185" s="60" t="s">
        <v>82</v>
      </c>
      <c r="D1185" s="60" t="s">
        <v>333</v>
      </c>
      <c r="E1185" s="61">
        <v>0.20833333333333334</v>
      </c>
      <c r="F1185" s="60" t="s">
        <v>26</v>
      </c>
      <c r="G1185" s="71" t="s">
        <v>13</v>
      </c>
      <c r="H1185" s="62">
        <v>0.18888888888888888</v>
      </c>
      <c r="I1185" s="113" t="str">
        <f t="shared" si="290"/>
        <v>26-08-2026T04:32:00</v>
      </c>
      <c r="J1185" s="62">
        <v>0.64097222222222228</v>
      </c>
      <c r="K1185" s="62"/>
      <c r="L1185" s="63">
        <f t="shared" si="291"/>
        <v>0.45208333333333339</v>
      </c>
      <c r="M1185" s="64">
        <v>0.45833333333333331</v>
      </c>
      <c r="N1185" s="65" t="str">
        <f t="shared" si="292"/>
        <v>00:09:00</v>
      </c>
      <c r="O1185" s="66"/>
      <c r="P1185" s="124"/>
      <c r="Q1185" s="67" t="s">
        <v>13</v>
      </c>
      <c r="R1185" s="68">
        <v>0.55902777777777779</v>
      </c>
      <c r="S1185" s="68">
        <v>0.64097222222222228</v>
      </c>
      <c r="T1185" s="69">
        <f t="shared" si="293"/>
        <v>8.1944444444444486E-2</v>
      </c>
      <c r="U1185" s="61"/>
      <c r="V1185" s="83">
        <v>8.3333333333333329E-2</v>
      </c>
      <c r="W1185" s="61">
        <f t="shared" si="294"/>
        <v>-1.3888888888888423E-3</v>
      </c>
      <c r="X1185" s="171">
        <v>46260.188888888886</v>
      </c>
      <c r="Y1185" s="171">
        <v>46260.640972222223</v>
      </c>
      <c r="Z1185" s="168">
        <f t="shared" si="285"/>
        <v>0.45208333333721384</v>
      </c>
      <c r="AA1185" s="169">
        <f t="shared" si="286"/>
        <v>0.45833333333333331</v>
      </c>
      <c r="AB1185" s="170" t="str">
        <f t="shared" si="287"/>
        <v>00:09:00</v>
      </c>
      <c r="AC1185" s="170" t="b">
        <f t="shared" si="288"/>
        <v>1</v>
      </c>
    </row>
    <row r="1186" spans="1:29" s="128" customFormat="1" ht="9.75" hidden="1" customHeight="1" x14ac:dyDescent="0.3">
      <c r="A1186" s="99">
        <v>46260</v>
      </c>
      <c r="B1186" s="59">
        <v>8202394</v>
      </c>
      <c r="C1186" s="60" t="s">
        <v>36</v>
      </c>
      <c r="D1186" s="60" t="s">
        <v>300</v>
      </c>
      <c r="E1186" s="61">
        <v>0.25</v>
      </c>
      <c r="F1186" s="60" t="s">
        <v>14</v>
      </c>
      <c r="G1186" s="71" t="s">
        <v>13</v>
      </c>
      <c r="H1186" s="62">
        <v>0.24930555555555556</v>
      </c>
      <c r="I1186" s="113" t="str">
        <f t="shared" si="290"/>
        <v>26-08-2026T05:59:00</v>
      </c>
      <c r="J1186" s="62">
        <v>0.78472222222222221</v>
      </c>
      <c r="K1186" s="62"/>
      <c r="L1186" s="63">
        <f t="shared" si="291"/>
        <v>0.53541666666666665</v>
      </c>
      <c r="M1186" s="64">
        <v>0.54166666666666663</v>
      </c>
      <c r="N1186" s="65" t="str">
        <f t="shared" si="292"/>
        <v>00:09:00</v>
      </c>
      <c r="O1186" s="66"/>
      <c r="P1186" s="124"/>
      <c r="Q1186" s="67"/>
      <c r="R1186" s="68"/>
      <c r="S1186" s="68"/>
      <c r="T1186" s="69">
        <f t="shared" si="293"/>
        <v>0</v>
      </c>
      <c r="U1186" s="61"/>
      <c r="V1186" s="83">
        <v>0</v>
      </c>
      <c r="W1186" s="61">
        <f t="shared" si="294"/>
        <v>0</v>
      </c>
      <c r="X1186" s="171">
        <v>46260.249305555553</v>
      </c>
      <c r="Y1186" s="171">
        <v>46260.784722222219</v>
      </c>
      <c r="Z1186" s="168">
        <f t="shared" si="285"/>
        <v>0.53541666666569654</v>
      </c>
      <c r="AA1186" s="169">
        <f t="shared" si="286"/>
        <v>0.54166666666666663</v>
      </c>
      <c r="AB1186" s="170" t="str">
        <f t="shared" si="287"/>
        <v>00:09:00</v>
      </c>
      <c r="AC1186" s="170" t="b">
        <f t="shared" si="288"/>
        <v>1</v>
      </c>
    </row>
    <row r="1187" spans="1:29" s="128" customFormat="1" ht="9.75" hidden="1" customHeight="1" x14ac:dyDescent="0.3">
      <c r="A1187" s="99">
        <v>46260</v>
      </c>
      <c r="B1187" s="59">
        <v>8202424</v>
      </c>
      <c r="C1187" s="60" t="s">
        <v>89</v>
      </c>
      <c r="D1187" s="60" t="s">
        <v>294</v>
      </c>
      <c r="E1187" s="61">
        <v>0.25</v>
      </c>
      <c r="F1187" s="60" t="s">
        <v>13</v>
      </c>
      <c r="G1187" s="71" t="s">
        <v>35</v>
      </c>
      <c r="H1187" s="62">
        <v>0.25208333333333333</v>
      </c>
      <c r="I1187" s="113" t="str">
        <f t="shared" si="290"/>
        <v>26-08-2026T06:03:00</v>
      </c>
      <c r="J1187" s="62">
        <v>0.28472222222222221</v>
      </c>
      <c r="K1187" s="62"/>
      <c r="L1187" s="63">
        <f t="shared" si="291"/>
        <v>3.2638888888888884E-2</v>
      </c>
      <c r="M1187" s="64">
        <v>4.1666666666666664E-2</v>
      </c>
      <c r="N1187" s="65" t="str">
        <f t="shared" si="292"/>
        <v>00:13:00</v>
      </c>
      <c r="O1187" s="66"/>
      <c r="P1187" s="124"/>
      <c r="Q1187" s="67"/>
      <c r="R1187" s="68"/>
      <c r="S1187" s="68"/>
      <c r="T1187" s="69">
        <f t="shared" si="293"/>
        <v>0</v>
      </c>
      <c r="U1187" s="61"/>
      <c r="V1187" s="83">
        <v>0</v>
      </c>
      <c r="W1187" s="61">
        <f t="shared" si="294"/>
        <v>0</v>
      </c>
      <c r="X1187" s="171">
        <v>46260.252083333333</v>
      </c>
      <c r="Y1187" s="171">
        <v>46260.284722222219</v>
      </c>
      <c r="Z1187" s="168">
        <f t="shared" si="285"/>
        <v>3.2638888886140194E-2</v>
      </c>
      <c r="AA1187" s="169">
        <f t="shared" si="286"/>
        <v>4.1666666666666664E-2</v>
      </c>
      <c r="AB1187" s="170" t="str">
        <f t="shared" si="287"/>
        <v>00:13:00</v>
      </c>
      <c r="AC1187" s="170" t="b">
        <f t="shared" si="288"/>
        <v>1</v>
      </c>
    </row>
    <row r="1188" spans="1:29" s="127" customFormat="1" ht="9.75" hidden="1" customHeight="1" x14ac:dyDescent="0.3">
      <c r="A1188" s="98">
        <v>46260</v>
      </c>
      <c r="B1188" s="48">
        <v>8202477</v>
      </c>
      <c r="C1188" s="49" t="s">
        <v>83</v>
      </c>
      <c r="D1188" s="49" t="s">
        <v>454</v>
      </c>
      <c r="E1188" s="50">
        <v>0.27083333333333331</v>
      </c>
      <c r="F1188" s="49" t="s">
        <v>14</v>
      </c>
      <c r="G1188" s="70" t="s">
        <v>13</v>
      </c>
      <c r="H1188" s="51">
        <v>46260.270833333336</v>
      </c>
      <c r="I1188" s="113" t="str">
        <f t="shared" si="290"/>
        <v>26-08-2026T06:30:00</v>
      </c>
      <c r="J1188" s="51">
        <v>46261.006944444445</v>
      </c>
      <c r="K1188" s="51"/>
      <c r="L1188" s="52">
        <f t="shared" si="291"/>
        <v>0.73611111110949423</v>
      </c>
      <c r="M1188" s="53">
        <v>0.625</v>
      </c>
      <c r="N1188" s="54" t="str">
        <f t="shared" si="292"/>
        <v>-02:40:00</v>
      </c>
      <c r="O1188" s="55">
        <v>400</v>
      </c>
      <c r="P1188" s="147" t="s">
        <v>706</v>
      </c>
      <c r="Q1188" s="56" t="s">
        <v>204</v>
      </c>
      <c r="R1188" s="57">
        <v>0.375</v>
      </c>
      <c r="S1188" s="57">
        <v>0.49027777777777776</v>
      </c>
      <c r="T1188" s="47">
        <f t="shared" si="293"/>
        <v>0.11527777777777776</v>
      </c>
      <c r="U1188" s="50"/>
      <c r="V1188" s="74">
        <v>6.25E-2</v>
      </c>
      <c r="W1188" s="50">
        <f t="shared" si="294"/>
        <v>5.2777777777777757E-2</v>
      </c>
      <c r="X1188" s="171">
        <v>46260.270833333336</v>
      </c>
      <c r="Y1188" s="171">
        <v>46261.006944444445</v>
      </c>
      <c r="Z1188" s="168">
        <f t="shared" si="285"/>
        <v>0.73611111110949423</v>
      </c>
      <c r="AA1188" s="169">
        <f t="shared" si="286"/>
        <v>0.625</v>
      </c>
      <c r="AB1188" s="170" t="str">
        <f t="shared" si="287"/>
        <v>-02:40:00</v>
      </c>
      <c r="AC1188" s="170" t="b">
        <f t="shared" si="288"/>
        <v>1</v>
      </c>
    </row>
    <row r="1189" spans="1:29" s="128" customFormat="1" ht="9.75" hidden="1" customHeight="1" x14ac:dyDescent="0.3">
      <c r="A1189" s="99">
        <v>46260</v>
      </c>
      <c r="B1189" s="59">
        <v>8202495</v>
      </c>
      <c r="C1189" s="60" t="s">
        <v>58</v>
      </c>
      <c r="D1189" s="60" t="s">
        <v>591</v>
      </c>
      <c r="E1189" s="61">
        <v>0.27083333333333331</v>
      </c>
      <c r="F1189" s="60" t="s">
        <v>13</v>
      </c>
      <c r="G1189" s="71" t="s">
        <v>14</v>
      </c>
      <c r="H1189" s="62">
        <v>0.28055555555555556</v>
      </c>
      <c r="I1189" s="113" t="str">
        <f t="shared" si="290"/>
        <v>26-08-2026T06:44:00</v>
      </c>
      <c r="J1189" s="62">
        <v>0.8881944444444444</v>
      </c>
      <c r="K1189" s="62"/>
      <c r="L1189" s="63">
        <f t="shared" si="291"/>
        <v>0.60763888888888884</v>
      </c>
      <c r="M1189" s="64">
        <v>0.625</v>
      </c>
      <c r="N1189" s="65" t="str">
        <f t="shared" si="292"/>
        <v>00:25:00</v>
      </c>
      <c r="O1189" s="66"/>
      <c r="P1189" s="124"/>
      <c r="Q1189" s="67" t="s">
        <v>15</v>
      </c>
      <c r="R1189" s="68">
        <v>0.51666666666666672</v>
      </c>
      <c r="S1189" s="68">
        <v>0.54374999999999996</v>
      </c>
      <c r="T1189" s="69">
        <f t="shared" si="293"/>
        <v>2.7083333333333237E-2</v>
      </c>
      <c r="U1189" s="61" t="s">
        <v>234</v>
      </c>
      <c r="V1189" s="83">
        <v>8.3333333333333329E-2</v>
      </c>
      <c r="W1189" s="61">
        <f t="shared" si="294"/>
        <v>-5.6250000000000092E-2</v>
      </c>
      <c r="X1189" s="171">
        <v>46260.280555555553</v>
      </c>
      <c r="Y1189" s="171">
        <v>46260.888194444444</v>
      </c>
      <c r="Z1189" s="168">
        <f t="shared" si="285"/>
        <v>0.60763888889050577</v>
      </c>
      <c r="AA1189" s="169">
        <f t="shared" si="286"/>
        <v>0.625</v>
      </c>
      <c r="AB1189" s="170" t="str">
        <f t="shared" si="287"/>
        <v>00:25:00</v>
      </c>
      <c r="AC1189" s="170" t="b">
        <f t="shared" si="288"/>
        <v>1</v>
      </c>
    </row>
    <row r="1190" spans="1:29" s="127" customFormat="1" ht="9.75" hidden="1" customHeight="1" x14ac:dyDescent="0.3">
      <c r="A1190" s="98">
        <v>46260</v>
      </c>
      <c r="B1190" s="48">
        <v>8202467</v>
      </c>
      <c r="C1190" s="49" t="s">
        <v>34</v>
      </c>
      <c r="D1190" s="49" t="s">
        <v>390</v>
      </c>
      <c r="E1190" s="50">
        <v>0.27083333333333331</v>
      </c>
      <c r="F1190" s="49" t="s">
        <v>103</v>
      </c>
      <c r="G1190" s="70" t="s">
        <v>13</v>
      </c>
      <c r="H1190" s="51">
        <v>0.26874999999999999</v>
      </c>
      <c r="I1190" s="113" t="str">
        <f t="shared" si="290"/>
        <v>26-08-2026T06:27:00</v>
      </c>
      <c r="J1190" s="51">
        <v>46261.02847222222</v>
      </c>
      <c r="K1190" s="51"/>
      <c r="L1190" s="52">
        <f t="shared" si="291"/>
        <v>46260.759722222218</v>
      </c>
      <c r="M1190" s="53">
        <v>0.70833333333333337</v>
      </c>
      <c r="N1190" s="54" t="str">
        <f t="shared" si="292"/>
        <v>-01:14:00</v>
      </c>
      <c r="O1190" s="55">
        <v>500</v>
      </c>
      <c r="P1190" s="147" t="s">
        <v>774</v>
      </c>
      <c r="Q1190" s="56" t="s">
        <v>13</v>
      </c>
      <c r="R1190" s="57">
        <v>46260.97152777778</v>
      </c>
      <c r="S1190" s="57">
        <v>46261.02847222222</v>
      </c>
      <c r="T1190" s="58">
        <f t="shared" si="293"/>
        <v>5.694444444088731E-2</v>
      </c>
      <c r="U1190" s="50"/>
      <c r="V1190" s="74">
        <v>8.3333333333333329E-2</v>
      </c>
      <c r="W1190" s="50">
        <f t="shared" si="294"/>
        <v>-2.6388888892446019E-2</v>
      </c>
      <c r="X1190" s="171">
        <v>46260.268750000003</v>
      </c>
      <c r="Y1190" s="171">
        <v>46261.02847222222</v>
      </c>
      <c r="Z1190" s="168">
        <f t="shared" si="285"/>
        <v>0.75972222221753327</v>
      </c>
      <c r="AA1190" s="169">
        <f t="shared" si="286"/>
        <v>0.70833333333333337</v>
      </c>
      <c r="AB1190" s="170" t="str">
        <f t="shared" si="287"/>
        <v>-01:14:00</v>
      </c>
      <c r="AC1190" s="170" t="b">
        <f t="shared" si="288"/>
        <v>1</v>
      </c>
    </row>
    <row r="1191" spans="1:29" s="128" customFormat="1" ht="9.75" hidden="1" customHeight="1" x14ac:dyDescent="0.3">
      <c r="A1191" s="99">
        <v>46260</v>
      </c>
      <c r="B1191" s="59">
        <v>8202554</v>
      </c>
      <c r="C1191" s="60" t="s">
        <v>99</v>
      </c>
      <c r="D1191" s="60" t="s">
        <v>375</v>
      </c>
      <c r="E1191" s="61">
        <v>0.29166666666666669</v>
      </c>
      <c r="F1191" s="60" t="s">
        <v>13</v>
      </c>
      <c r="G1191" s="71" t="s">
        <v>103</v>
      </c>
      <c r="H1191" s="62">
        <v>0.29722222222222222</v>
      </c>
      <c r="I1191" s="113" t="str">
        <f t="shared" si="290"/>
        <v>26-08-2026T07:08:00</v>
      </c>
      <c r="J1191" s="62">
        <v>0.8979166666666667</v>
      </c>
      <c r="K1191" s="62"/>
      <c r="L1191" s="63">
        <f t="shared" si="291"/>
        <v>0.60069444444444442</v>
      </c>
      <c r="M1191" s="64">
        <v>0.625</v>
      </c>
      <c r="N1191" s="65" t="str">
        <f t="shared" si="292"/>
        <v>00:35:00</v>
      </c>
      <c r="O1191" s="66"/>
      <c r="P1191" s="124"/>
      <c r="Q1191" s="67"/>
      <c r="R1191" s="68"/>
      <c r="S1191" s="68"/>
      <c r="T1191" s="69">
        <f t="shared" si="293"/>
        <v>0</v>
      </c>
      <c r="U1191" s="61"/>
      <c r="V1191" s="83">
        <v>0</v>
      </c>
      <c r="W1191" s="61">
        <f t="shared" si="294"/>
        <v>0</v>
      </c>
      <c r="X1191" s="171" t="s">
        <v>371</v>
      </c>
      <c r="Y1191" s="171" t="s">
        <v>371</v>
      </c>
      <c r="Z1191" s="168" t="e">
        <f t="shared" si="285"/>
        <v>#VALUE!</v>
      </c>
      <c r="AA1191" s="169">
        <f t="shared" si="286"/>
        <v>0.625</v>
      </c>
      <c r="AB1191" s="170" t="e">
        <f t="shared" si="287"/>
        <v>#VALUE!</v>
      </c>
      <c r="AC1191" s="170" t="e">
        <f t="shared" si="288"/>
        <v>#VALUE!</v>
      </c>
    </row>
    <row r="1192" spans="1:29" s="128" customFormat="1" ht="9.75" hidden="1" customHeight="1" x14ac:dyDescent="0.3">
      <c r="A1192" s="99">
        <v>46260</v>
      </c>
      <c r="B1192" s="59">
        <v>8202600</v>
      </c>
      <c r="C1192" s="60" t="s">
        <v>42</v>
      </c>
      <c r="D1192" s="60" t="s">
        <v>181</v>
      </c>
      <c r="E1192" s="61">
        <v>0.3125</v>
      </c>
      <c r="F1192" s="60" t="s">
        <v>13</v>
      </c>
      <c r="G1192" s="71" t="s">
        <v>55</v>
      </c>
      <c r="H1192" s="62">
        <v>0.31944444444444442</v>
      </c>
      <c r="I1192" s="113" t="str">
        <f t="shared" si="290"/>
        <v>26-08-2026T07:40:00</v>
      </c>
      <c r="J1192" s="62">
        <v>0.37847222222222221</v>
      </c>
      <c r="K1192" s="62"/>
      <c r="L1192" s="63">
        <f t="shared" si="291"/>
        <v>5.902777777777779E-2</v>
      </c>
      <c r="M1192" s="64">
        <v>6.25E-2</v>
      </c>
      <c r="N1192" s="65" t="str">
        <f t="shared" si="292"/>
        <v>00:05:00</v>
      </c>
      <c r="O1192" s="66"/>
      <c r="P1192" s="124"/>
      <c r="Q1192" s="67"/>
      <c r="R1192" s="68"/>
      <c r="S1192" s="68"/>
      <c r="T1192" s="69">
        <f t="shared" si="293"/>
        <v>0</v>
      </c>
      <c r="U1192" s="61"/>
      <c r="V1192" s="83">
        <v>0</v>
      </c>
      <c r="W1192" s="61">
        <f t="shared" si="294"/>
        <v>0</v>
      </c>
      <c r="X1192" s="171">
        <v>46260.319444444445</v>
      </c>
      <c r="Y1192" s="171">
        <v>46260.378472222219</v>
      </c>
      <c r="Z1192" s="168">
        <f t="shared" si="285"/>
        <v>5.9027777773735579E-2</v>
      </c>
      <c r="AA1192" s="169">
        <f t="shared" si="286"/>
        <v>6.25E-2</v>
      </c>
      <c r="AB1192" s="170" t="str">
        <f t="shared" si="287"/>
        <v>00:05:00</v>
      </c>
      <c r="AC1192" s="170" t="b">
        <f t="shared" si="288"/>
        <v>1</v>
      </c>
    </row>
    <row r="1193" spans="1:29" s="127" customFormat="1" ht="9.75" hidden="1" customHeight="1" x14ac:dyDescent="0.3">
      <c r="A1193" s="98">
        <v>46260</v>
      </c>
      <c r="B1193" s="48">
        <v>8202703</v>
      </c>
      <c r="C1193" s="49" t="s">
        <v>30</v>
      </c>
      <c r="D1193" s="49" t="s">
        <v>286</v>
      </c>
      <c r="E1193" s="50">
        <v>0.375</v>
      </c>
      <c r="F1193" s="49" t="s">
        <v>13</v>
      </c>
      <c r="G1193" s="70" t="s">
        <v>31</v>
      </c>
      <c r="H1193" s="51">
        <v>46260.366666666669</v>
      </c>
      <c r="I1193" s="113" t="str">
        <f t="shared" si="290"/>
        <v>26-08-2026T08:48:00</v>
      </c>
      <c r="J1193" s="51">
        <v>46261.295138888891</v>
      </c>
      <c r="K1193" s="51"/>
      <c r="L1193" s="52">
        <f t="shared" si="291"/>
        <v>0.92847222222189885</v>
      </c>
      <c r="M1193" s="53">
        <v>0.75</v>
      </c>
      <c r="N1193" s="54" t="str">
        <f t="shared" si="292"/>
        <v>-04:17:00</v>
      </c>
      <c r="O1193" s="55">
        <v>1000</v>
      </c>
      <c r="P1193" s="147" t="s">
        <v>720</v>
      </c>
      <c r="Q1193" s="56" t="s">
        <v>45</v>
      </c>
      <c r="R1193" s="57">
        <v>46261.120138888888</v>
      </c>
      <c r="S1193" s="57">
        <v>46261.164583333331</v>
      </c>
      <c r="T1193" s="58">
        <f t="shared" si="293"/>
        <v>4.4444444443797693E-2</v>
      </c>
      <c r="U1193" s="50"/>
      <c r="V1193" s="74">
        <v>8.3333333333333329E-2</v>
      </c>
      <c r="W1193" s="50">
        <f t="shared" si="294"/>
        <v>-3.8888888889535636E-2</v>
      </c>
      <c r="X1193" s="171">
        <v>46260.366666666669</v>
      </c>
      <c r="Y1193" s="171">
        <v>46261.295138888891</v>
      </c>
      <c r="Z1193" s="168">
        <f t="shared" si="285"/>
        <v>0.92847222222189885</v>
      </c>
      <c r="AA1193" s="169">
        <f t="shared" si="286"/>
        <v>0.75</v>
      </c>
      <c r="AB1193" s="170" t="str">
        <f t="shared" si="287"/>
        <v>-04:17:00</v>
      </c>
      <c r="AC1193" s="170" t="b">
        <f t="shared" si="288"/>
        <v>1</v>
      </c>
    </row>
    <row r="1194" spans="1:29" s="128" customFormat="1" ht="9.75" hidden="1" customHeight="1" x14ac:dyDescent="0.3">
      <c r="A1194" s="99">
        <v>46260</v>
      </c>
      <c r="B1194" s="59">
        <v>8202739</v>
      </c>
      <c r="C1194" s="60" t="s">
        <v>171</v>
      </c>
      <c r="D1194" s="60" t="s">
        <v>296</v>
      </c>
      <c r="E1194" s="61">
        <v>0.375</v>
      </c>
      <c r="F1194" s="60" t="s">
        <v>13</v>
      </c>
      <c r="G1194" s="71" t="s">
        <v>47</v>
      </c>
      <c r="H1194" s="62">
        <v>46260.376388888886</v>
      </c>
      <c r="I1194" s="113" t="str">
        <f t="shared" si="290"/>
        <v>26-08-2026T09:02:00</v>
      </c>
      <c r="J1194" s="62">
        <v>46262.277777777781</v>
      </c>
      <c r="K1194" s="62"/>
      <c r="L1194" s="63">
        <f t="shared" si="291"/>
        <v>1.9013888888948713</v>
      </c>
      <c r="M1194" s="64">
        <v>1.9166666666666667</v>
      </c>
      <c r="N1194" s="65" t="str">
        <f t="shared" si="292"/>
        <v>00:22:00</v>
      </c>
      <c r="O1194" s="66"/>
      <c r="P1194" s="124"/>
      <c r="Q1194" s="67" t="s">
        <v>96</v>
      </c>
      <c r="R1194" s="68">
        <v>46262.05</v>
      </c>
      <c r="S1194" s="68">
        <v>46262.166666666664</v>
      </c>
      <c r="T1194" s="47">
        <f t="shared" si="293"/>
        <v>0.11666666666133096</v>
      </c>
      <c r="U1194" s="61"/>
      <c r="V1194" s="83">
        <v>8.3333333333333329E-2</v>
      </c>
      <c r="W1194" s="61">
        <f t="shared" si="294"/>
        <v>3.3333333327997636E-2</v>
      </c>
      <c r="X1194" s="171">
        <v>46260.376388888886</v>
      </c>
      <c r="Y1194" s="171">
        <v>46262.277777777781</v>
      </c>
      <c r="Z1194" s="168">
        <f t="shared" si="285"/>
        <v>1.9013888888948713</v>
      </c>
      <c r="AA1194" s="169">
        <f t="shared" si="286"/>
        <v>1.9166666666666667</v>
      </c>
      <c r="AB1194" s="170" t="str">
        <f t="shared" si="287"/>
        <v>00:22:00</v>
      </c>
      <c r="AC1194" s="170" t="b">
        <f t="shared" si="288"/>
        <v>1</v>
      </c>
    </row>
    <row r="1195" spans="1:29" s="128" customFormat="1" ht="9.75" hidden="1" customHeight="1" x14ac:dyDescent="0.3">
      <c r="A1195" s="99">
        <v>46260</v>
      </c>
      <c r="B1195" s="59">
        <v>8202740</v>
      </c>
      <c r="C1195" s="60" t="s">
        <v>48</v>
      </c>
      <c r="D1195" s="60" t="s">
        <v>183</v>
      </c>
      <c r="E1195" s="61">
        <v>0.375</v>
      </c>
      <c r="F1195" s="60" t="s">
        <v>49</v>
      </c>
      <c r="G1195" s="71" t="s">
        <v>13</v>
      </c>
      <c r="H1195" s="62">
        <v>0.37708333333333333</v>
      </c>
      <c r="I1195" s="113" t="str">
        <f t="shared" si="290"/>
        <v>26-08-2026T09:03:00</v>
      </c>
      <c r="J1195" s="62">
        <v>0.91249999999999998</v>
      </c>
      <c r="K1195" s="62"/>
      <c r="L1195" s="63">
        <f t="shared" si="291"/>
        <v>0.53541666666666665</v>
      </c>
      <c r="M1195" s="64">
        <v>0.58333333333333337</v>
      </c>
      <c r="N1195" s="65" t="str">
        <f t="shared" si="292"/>
        <v>01:09:00</v>
      </c>
      <c r="O1195" s="66"/>
      <c r="P1195" s="124"/>
      <c r="Q1195" s="67" t="s">
        <v>13</v>
      </c>
      <c r="R1195" s="68">
        <v>0.85972222222222228</v>
      </c>
      <c r="S1195" s="68">
        <v>0.90763888888888888</v>
      </c>
      <c r="T1195" s="69">
        <f t="shared" si="293"/>
        <v>4.7916666666666607E-2</v>
      </c>
      <c r="U1195" s="61"/>
      <c r="V1195" s="83">
        <v>8.3333333333333329E-2</v>
      </c>
      <c r="W1195" s="61">
        <f t="shared" si="294"/>
        <v>-3.5416666666666721E-2</v>
      </c>
      <c r="X1195" s="171">
        <v>46260.377083333333</v>
      </c>
      <c r="Y1195" s="171">
        <v>46260.912499999999</v>
      </c>
      <c r="Z1195" s="168">
        <f t="shared" si="285"/>
        <v>0.53541666666569654</v>
      </c>
      <c r="AA1195" s="169">
        <f t="shared" si="286"/>
        <v>0.58333333333333337</v>
      </c>
      <c r="AB1195" s="170" t="str">
        <f t="shared" si="287"/>
        <v>01:09:00</v>
      </c>
      <c r="AC1195" s="170" t="b">
        <f t="shared" si="288"/>
        <v>1</v>
      </c>
    </row>
    <row r="1196" spans="1:29" s="128" customFormat="1" ht="9.75" hidden="1" customHeight="1" x14ac:dyDescent="0.3">
      <c r="A1196" s="99">
        <v>46260</v>
      </c>
      <c r="B1196" s="59">
        <v>8202822</v>
      </c>
      <c r="C1196" s="60" t="s">
        <v>51</v>
      </c>
      <c r="D1196" s="60" t="s">
        <v>295</v>
      </c>
      <c r="E1196" s="61">
        <v>0.41666666666666669</v>
      </c>
      <c r="F1196" s="60" t="s">
        <v>13</v>
      </c>
      <c r="G1196" s="71" t="s">
        <v>49</v>
      </c>
      <c r="H1196" s="62">
        <v>0.43541666666666667</v>
      </c>
      <c r="I1196" s="113" t="str">
        <f t="shared" si="290"/>
        <v>26-08-2026T10:27:00</v>
      </c>
      <c r="J1196" s="62">
        <v>0.93055555555555558</v>
      </c>
      <c r="K1196" s="62"/>
      <c r="L1196" s="63">
        <f t="shared" si="291"/>
        <v>0.49513888888888891</v>
      </c>
      <c r="M1196" s="64">
        <v>0.5</v>
      </c>
      <c r="N1196" s="65" t="str">
        <f t="shared" si="292"/>
        <v>00:07:00</v>
      </c>
      <c r="O1196" s="66"/>
      <c r="P1196" s="124"/>
      <c r="Q1196" s="67"/>
      <c r="R1196" s="68"/>
      <c r="S1196" s="68"/>
      <c r="T1196" s="69">
        <f t="shared" si="293"/>
        <v>0</v>
      </c>
      <c r="U1196" s="61" t="s">
        <v>234</v>
      </c>
      <c r="V1196" s="83">
        <v>0</v>
      </c>
      <c r="W1196" s="61">
        <f t="shared" si="294"/>
        <v>0</v>
      </c>
      <c r="X1196" s="171">
        <v>46260.435416666667</v>
      </c>
      <c r="Y1196" s="171">
        <v>46260.930555555555</v>
      </c>
      <c r="Z1196" s="168">
        <f t="shared" si="285"/>
        <v>0.49513888888759539</v>
      </c>
      <c r="AA1196" s="169">
        <f t="shared" si="286"/>
        <v>0.5</v>
      </c>
      <c r="AB1196" s="170" t="str">
        <f t="shared" si="287"/>
        <v>00:07:00</v>
      </c>
      <c r="AC1196" s="170" t="b">
        <f t="shared" si="288"/>
        <v>1</v>
      </c>
    </row>
    <row r="1197" spans="1:29" s="127" customFormat="1" ht="9.75" hidden="1" customHeight="1" x14ac:dyDescent="0.3">
      <c r="A1197" s="98">
        <v>46260</v>
      </c>
      <c r="B1197" s="48">
        <v>8202766</v>
      </c>
      <c r="C1197" s="49" t="s">
        <v>40</v>
      </c>
      <c r="D1197" s="49" t="s">
        <v>460</v>
      </c>
      <c r="E1197" s="50">
        <v>0.41666666666666669</v>
      </c>
      <c r="F1197" s="49" t="s">
        <v>31</v>
      </c>
      <c r="G1197" s="70" t="s">
        <v>13</v>
      </c>
      <c r="H1197" s="51">
        <v>46260.400694444441</v>
      </c>
      <c r="I1197" s="113" t="str">
        <f t="shared" si="290"/>
        <v>26-08-2026T09:37:00</v>
      </c>
      <c r="J1197" s="51">
        <v>46261.243750000001</v>
      </c>
      <c r="K1197" s="51"/>
      <c r="L1197" s="52">
        <f t="shared" si="291"/>
        <v>0.84305555556056788</v>
      </c>
      <c r="M1197" s="53">
        <v>0.75</v>
      </c>
      <c r="N1197" s="54" t="str">
        <f t="shared" si="292"/>
        <v>-02:14:00</v>
      </c>
      <c r="O1197" s="55">
        <v>800</v>
      </c>
      <c r="P1197" s="147" t="s">
        <v>775</v>
      </c>
      <c r="Q1197" s="56" t="s">
        <v>45</v>
      </c>
      <c r="R1197" s="57">
        <v>0.55347222222222225</v>
      </c>
      <c r="S1197" s="57">
        <v>0.60416666666666663</v>
      </c>
      <c r="T1197" s="58">
        <f t="shared" si="293"/>
        <v>5.0694444444444375E-2</v>
      </c>
      <c r="U1197" s="50"/>
      <c r="V1197" s="74">
        <v>8.3333333333333329E-2</v>
      </c>
      <c r="W1197" s="50">
        <f t="shared" si="294"/>
        <v>-3.2638888888888953E-2</v>
      </c>
      <c r="X1197" s="171">
        <v>46260.400694444441</v>
      </c>
      <c r="Y1197" s="171">
        <v>46261.243750000001</v>
      </c>
      <c r="Z1197" s="168">
        <f t="shared" si="285"/>
        <v>0.84305555556056788</v>
      </c>
      <c r="AA1197" s="169">
        <f t="shared" si="286"/>
        <v>0.75</v>
      </c>
      <c r="AB1197" s="170" t="str">
        <f t="shared" si="287"/>
        <v>-02:14:00</v>
      </c>
      <c r="AC1197" s="170" t="b">
        <f t="shared" si="288"/>
        <v>1</v>
      </c>
    </row>
    <row r="1198" spans="1:29" s="127" customFormat="1" ht="9.75" hidden="1" customHeight="1" x14ac:dyDescent="0.3">
      <c r="A1198" s="98">
        <v>46260</v>
      </c>
      <c r="B1198" s="48">
        <v>8202800</v>
      </c>
      <c r="C1198" s="49" t="s">
        <v>46</v>
      </c>
      <c r="D1198" s="49" t="s">
        <v>374</v>
      </c>
      <c r="E1198" s="50">
        <v>0.4375</v>
      </c>
      <c r="F1198" s="49" t="s">
        <v>15</v>
      </c>
      <c r="G1198" s="70" t="s">
        <v>13</v>
      </c>
      <c r="H1198" s="51">
        <v>0.42569444444444443</v>
      </c>
      <c r="I1198" s="113" t="str">
        <f t="shared" si="290"/>
        <v>26-08-2026T10:13:00</v>
      </c>
      <c r="J1198" s="51">
        <v>0.67638888888888893</v>
      </c>
      <c r="K1198" s="51"/>
      <c r="L1198" s="52">
        <f t="shared" si="291"/>
        <v>0.2506944444444445</v>
      </c>
      <c r="M1198" s="53">
        <v>0.20833333333333334</v>
      </c>
      <c r="N1198" s="54" t="str">
        <f t="shared" si="292"/>
        <v>-01:01:00</v>
      </c>
      <c r="O1198" s="55">
        <v>400</v>
      </c>
      <c r="P1198" s="147" t="s">
        <v>776</v>
      </c>
      <c r="Q1198" s="56"/>
      <c r="R1198" s="57"/>
      <c r="S1198" s="57"/>
      <c r="T1198" s="58">
        <f t="shared" si="293"/>
        <v>0</v>
      </c>
      <c r="U1198" s="50"/>
      <c r="V1198" s="74">
        <v>0</v>
      </c>
      <c r="W1198" s="50">
        <f t="shared" si="294"/>
        <v>0</v>
      </c>
      <c r="X1198" s="171">
        <v>46260.425694444442</v>
      </c>
      <c r="Y1198" s="171">
        <v>46260.676388888889</v>
      </c>
      <c r="Z1198" s="168">
        <f t="shared" si="285"/>
        <v>0.25069444444670808</v>
      </c>
      <c r="AA1198" s="169">
        <f t="shared" si="286"/>
        <v>0.20833333333333334</v>
      </c>
      <c r="AB1198" s="170" t="str">
        <f t="shared" si="287"/>
        <v>-01:01:00</v>
      </c>
      <c r="AC1198" s="170" t="b">
        <f t="shared" si="288"/>
        <v>1</v>
      </c>
    </row>
    <row r="1199" spans="1:29" s="127" customFormat="1" ht="9.75" customHeight="1" x14ac:dyDescent="0.3">
      <c r="A1199" s="98">
        <v>46260</v>
      </c>
      <c r="B1199" s="48">
        <v>8201878</v>
      </c>
      <c r="C1199" s="49" t="s">
        <v>90</v>
      </c>
      <c r="D1199" s="49" t="s">
        <v>290</v>
      </c>
      <c r="E1199" s="50">
        <v>0.99930555555555556</v>
      </c>
      <c r="F1199" s="49" t="s">
        <v>13</v>
      </c>
      <c r="G1199" s="70" t="s">
        <v>15</v>
      </c>
      <c r="H1199" s="51">
        <v>0.11388888888888889</v>
      </c>
      <c r="I1199" s="113" t="str">
        <f t="shared" si="290"/>
        <v>26-08-2026T02:44:00</v>
      </c>
      <c r="J1199" s="51">
        <v>0.49652777777777779</v>
      </c>
      <c r="K1199" s="113" t="str">
        <f t="shared" ref="K1199:K1200" si="295">TEXT(A1199,"dd-mm-yyyy")&amp;"T"&amp;TEXT(J1199,"hh:mm:ss")</f>
        <v>26-08-2026T11:55:00</v>
      </c>
      <c r="L1199" s="52">
        <f t="shared" ref="L1199:L1230" si="296">J1199-H1199</f>
        <v>0.38263888888888892</v>
      </c>
      <c r="M1199" s="53">
        <v>0.27083333333333331</v>
      </c>
      <c r="N1199" s="54" t="str">
        <f t="shared" ref="N1199:N1230" si="297">IF(M1199-L1199&gt;0,TEXT(M1199-L1199,"HH:MM:SS"),TEXT(ABS(M1199-L1199),"-HH:MM:SS"))</f>
        <v>-02:41:00</v>
      </c>
      <c r="O1199" s="55">
        <v>200</v>
      </c>
      <c r="P1199" s="147" t="s">
        <v>125</v>
      </c>
      <c r="Q1199" s="56" t="s">
        <v>13</v>
      </c>
      <c r="R1199" s="57">
        <v>0.13750000000000001</v>
      </c>
      <c r="S1199" s="57">
        <v>0.28125</v>
      </c>
      <c r="T1199" s="47">
        <f t="shared" ref="T1199:T1230" si="298">S1199-R1199</f>
        <v>0.14374999999999999</v>
      </c>
      <c r="U1199" s="50"/>
      <c r="V1199" s="74">
        <v>4.1666666666666664E-2</v>
      </c>
      <c r="W1199" s="50">
        <f t="shared" ref="W1199:W1230" si="299">T1199-V1199</f>
        <v>0.10208333333333333</v>
      </c>
      <c r="X1199" s="171">
        <v>46260.113888888889</v>
      </c>
      <c r="Y1199" s="171">
        <v>46260.496527777781</v>
      </c>
      <c r="Z1199" s="168">
        <f t="shared" si="285"/>
        <v>0.38263888889196096</v>
      </c>
      <c r="AA1199" s="169">
        <f t="shared" si="286"/>
        <v>0.27083333333333331</v>
      </c>
      <c r="AB1199" s="170" t="str">
        <f t="shared" si="287"/>
        <v>-02:41:00</v>
      </c>
      <c r="AC1199" s="170" t="b">
        <f t="shared" si="288"/>
        <v>1</v>
      </c>
    </row>
    <row r="1200" spans="1:29" s="127" customFormat="1" ht="9.75" hidden="1" customHeight="1" x14ac:dyDescent="0.3">
      <c r="A1200" s="98">
        <v>46260</v>
      </c>
      <c r="B1200" s="48">
        <v>8203295</v>
      </c>
      <c r="C1200" s="49" t="s">
        <v>90</v>
      </c>
      <c r="D1200" s="49" t="s">
        <v>290</v>
      </c>
      <c r="E1200" s="50">
        <v>0.4375</v>
      </c>
      <c r="F1200" s="49" t="s">
        <v>15</v>
      </c>
      <c r="G1200" s="70" t="s">
        <v>13</v>
      </c>
      <c r="H1200" s="51">
        <v>0.59652777777777777</v>
      </c>
      <c r="I1200" s="113" t="str">
        <f t="shared" si="290"/>
        <v>26-08-2026T14:19:00</v>
      </c>
      <c r="J1200" s="51">
        <v>0.81041666666666667</v>
      </c>
      <c r="K1200" s="113" t="str">
        <f t="shared" si="295"/>
        <v>26-08-2026T19:27:00</v>
      </c>
      <c r="L1200" s="52">
        <f t="shared" si="296"/>
        <v>0.21388888888888891</v>
      </c>
      <c r="M1200" s="53">
        <v>0.20833333333333334</v>
      </c>
      <c r="N1200" s="54" t="str">
        <f t="shared" si="297"/>
        <v>-00:08:00</v>
      </c>
      <c r="O1200" s="55">
        <v>200</v>
      </c>
      <c r="P1200" s="147" t="s">
        <v>610</v>
      </c>
      <c r="Q1200" s="56"/>
      <c r="R1200" s="57"/>
      <c r="S1200" s="57"/>
      <c r="T1200" s="58">
        <f t="shared" si="298"/>
        <v>0</v>
      </c>
      <c r="U1200" s="50"/>
      <c r="V1200" s="74">
        <v>0</v>
      </c>
      <c r="W1200" s="50">
        <f t="shared" si="299"/>
        <v>0</v>
      </c>
      <c r="X1200" s="171">
        <v>46260.59652777778</v>
      </c>
      <c r="Y1200" s="171">
        <v>46260.810416666667</v>
      </c>
      <c r="Z1200" s="168">
        <f t="shared" si="285"/>
        <v>0.21388888888759539</v>
      </c>
      <c r="AA1200" s="169">
        <f t="shared" si="286"/>
        <v>0.20833333333333334</v>
      </c>
      <c r="AB1200" s="170" t="str">
        <f t="shared" si="287"/>
        <v>-00:08:00</v>
      </c>
      <c r="AC1200" s="170" t="b">
        <f t="shared" si="288"/>
        <v>1</v>
      </c>
    </row>
    <row r="1201" spans="1:29" s="128" customFormat="1" ht="9.75" hidden="1" customHeight="1" x14ac:dyDescent="0.3">
      <c r="A1201" s="99">
        <v>46260</v>
      </c>
      <c r="B1201" s="59">
        <v>8202879</v>
      </c>
      <c r="C1201" s="60" t="s">
        <v>41</v>
      </c>
      <c r="D1201" s="60" t="s">
        <v>299</v>
      </c>
      <c r="E1201" s="61">
        <v>0.45833333333333331</v>
      </c>
      <c r="F1201" s="60" t="s">
        <v>13</v>
      </c>
      <c r="G1201" s="71" t="s">
        <v>24</v>
      </c>
      <c r="H1201" s="62">
        <v>0.45763888888888887</v>
      </c>
      <c r="I1201" s="113" t="str">
        <f t="shared" si="290"/>
        <v>26-08-2026T10:59:00</v>
      </c>
      <c r="J1201" s="62">
        <v>0.53541666666666665</v>
      </c>
      <c r="K1201" s="62"/>
      <c r="L1201" s="63">
        <f t="shared" si="296"/>
        <v>7.7777777777777779E-2</v>
      </c>
      <c r="M1201" s="64">
        <v>8.3333333333333329E-2</v>
      </c>
      <c r="N1201" s="65" t="str">
        <f t="shared" si="297"/>
        <v>00:08:00</v>
      </c>
      <c r="O1201" s="66"/>
      <c r="P1201" s="124"/>
      <c r="Q1201" s="67"/>
      <c r="R1201" s="68"/>
      <c r="S1201" s="68"/>
      <c r="T1201" s="69">
        <f t="shared" si="298"/>
        <v>0</v>
      </c>
      <c r="U1201" s="61"/>
      <c r="V1201" s="83">
        <v>0</v>
      </c>
      <c r="W1201" s="61">
        <f t="shared" si="299"/>
        <v>0</v>
      </c>
      <c r="X1201" s="171">
        <v>46260.457638888889</v>
      </c>
      <c r="Y1201" s="171">
        <v>46260.535416666666</v>
      </c>
      <c r="Z1201" s="168">
        <f t="shared" si="285"/>
        <v>7.7777777776645962E-2</v>
      </c>
      <c r="AA1201" s="169">
        <f t="shared" si="286"/>
        <v>8.3333333333333329E-2</v>
      </c>
      <c r="AB1201" s="170" t="str">
        <f t="shared" si="287"/>
        <v>00:08:00</v>
      </c>
      <c r="AC1201" s="170" t="b">
        <f t="shared" si="288"/>
        <v>1</v>
      </c>
    </row>
    <row r="1202" spans="1:29" s="128" customFormat="1" ht="9.75" hidden="1" customHeight="1" x14ac:dyDescent="0.3">
      <c r="A1202" s="99">
        <v>46260</v>
      </c>
      <c r="B1202" s="59">
        <v>8203040</v>
      </c>
      <c r="C1202" s="60" t="s">
        <v>20</v>
      </c>
      <c r="D1202" s="60" t="s">
        <v>232</v>
      </c>
      <c r="E1202" s="61">
        <v>0.5</v>
      </c>
      <c r="F1202" s="60" t="s">
        <v>13</v>
      </c>
      <c r="G1202" s="71" t="s">
        <v>21</v>
      </c>
      <c r="H1202" s="62">
        <v>0.50138888888888888</v>
      </c>
      <c r="I1202" s="113" t="str">
        <f t="shared" si="290"/>
        <v>26-08-2026T12:02:00</v>
      </c>
      <c r="J1202" s="62">
        <v>0.75</v>
      </c>
      <c r="K1202" s="62"/>
      <c r="L1202" s="63">
        <f t="shared" si="296"/>
        <v>0.24861111111111112</v>
      </c>
      <c r="M1202" s="64">
        <v>0.25</v>
      </c>
      <c r="N1202" s="65" t="str">
        <f t="shared" si="297"/>
        <v>00:02:00</v>
      </c>
      <c r="O1202" s="66"/>
      <c r="P1202" s="124"/>
      <c r="Q1202" s="67"/>
      <c r="R1202" s="68"/>
      <c r="S1202" s="68"/>
      <c r="T1202" s="69">
        <f t="shared" si="298"/>
        <v>0</v>
      </c>
      <c r="U1202" s="61"/>
      <c r="V1202" s="83">
        <v>0</v>
      </c>
      <c r="W1202" s="61">
        <f t="shared" si="299"/>
        <v>0</v>
      </c>
      <c r="X1202" s="171">
        <v>46260.501388888886</v>
      </c>
      <c r="Y1202" s="171">
        <v>46260.75</v>
      </c>
      <c r="Z1202" s="168">
        <f t="shared" si="285"/>
        <v>0.24861111111385981</v>
      </c>
      <c r="AA1202" s="169">
        <f t="shared" si="286"/>
        <v>0.25</v>
      </c>
      <c r="AB1202" s="170" t="str">
        <f t="shared" si="287"/>
        <v>00:02:00</v>
      </c>
      <c r="AC1202" s="170" t="b">
        <f t="shared" si="288"/>
        <v>1</v>
      </c>
    </row>
    <row r="1203" spans="1:29" s="127" customFormat="1" ht="9.75" hidden="1" customHeight="1" x14ac:dyDescent="0.3">
      <c r="A1203" s="98">
        <v>46258</v>
      </c>
      <c r="B1203" s="48">
        <v>8198858</v>
      </c>
      <c r="C1203" s="49" t="s">
        <v>56</v>
      </c>
      <c r="D1203" s="49" t="s">
        <v>735</v>
      </c>
      <c r="E1203" s="50">
        <v>0.99930555555555556</v>
      </c>
      <c r="F1203" s="49" t="s">
        <v>15</v>
      </c>
      <c r="G1203" s="70" t="s">
        <v>13</v>
      </c>
      <c r="H1203" s="51">
        <v>46258.998611111114</v>
      </c>
      <c r="I1203" s="113" t="str">
        <f t="shared" si="290"/>
        <v>24-08-2026T23:58:00</v>
      </c>
      <c r="J1203" s="51">
        <v>46259.804166666669</v>
      </c>
      <c r="K1203" s="51"/>
      <c r="L1203" s="52">
        <f t="shared" si="296"/>
        <v>0.80555555555474712</v>
      </c>
      <c r="M1203" s="53">
        <v>0.20833333333333334</v>
      </c>
      <c r="N1203" s="54" t="str">
        <f t="shared" si="297"/>
        <v>-14:20:00</v>
      </c>
      <c r="O1203" s="55">
        <f>250*15</f>
        <v>3750</v>
      </c>
      <c r="P1203" s="147" t="s">
        <v>755</v>
      </c>
      <c r="Q1203" s="56"/>
      <c r="R1203" s="57"/>
      <c r="S1203" s="57"/>
      <c r="T1203" s="58">
        <f t="shared" si="298"/>
        <v>0</v>
      </c>
      <c r="U1203" s="50"/>
      <c r="V1203" s="74">
        <v>0</v>
      </c>
      <c r="W1203" s="50">
        <f t="shared" si="299"/>
        <v>0</v>
      </c>
      <c r="X1203" s="171">
        <v>46258.998611111114</v>
      </c>
      <c r="Y1203" s="171">
        <v>46259.804166666669</v>
      </c>
      <c r="Z1203" s="168">
        <f t="shared" si="285"/>
        <v>0.80555555555474712</v>
      </c>
      <c r="AA1203" s="169">
        <f t="shared" si="286"/>
        <v>0.20833333333333334</v>
      </c>
      <c r="AB1203" s="170" t="str">
        <f t="shared" si="287"/>
        <v>-14:20:00</v>
      </c>
      <c r="AC1203" s="170" t="b">
        <f t="shared" si="288"/>
        <v>1</v>
      </c>
    </row>
    <row r="1204" spans="1:29" s="127" customFormat="1" ht="9.75" hidden="1" customHeight="1" x14ac:dyDescent="0.3">
      <c r="A1204" s="98">
        <v>46260</v>
      </c>
      <c r="B1204" s="48">
        <v>8203147</v>
      </c>
      <c r="C1204" s="49" t="s">
        <v>56</v>
      </c>
      <c r="D1204" s="49" t="s">
        <v>735</v>
      </c>
      <c r="E1204" s="50">
        <v>0.54166666666666663</v>
      </c>
      <c r="F1204" s="49" t="s">
        <v>13</v>
      </c>
      <c r="G1204" s="70" t="s">
        <v>15</v>
      </c>
      <c r="H1204" s="51">
        <v>0.54166666666666663</v>
      </c>
      <c r="I1204" s="113" t="str">
        <f t="shared" si="290"/>
        <v>26-08-2026T13:00:00</v>
      </c>
      <c r="J1204" s="51">
        <v>0.78125</v>
      </c>
      <c r="K1204" s="51"/>
      <c r="L1204" s="52">
        <f t="shared" si="296"/>
        <v>0.23958333333333337</v>
      </c>
      <c r="M1204" s="53">
        <v>0.20833333333333334</v>
      </c>
      <c r="N1204" s="54" t="str">
        <f t="shared" si="297"/>
        <v>-00:45:00</v>
      </c>
      <c r="O1204" s="55">
        <v>250</v>
      </c>
      <c r="P1204" s="147" t="s">
        <v>610</v>
      </c>
      <c r="Q1204" s="56"/>
      <c r="R1204" s="57"/>
      <c r="S1204" s="57"/>
      <c r="T1204" s="58">
        <f t="shared" si="298"/>
        <v>0</v>
      </c>
      <c r="U1204" s="50"/>
      <c r="V1204" s="74">
        <v>0</v>
      </c>
      <c r="W1204" s="50">
        <f t="shared" si="299"/>
        <v>0</v>
      </c>
      <c r="X1204" s="171">
        <v>46260.541666666664</v>
      </c>
      <c r="Y1204" s="171">
        <v>46260.78125</v>
      </c>
      <c r="Z1204" s="168">
        <f t="shared" si="285"/>
        <v>0.23958333333575865</v>
      </c>
      <c r="AA1204" s="169">
        <f t="shared" si="286"/>
        <v>0.20833333333333334</v>
      </c>
      <c r="AB1204" s="170" t="str">
        <f t="shared" si="287"/>
        <v>-00:45:00</v>
      </c>
      <c r="AC1204" s="170" t="b">
        <f t="shared" si="288"/>
        <v>1</v>
      </c>
    </row>
    <row r="1205" spans="1:29" s="128" customFormat="1" ht="9.75" hidden="1" customHeight="1" x14ac:dyDescent="0.3">
      <c r="A1205" s="99">
        <v>46260</v>
      </c>
      <c r="B1205" s="59">
        <v>8203445</v>
      </c>
      <c r="C1205" s="60" t="s">
        <v>53</v>
      </c>
      <c r="D1205" s="60" t="s">
        <v>298</v>
      </c>
      <c r="E1205" s="61">
        <v>0.64583333333333337</v>
      </c>
      <c r="F1205" s="60" t="s">
        <v>19</v>
      </c>
      <c r="G1205" s="71" t="s">
        <v>13</v>
      </c>
      <c r="H1205" s="62">
        <v>46260.645138888889</v>
      </c>
      <c r="I1205" s="113" t="str">
        <f t="shared" si="290"/>
        <v>26-08-2026T15:29:00</v>
      </c>
      <c r="J1205" s="62">
        <v>46261.056944444441</v>
      </c>
      <c r="K1205" s="62"/>
      <c r="L1205" s="63">
        <f t="shared" si="296"/>
        <v>0.41180555555183673</v>
      </c>
      <c r="M1205" s="64">
        <v>0.4375</v>
      </c>
      <c r="N1205" s="65" t="str">
        <f t="shared" si="297"/>
        <v>00:37:00</v>
      </c>
      <c r="O1205" s="66"/>
      <c r="P1205" s="124"/>
      <c r="Q1205" s="67" t="s">
        <v>95</v>
      </c>
      <c r="R1205" s="68">
        <v>0.76041666666666663</v>
      </c>
      <c r="S1205" s="68">
        <v>0.79166666666666663</v>
      </c>
      <c r="T1205" s="69">
        <f t="shared" si="298"/>
        <v>3.125E-2</v>
      </c>
      <c r="U1205" s="61"/>
      <c r="V1205" s="83">
        <v>8.3333333333333329E-2</v>
      </c>
      <c r="W1205" s="61">
        <f t="shared" si="299"/>
        <v>-5.2083333333333329E-2</v>
      </c>
      <c r="X1205" s="171">
        <v>46260.645138888889</v>
      </c>
      <c r="Y1205" s="171">
        <v>46261.056944444441</v>
      </c>
      <c r="Z1205" s="168">
        <f t="shared" si="285"/>
        <v>0.41180555555183673</v>
      </c>
      <c r="AA1205" s="169">
        <f t="shared" si="286"/>
        <v>0.4375</v>
      </c>
      <c r="AB1205" s="170" t="str">
        <f t="shared" si="287"/>
        <v>00:37:00</v>
      </c>
      <c r="AC1205" s="170" t="b">
        <f t="shared" si="288"/>
        <v>1</v>
      </c>
    </row>
    <row r="1206" spans="1:29" s="127" customFormat="1" ht="9.75" hidden="1" customHeight="1" x14ac:dyDescent="0.3">
      <c r="A1206" s="98">
        <v>46260</v>
      </c>
      <c r="B1206" s="48">
        <v>8203716</v>
      </c>
      <c r="C1206" s="49" t="s">
        <v>57</v>
      </c>
      <c r="D1206" s="49" t="s">
        <v>326</v>
      </c>
      <c r="E1206" s="50">
        <v>0.70833333333333337</v>
      </c>
      <c r="F1206" s="49" t="s">
        <v>13</v>
      </c>
      <c r="G1206" s="70" t="s">
        <v>24</v>
      </c>
      <c r="H1206" s="51">
        <v>46260.734027777777</v>
      </c>
      <c r="I1206" s="113" t="str">
        <f t="shared" si="290"/>
        <v>26-08-2026T17:37:00</v>
      </c>
      <c r="J1206" s="51">
        <v>46261.025694444441</v>
      </c>
      <c r="K1206" s="51"/>
      <c r="L1206" s="52">
        <f t="shared" si="296"/>
        <v>0.29166666666424135</v>
      </c>
      <c r="M1206" s="53">
        <v>8.3333333333333329E-2</v>
      </c>
      <c r="N1206" s="54" t="str">
        <f t="shared" si="297"/>
        <v>-05:00:00</v>
      </c>
      <c r="O1206" s="55">
        <v>1250</v>
      </c>
      <c r="P1206" s="147" t="s">
        <v>721</v>
      </c>
      <c r="Q1206" s="56"/>
      <c r="R1206" s="57"/>
      <c r="S1206" s="57"/>
      <c r="T1206" s="58">
        <f t="shared" si="298"/>
        <v>0</v>
      </c>
      <c r="U1206" s="50"/>
      <c r="V1206" s="74">
        <v>0</v>
      </c>
      <c r="W1206" s="50">
        <f t="shared" si="299"/>
        <v>0</v>
      </c>
      <c r="X1206" s="171">
        <v>46260.734027777777</v>
      </c>
      <c r="Y1206" s="171">
        <v>46261.025694444441</v>
      </c>
      <c r="Z1206" s="168">
        <f t="shared" si="285"/>
        <v>0.29166666666424135</v>
      </c>
      <c r="AA1206" s="169">
        <f t="shared" si="286"/>
        <v>8.3333333333333329E-2</v>
      </c>
      <c r="AB1206" s="170" t="str">
        <f t="shared" si="287"/>
        <v>-05:00:00</v>
      </c>
      <c r="AC1206" s="170" t="b">
        <f t="shared" si="288"/>
        <v>1</v>
      </c>
    </row>
    <row r="1207" spans="1:29" s="128" customFormat="1" ht="9.75" hidden="1" customHeight="1" x14ac:dyDescent="0.3">
      <c r="A1207" s="99">
        <v>46260</v>
      </c>
      <c r="B1207" s="59">
        <v>8203692</v>
      </c>
      <c r="C1207" s="60" t="s">
        <v>87</v>
      </c>
      <c r="D1207" s="60" t="s">
        <v>367</v>
      </c>
      <c r="E1207" s="61">
        <v>0.70833333333333337</v>
      </c>
      <c r="F1207" s="60" t="s">
        <v>85</v>
      </c>
      <c r="G1207" s="71" t="s">
        <v>13</v>
      </c>
      <c r="H1207" s="62">
        <v>46260.724999999999</v>
      </c>
      <c r="I1207" s="113" t="str">
        <f t="shared" si="290"/>
        <v>26-08-2026T17:24:00</v>
      </c>
      <c r="J1207" s="62">
        <v>46261.056250000001</v>
      </c>
      <c r="K1207" s="62"/>
      <c r="L1207" s="63">
        <f t="shared" si="296"/>
        <v>0.33125000000291038</v>
      </c>
      <c r="M1207" s="64">
        <v>0.33333333333333331</v>
      </c>
      <c r="N1207" s="65" t="str">
        <f t="shared" si="297"/>
        <v>00:03:00</v>
      </c>
      <c r="O1207" s="66"/>
      <c r="P1207" s="124"/>
      <c r="Q1207" s="67" t="s">
        <v>174</v>
      </c>
      <c r="R1207" s="68">
        <v>0.77777777777777779</v>
      </c>
      <c r="S1207" s="68">
        <v>0.79166666666666663</v>
      </c>
      <c r="T1207" s="69">
        <f t="shared" si="298"/>
        <v>1.388888888888884E-2</v>
      </c>
      <c r="U1207" s="61"/>
      <c r="V1207" s="83">
        <v>4.1666666666666664E-2</v>
      </c>
      <c r="W1207" s="61">
        <f t="shared" si="299"/>
        <v>-2.7777777777777825E-2</v>
      </c>
      <c r="X1207" s="171">
        <v>46260.724999999999</v>
      </c>
      <c r="Y1207" s="171">
        <v>46261.056250000001</v>
      </c>
      <c r="Z1207" s="168">
        <f t="shared" si="285"/>
        <v>0.33125000000291038</v>
      </c>
      <c r="AA1207" s="169">
        <f t="shared" si="286"/>
        <v>0.33333333333333331</v>
      </c>
      <c r="AB1207" s="170" t="str">
        <f t="shared" si="287"/>
        <v>00:03:00</v>
      </c>
      <c r="AC1207" s="170" t="b">
        <f t="shared" si="288"/>
        <v>1</v>
      </c>
    </row>
    <row r="1208" spans="1:29" s="128" customFormat="1" ht="9.75" hidden="1" customHeight="1" x14ac:dyDescent="0.3">
      <c r="A1208" s="99">
        <v>46260</v>
      </c>
      <c r="B1208" s="59">
        <v>8203630</v>
      </c>
      <c r="C1208" s="60" t="s">
        <v>97</v>
      </c>
      <c r="D1208" s="60" t="s">
        <v>468</v>
      </c>
      <c r="E1208" s="61">
        <v>0.70833333333333337</v>
      </c>
      <c r="F1208" s="60" t="s">
        <v>13</v>
      </c>
      <c r="G1208" s="71" t="s">
        <v>23</v>
      </c>
      <c r="H1208" s="62">
        <v>46260.704861111109</v>
      </c>
      <c r="I1208" s="113" t="str">
        <f t="shared" si="290"/>
        <v>26-08-2026T16:55:00</v>
      </c>
      <c r="J1208" s="62">
        <v>46261.796527777777</v>
      </c>
      <c r="K1208" s="62"/>
      <c r="L1208" s="63">
        <f t="shared" si="296"/>
        <v>1.0916666666671517</v>
      </c>
      <c r="M1208" s="64">
        <v>1</v>
      </c>
      <c r="N1208" s="65" t="str">
        <f t="shared" si="297"/>
        <v>-02:12:00</v>
      </c>
      <c r="O1208" s="66"/>
      <c r="P1208" s="124" t="s">
        <v>714</v>
      </c>
      <c r="Q1208" s="67"/>
      <c r="R1208" s="68"/>
      <c r="S1208" s="68"/>
      <c r="T1208" s="69">
        <f t="shared" si="298"/>
        <v>0</v>
      </c>
      <c r="U1208" s="61"/>
      <c r="V1208" s="83">
        <v>0</v>
      </c>
      <c r="W1208" s="61">
        <f t="shared" si="299"/>
        <v>0</v>
      </c>
      <c r="X1208" s="172">
        <v>46260.704861111109</v>
      </c>
      <c r="Y1208" s="172">
        <v>46261.796527777777</v>
      </c>
      <c r="Z1208" s="173">
        <f t="shared" si="285"/>
        <v>1.0916666666671517</v>
      </c>
      <c r="AA1208" s="174">
        <f t="shared" si="286"/>
        <v>1</v>
      </c>
      <c r="AB1208" s="175" t="str">
        <f t="shared" si="287"/>
        <v>-02:12:00</v>
      </c>
      <c r="AC1208" s="175" t="b">
        <f t="shared" si="288"/>
        <v>1</v>
      </c>
    </row>
    <row r="1209" spans="1:29" s="127" customFormat="1" ht="9.75" hidden="1" customHeight="1" x14ac:dyDescent="0.3">
      <c r="A1209" s="98">
        <v>46260</v>
      </c>
      <c r="B1209" s="48">
        <v>8203667</v>
      </c>
      <c r="C1209" s="49" t="s">
        <v>27</v>
      </c>
      <c r="D1209" s="49" t="s">
        <v>378</v>
      </c>
      <c r="E1209" s="50">
        <v>0.70833333333333337</v>
      </c>
      <c r="F1209" s="49" t="s">
        <v>28</v>
      </c>
      <c r="G1209" s="70" t="s">
        <v>13</v>
      </c>
      <c r="H1209" s="51">
        <v>0.71458333333333335</v>
      </c>
      <c r="I1209" s="113" t="str">
        <f t="shared" si="290"/>
        <v>26-08-2026T17:09:00</v>
      </c>
      <c r="J1209" s="51">
        <v>0.91805555555555551</v>
      </c>
      <c r="K1209" s="51"/>
      <c r="L1209" s="52">
        <f t="shared" si="296"/>
        <v>0.20347222222222217</v>
      </c>
      <c r="M1209" s="53">
        <v>0.16666666666666666</v>
      </c>
      <c r="N1209" s="54" t="str">
        <f t="shared" si="297"/>
        <v>-00:53:00</v>
      </c>
      <c r="O1209" s="55">
        <v>150</v>
      </c>
      <c r="P1209" s="147" t="s">
        <v>610</v>
      </c>
      <c r="Q1209" s="56"/>
      <c r="R1209" s="57"/>
      <c r="S1209" s="57"/>
      <c r="T1209" s="58">
        <f t="shared" si="298"/>
        <v>0</v>
      </c>
      <c r="U1209" s="50"/>
      <c r="V1209" s="74">
        <v>0</v>
      </c>
      <c r="W1209" s="50">
        <f t="shared" si="299"/>
        <v>0</v>
      </c>
      <c r="X1209" s="171">
        <v>46260.714583333334</v>
      </c>
      <c r="Y1209" s="171">
        <v>46260.918055555558</v>
      </c>
      <c r="Z1209" s="168">
        <f t="shared" si="285"/>
        <v>0.20347222222335404</v>
      </c>
      <c r="AA1209" s="169">
        <f t="shared" si="286"/>
        <v>0.16666666666666666</v>
      </c>
      <c r="AB1209" s="170" t="str">
        <f t="shared" si="287"/>
        <v>-00:53:00</v>
      </c>
      <c r="AC1209" s="170" t="b">
        <f t="shared" si="288"/>
        <v>1</v>
      </c>
    </row>
    <row r="1210" spans="1:29" s="128" customFormat="1" ht="9.75" hidden="1" customHeight="1" x14ac:dyDescent="0.3">
      <c r="A1210" s="99">
        <v>46260</v>
      </c>
      <c r="B1210" s="59">
        <v>8203709</v>
      </c>
      <c r="C1210" s="60" t="s">
        <v>89</v>
      </c>
      <c r="D1210" s="60" t="s">
        <v>294</v>
      </c>
      <c r="E1210" s="61">
        <v>0.75</v>
      </c>
      <c r="F1210" s="60" t="s">
        <v>35</v>
      </c>
      <c r="G1210" s="71" t="s">
        <v>13</v>
      </c>
      <c r="H1210" s="62">
        <v>0.73124999999999996</v>
      </c>
      <c r="I1210" s="113" t="str">
        <f t="shared" si="290"/>
        <v>26-08-2026T17:33:00</v>
      </c>
      <c r="J1210" s="62">
        <v>0.76041666666666663</v>
      </c>
      <c r="K1210" s="62"/>
      <c r="L1210" s="63">
        <f t="shared" si="296"/>
        <v>2.9166666666666674E-2</v>
      </c>
      <c r="M1210" s="64">
        <v>4.1666666666666664E-2</v>
      </c>
      <c r="N1210" s="65" t="str">
        <f t="shared" si="297"/>
        <v>00:18:00</v>
      </c>
      <c r="O1210" s="66"/>
      <c r="P1210" s="124"/>
      <c r="Q1210" s="67"/>
      <c r="R1210" s="68"/>
      <c r="S1210" s="68"/>
      <c r="T1210" s="69">
        <f t="shared" si="298"/>
        <v>0</v>
      </c>
      <c r="U1210" s="61"/>
      <c r="V1210" s="83">
        <v>0</v>
      </c>
      <c r="W1210" s="61">
        <f t="shared" si="299"/>
        <v>0</v>
      </c>
      <c r="X1210" s="171">
        <v>46260.731249999997</v>
      </c>
      <c r="Y1210" s="171">
        <v>46260.760416666664</v>
      </c>
      <c r="Z1210" s="168">
        <f t="shared" si="285"/>
        <v>2.9166666667151731E-2</v>
      </c>
      <c r="AA1210" s="169">
        <f t="shared" si="286"/>
        <v>4.1666666666666664E-2</v>
      </c>
      <c r="AB1210" s="170" t="str">
        <f t="shared" si="287"/>
        <v>00:18:00</v>
      </c>
      <c r="AC1210" s="170" t="b">
        <f t="shared" si="288"/>
        <v>1</v>
      </c>
    </row>
    <row r="1211" spans="1:29" s="128" customFormat="1" ht="9.75" hidden="1" customHeight="1" x14ac:dyDescent="0.3">
      <c r="A1211" s="99">
        <v>46260</v>
      </c>
      <c r="B1211" s="59">
        <v>8204053</v>
      </c>
      <c r="C1211" s="60" t="s">
        <v>32</v>
      </c>
      <c r="D1211" s="60" t="s">
        <v>476</v>
      </c>
      <c r="E1211" s="61">
        <v>0.83333333333333337</v>
      </c>
      <c r="F1211" s="60" t="s">
        <v>287</v>
      </c>
      <c r="G1211" s="71" t="s">
        <v>13</v>
      </c>
      <c r="H1211" s="62">
        <v>0.83750000000000002</v>
      </c>
      <c r="I1211" s="113" t="str">
        <f t="shared" si="290"/>
        <v>26-08-2026T20:06:00</v>
      </c>
      <c r="J1211" s="62">
        <v>0.97499999999999998</v>
      </c>
      <c r="K1211" s="62"/>
      <c r="L1211" s="63">
        <f t="shared" si="296"/>
        <v>0.13749999999999996</v>
      </c>
      <c r="M1211" s="64">
        <v>0.14583333333333334</v>
      </c>
      <c r="N1211" s="65" t="str">
        <f t="shared" si="297"/>
        <v>00:12:00</v>
      </c>
      <c r="O1211" s="66"/>
      <c r="P1211" s="124"/>
      <c r="Q1211" s="67"/>
      <c r="R1211" s="68"/>
      <c r="S1211" s="68"/>
      <c r="T1211" s="69">
        <f t="shared" si="298"/>
        <v>0</v>
      </c>
      <c r="U1211" s="61"/>
      <c r="V1211" s="83">
        <v>0</v>
      </c>
      <c r="W1211" s="61">
        <f t="shared" si="299"/>
        <v>0</v>
      </c>
      <c r="X1211" s="171">
        <v>46260.837500000001</v>
      </c>
      <c r="Y1211" s="171">
        <v>46260.974999999999</v>
      </c>
      <c r="Z1211" s="168">
        <f t="shared" si="285"/>
        <v>0.13749999999708962</v>
      </c>
      <c r="AA1211" s="169">
        <f t="shared" si="286"/>
        <v>0.14583333333333334</v>
      </c>
      <c r="AB1211" s="170" t="str">
        <f t="shared" si="287"/>
        <v>00:12:00</v>
      </c>
      <c r="AC1211" s="170" t="b">
        <f t="shared" si="288"/>
        <v>1</v>
      </c>
    </row>
    <row r="1212" spans="1:29" s="128" customFormat="1" ht="9.75" hidden="1" customHeight="1" x14ac:dyDescent="0.3">
      <c r="A1212" s="99">
        <v>46260</v>
      </c>
      <c r="B1212" s="59">
        <v>8204177</v>
      </c>
      <c r="C1212" s="60" t="s">
        <v>52</v>
      </c>
      <c r="D1212" s="60" t="s">
        <v>616</v>
      </c>
      <c r="E1212" s="61">
        <v>0.875</v>
      </c>
      <c r="F1212" s="60" t="s">
        <v>13</v>
      </c>
      <c r="G1212" s="71" t="s">
        <v>15</v>
      </c>
      <c r="H1212" s="62">
        <v>46260.874305555553</v>
      </c>
      <c r="I1212" s="113" t="str">
        <f t="shared" si="290"/>
        <v>26-08-2026T20:59:00</v>
      </c>
      <c r="J1212" s="62">
        <v>46261.081250000003</v>
      </c>
      <c r="K1212" s="62"/>
      <c r="L1212" s="63">
        <f t="shared" si="296"/>
        <v>0.20694444444961846</v>
      </c>
      <c r="M1212" s="64">
        <v>0.20833333333333334</v>
      </c>
      <c r="N1212" s="65" t="str">
        <f t="shared" si="297"/>
        <v>00:02:00</v>
      </c>
      <c r="O1212" s="66"/>
      <c r="P1212" s="124"/>
      <c r="Q1212" s="67"/>
      <c r="R1212" s="68"/>
      <c r="S1212" s="68"/>
      <c r="T1212" s="69">
        <f t="shared" si="298"/>
        <v>0</v>
      </c>
      <c r="U1212" s="61"/>
      <c r="V1212" s="83">
        <v>0</v>
      </c>
      <c r="W1212" s="61">
        <f t="shared" si="299"/>
        <v>0</v>
      </c>
      <c r="X1212" s="171">
        <v>46260.874305555553</v>
      </c>
      <c r="Y1212" s="171">
        <v>46261.081250000003</v>
      </c>
      <c r="Z1212" s="168">
        <f t="shared" si="285"/>
        <v>0.20694444444961846</v>
      </c>
      <c r="AA1212" s="169">
        <f t="shared" si="286"/>
        <v>0.20833333333333334</v>
      </c>
      <c r="AB1212" s="170" t="str">
        <f t="shared" si="287"/>
        <v>00:02:00</v>
      </c>
      <c r="AC1212" s="170" t="b">
        <f t="shared" si="288"/>
        <v>1</v>
      </c>
    </row>
    <row r="1213" spans="1:29" s="128" customFormat="1" ht="9.75" hidden="1" customHeight="1" x14ac:dyDescent="0.3">
      <c r="A1213" s="99">
        <v>46260</v>
      </c>
      <c r="B1213" s="59">
        <v>8204083</v>
      </c>
      <c r="C1213" s="60" t="s">
        <v>42</v>
      </c>
      <c r="D1213" s="60" t="s">
        <v>719</v>
      </c>
      <c r="E1213" s="61">
        <v>0.875</v>
      </c>
      <c r="F1213" s="60" t="s">
        <v>55</v>
      </c>
      <c r="G1213" s="71" t="s">
        <v>13</v>
      </c>
      <c r="H1213" s="62">
        <v>0.85</v>
      </c>
      <c r="I1213" s="113" t="str">
        <f t="shared" si="290"/>
        <v>26-08-2026T20:24:00</v>
      </c>
      <c r="J1213" s="62">
        <v>0.89513888888888893</v>
      </c>
      <c r="K1213" s="62"/>
      <c r="L1213" s="63">
        <f t="shared" si="296"/>
        <v>4.5138888888888951E-2</v>
      </c>
      <c r="M1213" s="64">
        <v>6.25E-2</v>
      </c>
      <c r="N1213" s="65" t="str">
        <f t="shared" si="297"/>
        <v>00:25:00</v>
      </c>
      <c r="O1213" s="66"/>
      <c r="P1213" s="124"/>
      <c r="Q1213" s="67"/>
      <c r="R1213" s="68"/>
      <c r="S1213" s="68"/>
      <c r="T1213" s="69">
        <f t="shared" si="298"/>
        <v>0</v>
      </c>
      <c r="U1213" s="61"/>
      <c r="V1213" s="83">
        <v>0</v>
      </c>
      <c r="W1213" s="61">
        <f t="shared" si="299"/>
        <v>0</v>
      </c>
      <c r="X1213" s="171">
        <v>46260.85</v>
      </c>
      <c r="Y1213" s="171">
        <v>46260.895138888889</v>
      </c>
      <c r="Z1213" s="168">
        <f t="shared" si="285"/>
        <v>4.5138888890505768E-2</v>
      </c>
      <c r="AA1213" s="169">
        <f t="shared" si="286"/>
        <v>6.25E-2</v>
      </c>
      <c r="AB1213" s="170" t="str">
        <f t="shared" si="287"/>
        <v>00:25:00</v>
      </c>
      <c r="AC1213" s="170" t="b">
        <f t="shared" si="288"/>
        <v>1</v>
      </c>
    </row>
    <row r="1214" spans="1:29" s="128" customFormat="1" ht="9.75" hidden="1" customHeight="1" x14ac:dyDescent="0.3">
      <c r="A1214" s="99">
        <v>46260</v>
      </c>
      <c r="B1214" s="59">
        <v>8204138</v>
      </c>
      <c r="C1214" s="60" t="s">
        <v>54</v>
      </c>
      <c r="D1214" s="60" t="s">
        <v>288</v>
      </c>
      <c r="E1214" s="61">
        <v>0.875</v>
      </c>
      <c r="F1214" s="60" t="s">
        <v>24</v>
      </c>
      <c r="G1214" s="71" t="s">
        <v>13</v>
      </c>
      <c r="H1214" s="62">
        <v>0.86458333333333337</v>
      </c>
      <c r="I1214" s="113" t="str">
        <f t="shared" si="290"/>
        <v>26-08-2026T20:45:00</v>
      </c>
      <c r="J1214" s="62">
        <v>0.9375</v>
      </c>
      <c r="K1214" s="62"/>
      <c r="L1214" s="63">
        <f t="shared" si="296"/>
        <v>7.291666666666663E-2</v>
      </c>
      <c r="M1214" s="64">
        <v>8.3333333333333329E-2</v>
      </c>
      <c r="N1214" s="65" t="str">
        <f t="shared" si="297"/>
        <v>00:15:00</v>
      </c>
      <c r="O1214" s="66"/>
      <c r="P1214" s="124"/>
      <c r="Q1214" s="67"/>
      <c r="R1214" s="68"/>
      <c r="S1214" s="68"/>
      <c r="T1214" s="69">
        <f t="shared" si="298"/>
        <v>0</v>
      </c>
      <c r="U1214" s="61"/>
      <c r="V1214" s="83">
        <v>0</v>
      </c>
      <c r="W1214" s="61">
        <f t="shared" si="299"/>
        <v>0</v>
      </c>
      <c r="X1214" s="171">
        <v>46260.864583333336</v>
      </c>
      <c r="Y1214" s="171">
        <v>46260.9375</v>
      </c>
      <c r="Z1214" s="168">
        <f t="shared" ref="Z1214:Z1251" si="300">Y1214-X1214</f>
        <v>7.2916666664241347E-2</v>
      </c>
      <c r="AA1214" s="169">
        <f t="shared" ref="AA1214:AA1251" si="301">M1214</f>
        <v>8.3333333333333329E-2</v>
      </c>
      <c r="AB1214" s="170" t="str">
        <f t="shared" ref="AB1214:AB1251" si="302">IF(AA1214-Z1214&gt;0,TEXT(AA1214-Z1214,"HH:MM:SS"),TEXT(ABS(AA1214-Z1214),"-HH:MM:SS"))</f>
        <v>00:15:00</v>
      </c>
      <c r="AC1214" s="170" t="b">
        <f t="shared" ref="AC1214:AC1251" si="303">AB1214=N1214</f>
        <v>1</v>
      </c>
    </row>
    <row r="1215" spans="1:29" s="128" customFormat="1" ht="9.75" hidden="1" customHeight="1" x14ac:dyDescent="0.3">
      <c r="A1215" s="99">
        <v>46260</v>
      </c>
      <c r="B1215" s="59">
        <v>8204472</v>
      </c>
      <c r="C1215" s="60" t="s">
        <v>41</v>
      </c>
      <c r="D1215" s="60" t="s">
        <v>299</v>
      </c>
      <c r="E1215" s="61">
        <v>0.99930555555555556</v>
      </c>
      <c r="F1215" s="60" t="s">
        <v>24</v>
      </c>
      <c r="G1215" s="71" t="s">
        <v>13</v>
      </c>
      <c r="H1215" s="62">
        <v>46260.995138888888</v>
      </c>
      <c r="I1215" s="113" t="str">
        <f t="shared" si="290"/>
        <v>26-08-2026T23:53:00</v>
      </c>
      <c r="J1215" s="62">
        <v>46261.073611111111</v>
      </c>
      <c r="K1215" s="62"/>
      <c r="L1215" s="63">
        <f t="shared" si="296"/>
        <v>7.8472222223354038E-2</v>
      </c>
      <c r="M1215" s="64">
        <v>8.3333333333333329E-2</v>
      </c>
      <c r="N1215" s="65" t="str">
        <f t="shared" si="297"/>
        <v>00:07:00</v>
      </c>
      <c r="O1215" s="66"/>
      <c r="P1215" s="124"/>
      <c r="Q1215" s="67"/>
      <c r="R1215" s="68"/>
      <c r="S1215" s="68"/>
      <c r="T1215" s="69">
        <f t="shared" si="298"/>
        <v>0</v>
      </c>
      <c r="U1215" s="61"/>
      <c r="V1215" s="83">
        <v>0</v>
      </c>
      <c r="W1215" s="61">
        <f t="shared" si="299"/>
        <v>0</v>
      </c>
      <c r="X1215" s="171">
        <v>46260.995138888888</v>
      </c>
      <c r="Y1215" s="171">
        <v>46261.073611111111</v>
      </c>
      <c r="Z1215" s="168">
        <f t="shared" si="300"/>
        <v>7.8472222223354038E-2</v>
      </c>
      <c r="AA1215" s="169">
        <f t="shared" si="301"/>
        <v>8.3333333333333329E-2</v>
      </c>
      <c r="AB1215" s="170" t="str">
        <f t="shared" si="302"/>
        <v>00:07:00</v>
      </c>
      <c r="AC1215" s="170" t="b">
        <f t="shared" si="303"/>
        <v>1</v>
      </c>
    </row>
    <row r="1216" spans="1:29" s="128" customFormat="1" ht="9.75" hidden="1" customHeight="1" x14ac:dyDescent="0.3">
      <c r="A1216" s="99">
        <v>46260</v>
      </c>
      <c r="B1216" s="59">
        <v>8204379</v>
      </c>
      <c r="C1216" s="60" t="s">
        <v>100</v>
      </c>
      <c r="D1216" s="60" t="s">
        <v>391</v>
      </c>
      <c r="E1216" s="61">
        <v>0.95833333333333337</v>
      </c>
      <c r="F1216" s="60" t="s">
        <v>173</v>
      </c>
      <c r="G1216" s="71" t="s">
        <v>13</v>
      </c>
      <c r="H1216" s="62">
        <v>46260.951388888891</v>
      </c>
      <c r="I1216" s="113" t="str">
        <f t="shared" si="290"/>
        <v>26-08-2026T22:50:00</v>
      </c>
      <c r="J1216" s="62">
        <v>46262.75</v>
      </c>
      <c r="K1216" s="62"/>
      <c r="L1216" s="63">
        <f t="shared" si="296"/>
        <v>1.7986111111094942</v>
      </c>
      <c r="M1216" s="64">
        <v>1.9166666666666667</v>
      </c>
      <c r="N1216" s="65" t="str">
        <f t="shared" si="297"/>
        <v>02:50:00</v>
      </c>
      <c r="O1216" s="66"/>
      <c r="P1216" s="124"/>
      <c r="Q1216" s="67" t="s">
        <v>96</v>
      </c>
      <c r="R1216" s="68">
        <v>46261.087500000001</v>
      </c>
      <c r="S1216" s="68">
        <v>46261.12777777778</v>
      </c>
      <c r="T1216" s="69">
        <f t="shared" si="298"/>
        <v>4.0277777778101154E-2</v>
      </c>
      <c r="U1216" s="61"/>
      <c r="V1216" s="83">
        <v>8.3333333333333329E-2</v>
      </c>
      <c r="W1216" s="61">
        <f t="shared" si="299"/>
        <v>-4.3055555555232175E-2</v>
      </c>
      <c r="X1216" s="171">
        <v>46260.951388888891</v>
      </c>
      <c r="Y1216" s="171">
        <v>46262.75</v>
      </c>
      <c r="Z1216" s="168">
        <f t="shared" si="300"/>
        <v>1.7986111111094942</v>
      </c>
      <c r="AA1216" s="169">
        <f t="shared" si="301"/>
        <v>1.9166666666666667</v>
      </c>
      <c r="AB1216" s="170" t="str">
        <f t="shared" si="302"/>
        <v>02:50:00</v>
      </c>
      <c r="AC1216" s="170" t="b">
        <f t="shared" si="303"/>
        <v>1</v>
      </c>
    </row>
    <row r="1217" spans="1:29" s="127" customFormat="1" ht="9.75" hidden="1" customHeight="1" x14ac:dyDescent="0.3">
      <c r="A1217" s="98">
        <v>46260</v>
      </c>
      <c r="B1217" s="48">
        <v>8204475</v>
      </c>
      <c r="C1217" s="49" t="s">
        <v>56</v>
      </c>
      <c r="D1217" s="49" t="s">
        <v>735</v>
      </c>
      <c r="E1217" s="50">
        <v>0.99930555555555556</v>
      </c>
      <c r="F1217" s="49" t="s">
        <v>15</v>
      </c>
      <c r="G1217" s="70" t="s">
        <v>13</v>
      </c>
      <c r="H1217" s="51">
        <v>46260.995833333334</v>
      </c>
      <c r="I1217" s="113" t="str">
        <f t="shared" si="290"/>
        <v>26-08-2026T23:54:00</v>
      </c>
      <c r="J1217" s="51">
        <v>46261.225694444445</v>
      </c>
      <c r="K1217" s="51"/>
      <c r="L1217" s="52">
        <f t="shared" si="296"/>
        <v>0.22986111111094942</v>
      </c>
      <c r="M1217" s="53">
        <v>0.20833333333333334</v>
      </c>
      <c r="N1217" s="54" t="str">
        <f t="shared" si="297"/>
        <v>-00:31:00</v>
      </c>
      <c r="O1217" s="55">
        <v>250</v>
      </c>
      <c r="P1217" s="147" t="s">
        <v>610</v>
      </c>
      <c r="Q1217" s="56"/>
      <c r="R1217" s="57"/>
      <c r="S1217" s="57"/>
      <c r="T1217" s="58">
        <f t="shared" si="298"/>
        <v>0</v>
      </c>
      <c r="U1217" s="50"/>
      <c r="V1217" s="74">
        <v>0</v>
      </c>
      <c r="W1217" s="50">
        <f t="shared" si="299"/>
        <v>0</v>
      </c>
      <c r="X1217" s="171">
        <v>46260.995833333334</v>
      </c>
      <c r="Y1217" s="171">
        <v>46261.225694444445</v>
      </c>
      <c r="Z1217" s="168">
        <f t="shared" si="300"/>
        <v>0.22986111111094942</v>
      </c>
      <c r="AA1217" s="169">
        <f t="shared" si="301"/>
        <v>0.20833333333333334</v>
      </c>
      <c r="AB1217" s="170" t="str">
        <f t="shared" si="302"/>
        <v>-00:31:00</v>
      </c>
      <c r="AC1217" s="170" t="b">
        <f t="shared" si="303"/>
        <v>1</v>
      </c>
    </row>
    <row r="1218" spans="1:29" s="127" customFormat="1" ht="9.75" hidden="1" customHeight="1" x14ac:dyDescent="0.3">
      <c r="A1218" s="98">
        <v>46260</v>
      </c>
      <c r="B1218" s="48">
        <v>8203612</v>
      </c>
      <c r="C1218" s="49" t="s">
        <v>307</v>
      </c>
      <c r="D1218" s="49" t="s">
        <v>464</v>
      </c>
      <c r="E1218" s="50" t="s">
        <v>184</v>
      </c>
      <c r="F1218" s="49" t="s">
        <v>712</v>
      </c>
      <c r="G1218" s="70" t="s">
        <v>13</v>
      </c>
      <c r="H1218" s="51">
        <v>46260.698611111111</v>
      </c>
      <c r="I1218" s="113" t="str">
        <f t="shared" si="290"/>
        <v>26-08-2026T16:46:00</v>
      </c>
      <c r="J1218" s="51">
        <v>46261.523611111108</v>
      </c>
      <c r="K1218" s="51"/>
      <c r="L1218" s="52">
        <f t="shared" si="296"/>
        <v>0.82499999999708962</v>
      </c>
      <c r="M1218" s="53">
        <v>0.75</v>
      </c>
      <c r="N1218" s="54" t="str">
        <f t="shared" si="297"/>
        <v>-01:48:00</v>
      </c>
      <c r="O1218" s="55"/>
      <c r="P1218" s="147" t="s">
        <v>184</v>
      </c>
      <c r="Q1218" s="56"/>
      <c r="R1218" s="57"/>
      <c r="S1218" s="57"/>
      <c r="T1218" s="58">
        <f t="shared" si="298"/>
        <v>0</v>
      </c>
      <c r="U1218" s="50"/>
      <c r="V1218" s="74" t="s">
        <v>393</v>
      </c>
      <c r="W1218" s="50" t="e">
        <f t="shared" si="299"/>
        <v>#VALUE!</v>
      </c>
      <c r="X1218" s="171">
        <v>46260.698611111111</v>
      </c>
      <c r="Y1218" s="171">
        <v>46261.523611111108</v>
      </c>
      <c r="Z1218" s="168">
        <f t="shared" si="300"/>
        <v>0.82499999999708962</v>
      </c>
      <c r="AA1218" s="169">
        <f t="shared" si="301"/>
        <v>0.75</v>
      </c>
      <c r="AB1218" s="170" t="str">
        <f t="shared" si="302"/>
        <v>-01:48:00</v>
      </c>
      <c r="AC1218" s="170" t="b">
        <f t="shared" si="303"/>
        <v>1</v>
      </c>
    </row>
    <row r="1219" spans="1:29" s="128" customFormat="1" ht="9.75" hidden="1" customHeight="1" x14ac:dyDescent="0.3">
      <c r="A1219" s="99">
        <v>46260</v>
      </c>
      <c r="B1219" s="59">
        <v>8203331</v>
      </c>
      <c r="C1219" s="60" t="s">
        <v>105</v>
      </c>
      <c r="D1219" s="60" t="s">
        <v>386</v>
      </c>
      <c r="E1219" s="61" t="s">
        <v>184</v>
      </c>
      <c r="F1219" s="60" t="s">
        <v>21</v>
      </c>
      <c r="G1219" s="71" t="s">
        <v>13</v>
      </c>
      <c r="H1219" s="62">
        <v>0.6118055555555556</v>
      </c>
      <c r="I1219" s="113" t="str">
        <f t="shared" si="290"/>
        <v>26-08-2026T14:41:00</v>
      </c>
      <c r="J1219" s="62">
        <v>0.84375</v>
      </c>
      <c r="K1219" s="62"/>
      <c r="L1219" s="63">
        <f t="shared" si="296"/>
        <v>0.2319444444444444</v>
      </c>
      <c r="M1219" s="64">
        <v>0.33333333333333331</v>
      </c>
      <c r="N1219" s="65" t="str">
        <f t="shared" si="297"/>
        <v>02:26:00</v>
      </c>
      <c r="O1219" s="66"/>
      <c r="P1219" s="124" t="s">
        <v>184</v>
      </c>
      <c r="Q1219" s="67"/>
      <c r="R1219" s="68"/>
      <c r="S1219" s="68"/>
      <c r="T1219" s="69">
        <f t="shared" si="298"/>
        <v>0</v>
      </c>
      <c r="U1219" s="61"/>
      <c r="V1219" s="83">
        <v>0</v>
      </c>
      <c r="W1219" s="61">
        <f t="shared" si="299"/>
        <v>0</v>
      </c>
      <c r="X1219" s="171">
        <v>46260.611805555556</v>
      </c>
      <c r="Y1219" s="171">
        <v>46260.84375</v>
      </c>
      <c r="Z1219" s="168">
        <f t="shared" si="300"/>
        <v>0.23194444444379769</v>
      </c>
      <c r="AA1219" s="169">
        <f t="shared" si="301"/>
        <v>0.33333333333333331</v>
      </c>
      <c r="AB1219" s="170" t="str">
        <f t="shared" si="302"/>
        <v>02:26:00</v>
      </c>
      <c r="AC1219" s="170" t="b">
        <f t="shared" si="303"/>
        <v>1</v>
      </c>
    </row>
    <row r="1220" spans="1:29" s="144" customFormat="1" ht="9.75" hidden="1" customHeight="1" x14ac:dyDescent="0.3">
      <c r="A1220" s="129">
        <v>46261</v>
      </c>
      <c r="B1220" s="130">
        <v>8204574</v>
      </c>
      <c r="C1220" s="131" t="s">
        <v>82</v>
      </c>
      <c r="D1220" s="131" t="s">
        <v>333</v>
      </c>
      <c r="E1220" s="132">
        <v>6.25E-2</v>
      </c>
      <c r="F1220" s="131" t="s">
        <v>13</v>
      </c>
      <c r="G1220" s="133" t="s">
        <v>26</v>
      </c>
      <c r="H1220" s="134">
        <v>6.8750000000000006E-2</v>
      </c>
      <c r="I1220" s="113" t="str">
        <f t="shared" ref="I1220:I1283" si="304">TEXT(A1220,"dd-mm-yyyy")&amp;"T"&amp;TEXT(H1220,"hh:mm:ss")</f>
        <v>27-08-2026T01:39:00</v>
      </c>
      <c r="J1220" s="134">
        <v>0.53333333333333333</v>
      </c>
      <c r="K1220" s="134"/>
      <c r="L1220" s="135">
        <f t="shared" si="296"/>
        <v>0.46458333333333335</v>
      </c>
      <c r="M1220" s="136">
        <v>0.41666666666666669</v>
      </c>
      <c r="N1220" s="137" t="str">
        <f t="shared" si="297"/>
        <v>-01:09:00</v>
      </c>
      <c r="O1220" s="138"/>
      <c r="P1220" s="145" t="s">
        <v>567</v>
      </c>
      <c r="Q1220" s="140" t="s">
        <v>179</v>
      </c>
      <c r="R1220" s="141">
        <v>0.25</v>
      </c>
      <c r="S1220" s="141">
        <v>0.375</v>
      </c>
      <c r="T1220" s="142">
        <f t="shared" si="298"/>
        <v>0.125</v>
      </c>
      <c r="U1220" s="132"/>
      <c r="V1220" s="143">
        <v>4.1666666666666664E-2</v>
      </c>
      <c r="W1220" s="132">
        <f t="shared" si="299"/>
        <v>8.3333333333333343E-2</v>
      </c>
      <c r="X1220" s="171">
        <v>46261.068749999999</v>
      </c>
      <c r="Y1220" s="171">
        <v>46261.533333333333</v>
      </c>
      <c r="Z1220" s="168">
        <f t="shared" si="300"/>
        <v>0.46458333333430346</v>
      </c>
      <c r="AA1220" s="169">
        <f t="shared" si="301"/>
        <v>0.41666666666666669</v>
      </c>
      <c r="AB1220" s="170" t="str">
        <f t="shared" si="302"/>
        <v>-01:09:00</v>
      </c>
      <c r="AC1220" s="170" t="b">
        <f t="shared" si="303"/>
        <v>1</v>
      </c>
    </row>
    <row r="1221" spans="1:29" s="127" customFormat="1" ht="9.75" hidden="1" customHeight="1" x14ac:dyDescent="0.3">
      <c r="A1221" s="98">
        <v>46261</v>
      </c>
      <c r="B1221" s="48">
        <v>8204625</v>
      </c>
      <c r="C1221" s="49" t="s">
        <v>18</v>
      </c>
      <c r="D1221" s="49" t="s">
        <v>389</v>
      </c>
      <c r="E1221" s="50">
        <v>8.3333333333333329E-2</v>
      </c>
      <c r="F1221" s="49" t="s">
        <v>13</v>
      </c>
      <c r="G1221" s="70" t="s">
        <v>19</v>
      </c>
      <c r="H1221" s="51">
        <v>8.3333333333333329E-2</v>
      </c>
      <c r="I1221" s="113" t="str">
        <f t="shared" si="304"/>
        <v>27-08-2026T02:00:00</v>
      </c>
      <c r="J1221" s="51">
        <v>0.58125000000000004</v>
      </c>
      <c r="K1221" s="51"/>
      <c r="L1221" s="52">
        <f t="shared" si="296"/>
        <v>0.49791666666666673</v>
      </c>
      <c r="M1221" s="53">
        <v>0.41666666666666669</v>
      </c>
      <c r="N1221" s="54" t="str">
        <f t="shared" si="297"/>
        <v>-01:57:00</v>
      </c>
      <c r="O1221" s="55">
        <v>400</v>
      </c>
      <c r="P1221" s="147" t="s">
        <v>723</v>
      </c>
      <c r="Q1221" s="56" t="s">
        <v>229</v>
      </c>
      <c r="R1221" s="57">
        <v>0.375</v>
      </c>
      <c r="S1221" s="57">
        <v>0.4375</v>
      </c>
      <c r="T1221" s="58">
        <f t="shared" si="298"/>
        <v>6.25E-2</v>
      </c>
      <c r="U1221" s="50"/>
      <c r="V1221" s="74">
        <v>6.25E-2</v>
      </c>
      <c r="W1221" s="50">
        <f t="shared" si="299"/>
        <v>0</v>
      </c>
      <c r="X1221" s="171">
        <v>46261.083333333336</v>
      </c>
      <c r="Y1221" s="171">
        <v>46261.581250000003</v>
      </c>
      <c r="Z1221" s="168">
        <f t="shared" si="300"/>
        <v>0.49791666666715173</v>
      </c>
      <c r="AA1221" s="169">
        <f t="shared" si="301"/>
        <v>0.41666666666666669</v>
      </c>
      <c r="AB1221" s="170" t="str">
        <f t="shared" si="302"/>
        <v>-01:57:00</v>
      </c>
      <c r="AC1221" s="170" t="b">
        <f t="shared" si="303"/>
        <v>1</v>
      </c>
    </row>
    <row r="1222" spans="1:29" s="128" customFormat="1" ht="9.75" hidden="1" customHeight="1" x14ac:dyDescent="0.3">
      <c r="A1222" s="99">
        <v>46261</v>
      </c>
      <c r="B1222" s="59">
        <v>8204599</v>
      </c>
      <c r="C1222" s="60" t="s">
        <v>16</v>
      </c>
      <c r="D1222" s="60" t="s">
        <v>285</v>
      </c>
      <c r="E1222" s="61">
        <v>8.3333333333333329E-2</v>
      </c>
      <c r="F1222" s="60" t="s">
        <v>15</v>
      </c>
      <c r="G1222" s="71" t="s">
        <v>17</v>
      </c>
      <c r="H1222" s="62">
        <v>8.0555555555555561E-2</v>
      </c>
      <c r="I1222" s="113" t="str">
        <f t="shared" si="304"/>
        <v>27-08-2026T01:56:00</v>
      </c>
      <c r="J1222" s="62">
        <v>0.48680555555555555</v>
      </c>
      <c r="K1222" s="62"/>
      <c r="L1222" s="63">
        <f t="shared" si="296"/>
        <v>0.40625</v>
      </c>
      <c r="M1222" s="64">
        <v>0.41666666666666669</v>
      </c>
      <c r="N1222" s="65" t="str">
        <f t="shared" si="297"/>
        <v>00:15:00</v>
      </c>
      <c r="O1222" s="66"/>
      <c r="P1222" s="124"/>
      <c r="Q1222" s="67"/>
      <c r="R1222" s="68"/>
      <c r="S1222" s="68"/>
      <c r="T1222" s="69">
        <f t="shared" si="298"/>
        <v>0</v>
      </c>
      <c r="U1222" s="61" t="s">
        <v>234</v>
      </c>
      <c r="V1222" s="83">
        <v>0</v>
      </c>
      <c r="W1222" s="61">
        <f t="shared" si="299"/>
        <v>0</v>
      </c>
      <c r="X1222" s="171">
        <v>8.0555555555555561E-2</v>
      </c>
      <c r="Y1222" s="171">
        <v>0.48680555555555555</v>
      </c>
      <c r="Z1222" s="168">
        <f t="shared" si="300"/>
        <v>0.40625</v>
      </c>
      <c r="AA1222" s="169">
        <f t="shared" si="301"/>
        <v>0.41666666666666669</v>
      </c>
      <c r="AB1222" s="170" t="str">
        <f t="shared" si="302"/>
        <v>00:15:00</v>
      </c>
      <c r="AC1222" s="170" t="b">
        <f t="shared" si="303"/>
        <v>1</v>
      </c>
    </row>
    <row r="1223" spans="1:29" s="128" customFormat="1" ht="9.75" hidden="1" customHeight="1" x14ac:dyDescent="0.3">
      <c r="A1223" s="99">
        <v>46261</v>
      </c>
      <c r="B1223" s="59">
        <v>8204749</v>
      </c>
      <c r="C1223" s="60" t="s">
        <v>102</v>
      </c>
      <c r="D1223" s="60" t="s">
        <v>384</v>
      </c>
      <c r="E1223" s="61">
        <v>0.125</v>
      </c>
      <c r="F1223" s="60" t="s">
        <v>23</v>
      </c>
      <c r="G1223" s="71" t="s">
        <v>13</v>
      </c>
      <c r="H1223" s="62">
        <v>46261.137499999997</v>
      </c>
      <c r="I1223" s="113" t="str">
        <f t="shared" si="304"/>
        <v>27-08-2026T03:18:00</v>
      </c>
      <c r="J1223" s="62">
        <v>46262.381944444445</v>
      </c>
      <c r="K1223" s="62"/>
      <c r="L1223" s="63">
        <f t="shared" si="296"/>
        <v>1.2444444444481633</v>
      </c>
      <c r="M1223" s="64">
        <v>8.3333333333333329E-2</v>
      </c>
      <c r="N1223" s="65" t="str">
        <f t="shared" si="297"/>
        <v>-03:52:00</v>
      </c>
      <c r="O1223" s="66"/>
      <c r="P1223" s="124" t="s">
        <v>758</v>
      </c>
      <c r="Q1223" s="67" t="s">
        <v>13</v>
      </c>
      <c r="R1223" s="68">
        <v>46262.286805555559</v>
      </c>
      <c r="S1223" s="68">
        <v>46262.368055555555</v>
      </c>
      <c r="T1223" s="69">
        <f t="shared" si="298"/>
        <v>8.1249999995634425E-2</v>
      </c>
      <c r="U1223" s="61"/>
      <c r="V1223" s="83">
        <v>8.3333333333333329E-2</v>
      </c>
      <c r="W1223" s="61">
        <f t="shared" si="299"/>
        <v>-2.0833333376989033E-3</v>
      </c>
      <c r="X1223" s="172">
        <v>46261.137499999997</v>
      </c>
      <c r="Y1223" s="172">
        <v>46262.381944444445</v>
      </c>
      <c r="Z1223" s="173">
        <f t="shared" si="300"/>
        <v>1.2444444444481633</v>
      </c>
      <c r="AA1223" s="174">
        <f t="shared" si="301"/>
        <v>8.3333333333333329E-2</v>
      </c>
      <c r="AB1223" s="175" t="str">
        <f t="shared" si="302"/>
        <v>-03:52:00</v>
      </c>
      <c r="AC1223" s="175" t="b">
        <f t="shared" si="303"/>
        <v>1</v>
      </c>
    </row>
    <row r="1224" spans="1:29" s="127" customFormat="1" ht="9.75" hidden="1" customHeight="1" x14ac:dyDescent="0.3">
      <c r="A1224" s="98">
        <v>46261</v>
      </c>
      <c r="B1224" s="48">
        <v>8204727</v>
      </c>
      <c r="C1224" s="49" t="s">
        <v>84</v>
      </c>
      <c r="D1224" s="49" t="s">
        <v>301</v>
      </c>
      <c r="E1224" s="50">
        <v>0.125</v>
      </c>
      <c r="F1224" s="49" t="s">
        <v>13</v>
      </c>
      <c r="G1224" s="70" t="s">
        <v>284</v>
      </c>
      <c r="H1224" s="51">
        <v>0.12638888888888888</v>
      </c>
      <c r="I1224" s="113" t="str">
        <f t="shared" si="304"/>
        <v>27-08-2026T03:02:00</v>
      </c>
      <c r="J1224" s="51">
        <v>0.4826388888888889</v>
      </c>
      <c r="K1224" s="51"/>
      <c r="L1224" s="52">
        <f t="shared" si="296"/>
        <v>0.35625000000000001</v>
      </c>
      <c r="M1224" s="53">
        <v>0.35416666666666669</v>
      </c>
      <c r="N1224" s="54" t="str">
        <f t="shared" si="297"/>
        <v>-00:03:00</v>
      </c>
      <c r="O1224" s="55">
        <v>150</v>
      </c>
      <c r="P1224" s="147" t="s">
        <v>610</v>
      </c>
      <c r="Q1224" s="56" t="s">
        <v>174</v>
      </c>
      <c r="R1224" s="57">
        <v>0.36805555555555558</v>
      </c>
      <c r="S1224" s="57">
        <v>0.42222222222222222</v>
      </c>
      <c r="T1224" s="58">
        <f t="shared" si="298"/>
        <v>5.4166666666666641E-2</v>
      </c>
      <c r="U1224" s="50" t="s">
        <v>234</v>
      </c>
      <c r="V1224" s="74">
        <v>6.25E-2</v>
      </c>
      <c r="W1224" s="50">
        <f t="shared" si="299"/>
        <v>-8.3333333333333592E-3</v>
      </c>
      <c r="X1224" s="171">
        <v>46261.126388888886</v>
      </c>
      <c r="Y1224" s="171">
        <v>46261.482638888891</v>
      </c>
      <c r="Z1224" s="168">
        <f t="shared" si="300"/>
        <v>0.35625000000436557</v>
      </c>
      <c r="AA1224" s="169">
        <f t="shared" si="301"/>
        <v>0.35416666666666669</v>
      </c>
      <c r="AB1224" s="170" t="str">
        <f t="shared" si="302"/>
        <v>-00:03:00</v>
      </c>
      <c r="AC1224" s="170" t="b">
        <f t="shared" si="303"/>
        <v>1</v>
      </c>
    </row>
    <row r="1225" spans="1:29" s="128" customFormat="1" ht="9.75" hidden="1" customHeight="1" x14ac:dyDescent="0.3">
      <c r="A1225" s="99">
        <v>46261</v>
      </c>
      <c r="B1225" s="59">
        <v>8205254</v>
      </c>
      <c r="C1225" s="60" t="s">
        <v>57</v>
      </c>
      <c r="D1225" s="60" t="s">
        <v>326</v>
      </c>
      <c r="E1225" s="61">
        <v>0.125</v>
      </c>
      <c r="F1225" s="60" t="s">
        <v>24</v>
      </c>
      <c r="G1225" s="71" t="s">
        <v>13</v>
      </c>
      <c r="H1225" s="62">
        <v>0.25833333333333336</v>
      </c>
      <c r="I1225" s="113" t="str">
        <f t="shared" si="304"/>
        <v>27-08-2026T06:12:00</v>
      </c>
      <c r="J1225" s="62">
        <v>0.33750000000000002</v>
      </c>
      <c r="K1225" s="62"/>
      <c r="L1225" s="63">
        <f t="shared" si="296"/>
        <v>7.9166666666666663E-2</v>
      </c>
      <c r="M1225" s="64">
        <v>8.3333333333333329E-2</v>
      </c>
      <c r="N1225" s="65" t="str">
        <f t="shared" si="297"/>
        <v>00:06:00</v>
      </c>
      <c r="O1225" s="66"/>
      <c r="P1225" s="124"/>
      <c r="Q1225" s="67"/>
      <c r="R1225" s="68"/>
      <c r="S1225" s="68"/>
      <c r="T1225" s="69">
        <f t="shared" si="298"/>
        <v>0</v>
      </c>
      <c r="U1225" s="61"/>
      <c r="V1225" s="83">
        <v>0</v>
      </c>
      <c r="W1225" s="61">
        <f t="shared" si="299"/>
        <v>0</v>
      </c>
      <c r="X1225" s="171">
        <v>46261.258333333331</v>
      </c>
      <c r="Y1225" s="171">
        <v>46261.337500000001</v>
      </c>
      <c r="Z1225" s="168">
        <f t="shared" si="300"/>
        <v>7.9166666670062114E-2</v>
      </c>
      <c r="AA1225" s="169">
        <f t="shared" si="301"/>
        <v>8.3333333333333329E-2</v>
      </c>
      <c r="AB1225" s="170" t="str">
        <f t="shared" si="302"/>
        <v>00:06:00</v>
      </c>
      <c r="AC1225" s="170" t="b">
        <f t="shared" si="303"/>
        <v>1</v>
      </c>
    </row>
    <row r="1226" spans="1:29" s="128" customFormat="1" ht="9.75" hidden="1" customHeight="1" x14ac:dyDescent="0.3">
      <c r="A1226" s="99">
        <v>46261</v>
      </c>
      <c r="B1226" s="59">
        <v>8205656</v>
      </c>
      <c r="C1226" s="60" t="s">
        <v>54</v>
      </c>
      <c r="D1226" s="60" t="s">
        <v>288</v>
      </c>
      <c r="E1226" s="61">
        <v>0.16666666666666666</v>
      </c>
      <c r="F1226" s="60" t="s">
        <v>13</v>
      </c>
      <c r="G1226" s="71" t="s">
        <v>24</v>
      </c>
      <c r="H1226" s="62">
        <v>0.43819444444444444</v>
      </c>
      <c r="I1226" s="113" t="str">
        <f t="shared" si="304"/>
        <v>27-08-2026T10:31:00</v>
      </c>
      <c r="J1226" s="62">
        <v>0.49722222222222223</v>
      </c>
      <c r="K1226" s="62"/>
      <c r="L1226" s="63">
        <f t="shared" si="296"/>
        <v>5.902777777777779E-2</v>
      </c>
      <c r="M1226" s="64">
        <v>8.3333333333333329E-2</v>
      </c>
      <c r="N1226" s="65" t="str">
        <f t="shared" si="297"/>
        <v>00:35:00</v>
      </c>
      <c r="O1226" s="66"/>
      <c r="P1226" s="124"/>
      <c r="Q1226" s="67"/>
      <c r="R1226" s="68"/>
      <c r="S1226" s="68"/>
      <c r="T1226" s="69">
        <f t="shared" si="298"/>
        <v>0</v>
      </c>
      <c r="U1226" s="61" t="s">
        <v>234</v>
      </c>
      <c r="V1226" s="83">
        <v>0</v>
      </c>
      <c r="W1226" s="61">
        <f t="shared" si="299"/>
        <v>0</v>
      </c>
      <c r="X1226" s="171">
        <v>46261.438194444447</v>
      </c>
      <c r="Y1226" s="171">
        <v>46261.49722222222</v>
      </c>
      <c r="Z1226" s="168">
        <f t="shared" si="300"/>
        <v>5.9027777773735579E-2</v>
      </c>
      <c r="AA1226" s="169">
        <f t="shared" si="301"/>
        <v>8.3333333333333329E-2</v>
      </c>
      <c r="AB1226" s="170" t="str">
        <f t="shared" si="302"/>
        <v>00:35:00</v>
      </c>
      <c r="AC1226" s="170" t="b">
        <f t="shared" si="303"/>
        <v>1</v>
      </c>
    </row>
    <row r="1227" spans="1:29" s="128" customFormat="1" ht="9.75" hidden="1" customHeight="1" x14ac:dyDescent="0.3">
      <c r="A1227" s="99">
        <v>46261</v>
      </c>
      <c r="B1227" s="59">
        <v>8204864</v>
      </c>
      <c r="C1227" s="60" t="s">
        <v>37</v>
      </c>
      <c r="D1227" s="60" t="s">
        <v>466</v>
      </c>
      <c r="E1227" s="61">
        <v>0.16666666666666666</v>
      </c>
      <c r="F1227" s="60" t="s">
        <v>13</v>
      </c>
      <c r="G1227" s="71" t="s">
        <v>14</v>
      </c>
      <c r="H1227" s="62">
        <v>0.17083333333333334</v>
      </c>
      <c r="I1227" s="113" t="str">
        <f t="shared" si="304"/>
        <v>27-08-2026T04:06:00</v>
      </c>
      <c r="J1227" s="62">
        <v>0.70416666666666672</v>
      </c>
      <c r="K1227" s="62"/>
      <c r="L1227" s="63">
        <f t="shared" si="296"/>
        <v>0.53333333333333344</v>
      </c>
      <c r="M1227" s="64">
        <v>0.54166666666666663</v>
      </c>
      <c r="N1227" s="65" t="str">
        <f t="shared" si="297"/>
        <v>00:12:00</v>
      </c>
      <c r="O1227" s="66"/>
      <c r="P1227" s="124"/>
      <c r="Q1227" s="67"/>
      <c r="R1227" s="68"/>
      <c r="S1227" s="68"/>
      <c r="T1227" s="69">
        <f t="shared" si="298"/>
        <v>0</v>
      </c>
      <c r="U1227" s="61" t="s">
        <v>234</v>
      </c>
      <c r="V1227" s="83">
        <v>0</v>
      </c>
      <c r="W1227" s="61">
        <f t="shared" si="299"/>
        <v>0</v>
      </c>
      <c r="X1227" s="171">
        <v>46261.17083333333</v>
      </c>
      <c r="Y1227" s="171">
        <v>46261.70416666667</v>
      </c>
      <c r="Z1227" s="168">
        <f t="shared" si="300"/>
        <v>0.53333333334012423</v>
      </c>
      <c r="AA1227" s="169">
        <f t="shared" si="301"/>
        <v>0.54166666666666663</v>
      </c>
      <c r="AB1227" s="170" t="str">
        <f t="shared" si="302"/>
        <v>00:12:00</v>
      </c>
      <c r="AC1227" s="170" t="b">
        <f t="shared" si="303"/>
        <v>1</v>
      </c>
    </row>
    <row r="1228" spans="1:29" s="127" customFormat="1" ht="9.75" hidden="1" customHeight="1" x14ac:dyDescent="0.3">
      <c r="A1228" s="98">
        <v>46261</v>
      </c>
      <c r="B1228" s="48">
        <v>8204825</v>
      </c>
      <c r="C1228" s="49" t="s">
        <v>29</v>
      </c>
      <c r="D1228" s="49" t="s">
        <v>373</v>
      </c>
      <c r="E1228" s="50">
        <v>0.16666666666666666</v>
      </c>
      <c r="F1228" s="49" t="s">
        <v>17</v>
      </c>
      <c r="G1228" s="70" t="s">
        <v>15</v>
      </c>
      <c r="H1228" s="51">
        <v>0.16458333333333333</v>
      </c>
      <c r="I1228" s="113" t="str">
        <f t="shared" si="304"/>
        <v>27-08-2026T03:57:00</v>
      </c>
      <c r="J1228" s="51">
        <v>0.71527777777777779</v>
      </c>
      <c r="K1228" s="51"/>
      <c r="L1228" s="52">
        <f t="shared" si="296"/>
        <v>0.55069444444444449</v>
      </c>
      <c r="M1228" s="53">
        <v>0.5</v>
      </c>
      <c r="N1228" s="54" t="str">
        <f t="shared" si="297"/>
        <v>-01:13:00</v>
      </c>
      <c r="O1228" s="55">
        <v>250</v>
      </c>
      <c r="P1228" s="147" t="s">
        <v>724</v>
      </c>
      <c r="Q1228" s="56" t="s">
        <v>98</v>
      </c>
      <c r="R1228" s="57">
        <v>0.375</v>
      </c>
      <c r="S1228" s="57">
        <v>0.47222222222222221</v>
      </c>
      <c r="T1228" s="47">
        <f t="shared" si="298"/>
        <v>9.722222222222221E-2</v>
      </c>
      <c r="U1228" s="50" t="s">
        <v>234</v>
      </c>
      <c r="V1228" s="74">
        <v>8.3333333333333329E-2</v>
      </c>
      <c r="W1228" s="50">
        <f t="shared" si="299"/>
        <v>1.3888888888888881E-2</v>
      </c>
      <c r="X1228" s="171">
        <v>0.16458333333333333</v>
      </c>
      <c r="Y1228" s="171">
        <v>0.71527777777777779</v>
      </c>
      <c r="Z1228" s="168">
        <f t="shared" si="300"/>
        <v>0.55069444444444449</v>
      </c>
      <c r="AA1228" s="169">
        <f t="shared" si="301"/>
        <v>0.5</v>
      </c>
      <c r="AB1228" s="170" t="str">
        <f t="shared" si="302"/>
        <v>-01:13:00</v>
      </c>
      <c r="AC1228" s="170" t="b">
        <f t="shared" si="303"/>
        <v>1</v>
      </c>
    </row>
    <row r="1229" spans="1:29" s="128" customFormat="1" ht="9.75" hidden="1" customHeight="1" x14ac:dyDescent="0.3">
      <c r="A1229" s="99">
        <v>46261</v>
      </c>
      <c r="B1229" s="59">
        <v>8204866</v>
      </c>
      <c r="C1229" s="60" t="s">
        <v>27</v>
      </c>
      <c r="D1229" s="60" t="s">
        <v>378</v>
      </c>
      <c r="E1229" s="61">
        <v>0.16666666666666666</v>
      </c>
      <c r="F1229" s="60" t="s">
        <v>13</v>
      </c>
      <c r="G1229" s="71" t="s">
        <v>28</v>
      </c>
      <c r="H1229" s="62">
        <v>0.17291666666666666</v>
      </c>
      <c r="I1229" s="113" t="str">
        <f t="shared" si="304"/>
        <v>27-08-2026T04:09:00</v>
      </c>
      <c r="J1229" s="62">
        <v>0.33333333333333331</v>
      </c>
      <c r="K1229" s="62"/>
      <c r="L1229" s="63">
        <f t="shared" si="296"/>
        <v>0.16041666666666665</v>
      </c>
      <c r="M1229" s="64">
        <v>0.16666666666666666</v>
      </c>
      <c r="N1229" s="65" t="str">
        <f t="shared" si="297"/>
        <v>00:09:00</v>
      </c>
      <c r="O1229" s="66"/>
      <c r="P1229" s="124"/>
      <c r="Q1229" s="67"/>
      <c r="R1229" s="68"/>
      <c r="S1229" s="68"/>
      <c r="T1229" s="69">
        <f t="shared" si="298"/>
        <v>0</v>
      </c>
      <c r="U1229" s="61" t="s">
        <v>234</v>
      </c>
      <c r="V1229" s="83">
        <v>0</v>
      </c>
      <c r="W1229" s="61">
        <f t="shared" si="299"/>
        <v>0</v>
      </c>
      <c r="X1229" s="171">
        <v>46261.17291666667</v>
      </c>
      <c r="Y1229" s="171">
        <v>46261.333333333336</v>
      </c>
      <c r="Z1229" s="168">
        <f t="shared" si="300"/>
        <v>0.16041666666569654</v>
      </c>
      <c r="AA1229" s="169">
        <f t="shared" si="301"/>
        <v>0.16666666666666666</v>
      </c>
      <c r="AB1229" s="170" t="str">
        <f t="shared" si="302"/>
        <v>00:09:00</v>
      </c>
      <c r="AC1229" s="170" t="b">
        <f t="shared" si="303"/>
        <v>1</v>
      </c>
    </row>
    <row r="1230" spans="1:29" s="128" customFormat="1" ht="9.75" hidden="1" customHeight="1" x14ac:dyDescent="0.3">
      <c r="A1230" s="99">
        <v>46261</v>
      </c>
      <c r="B1230" s="59">
        <v>8205036</v>
      </c>
      <c r="C1230" s="60" t="s">
        <v>32</v>
      </c>
      <c r="D1230" s="60" t="s">
        <v>476</v>
      </c>
      <c r="E1230" s="61">
        <v>0.20833333333333334</v>
      </c>
      <c r="F1230" s="60" t="s">
        <v>13</v>
      </c>
      <c r="G1230" s="71" t="s">
        <v>287</v>
      </c>
      <c r="H1230" s="62">
        <v>0.21041666666666667</v>
      </c>
      <c r="I1230" s="113" t="str">
        <f t="shared" si="304"/>
        <v>27-08-2026T05:03:00</v>
      </c>
      <c r="J1230" s="62">
        <v>0.35416666666666669</v>
      </c>
      <c r="K1230" s="62"/>
      <c r="L1230" s="63">
        <f t="shared" si="296"/>
        <v>0.14375000000000002</v>
      </c>
      <c r="M1230" s="64">
        <v>0.14583333333333334</v>
      </c>
      <c r="N1230" s="65" t="str">
        <f t="shared" si="297"/>
        <v>00:03:00</v>
      </c>
      <c r="O1230" s="66"/>
      <c r="P1230" s="124"/>
      <c r="Q1230" s="67"/>
      <c r="R1230" s="68"/>
      <c r="S1230" s="68"/>
      <c r="T1230" s="69">
        <f t="shared" si="298"/>
        <v>0</v>
      </c>
      <c r="U1230" s="61" t="s">
        <v>234</v>
      </c>
      <c r="V1230" s="83">
        <v>0</v>
      </c>
      <c r="W1230" s="61">
        <f t="shared" si="299"/>
        <v>0</v>
      </c>
      <c r="X1230" s="171">
        <v>46261.210416666669</v>
      </c>
      <c r="Y1230" s="171">
        <v>46261.354166666664</v>
      </c>
      <c r="Z1230" s="168">
        <f t="shared" si="300"/>
        <v>0.14374999999563443</v>
      </c>
      <c r="AA1230" s="169">
        <f t="shared" si="301"/>
        <v>0.14583333333333334</v>
      </c>
      <c r="AB1230" s="170" t="str">
        <f t="shared" si="302"/>
        <v>00:03:00</v>
      </c>
      <c r="AC1230" s="170" t="b">
        <f t="shared" si="303"/>
        <v>1</v>
      </c>
    </row>
    <row r="1231" spans="1:29" s="144" customFormat="1" ht="9.75" hidden="1" customHeight="1" x14ac:dyDescent="0.3">
      <c r="A1231" s="129">
        <v>46261</v>
      </c>
      <c r="B1231" s="130">
        <v>8204941</v>
      </c>
      <c r="C1231" s="131" t="s">
        <v>25</v>
      </c>
      <c r="D1231" s="131" t="s">
        <v>718</v>
      </c>
      <c r="E1231" s="132">
        <v>0.20833333333333334</v>
      </c>
      <c r="F1231" s="131" t="s">
        <v>26</v>
      </c>
      <c r="G1231" s="133" t="s">
        <v>13</v>
      </c>
      <c r="H1231" s="134">
        <v>0.19236111111111112</v>
      </c>
      <c r="I1231" s="113" t="str">
        <f t="shared" si="304"/>
        <v>27-08-2026T04:37:00</v>
      </c>
      <c r="J1231" s="134">
        <v>0.65972222222222221</v>
      </c>
      <c r="K1231" s="134"/>
      <c r="L1231" s="135">
        <f t="shared" ref="L1231:L1251" si="305">J1231-H1231</f>
        <v>0.46736111111111112</v>
      </c>
      <c r="M1231" s="136">
        <v>0.45833333333333331</v>
      </c>
      <c r="N1231" s="137" t="str">
        <f t="shared" ref="N1231:N1251" si="306">IF(M1231-L1231&gt;0,TEXT(M1231-L1231,"HH:MM:SS"),TEXT(ABS(M1231-L1231),"-HH:MM:SS"))</f>
        <v>-00:13:00</v>
      </c>
      <c r="O1231" s="138"/>
      <c r="P1231" s="145" t="s">
        <v>567</v>
      </c>
      <c r="Q1231" s="140" t="s">
        <v>13</v>
      </c>
      <c r="R1231" s="141">
        <v>0.55347222222222225</v>
      </c>
      <c r="S1231" s="141">
        <v>0.65972222222222221</v>
      </c>
      <c r="T1231" s="142">
        <f t="shared" ref="T1231:T1251" si="307">S1231-R1231</f>
        <v>0.10624999999999996</v>
      </c>
      <c r="U1231" s="132"/>
      <c r="V1231" s="143">
        <v>8.3333333333333329E-2</v>
      </c>
      <c r="W1231" s="132">
        <f t="shared" ref="W1231:W1251" si="308">T1231-V1231</f>
        <v>2.2916666666666627E-2</v>
      </c>
      <c r="X1231" s="171">
        <v>46261.192361111112</v>
      </c>
      <c r="Y1231" s="171">
        <v>46261.659722222219</v>
      </c>
      <c r="Z1231" s="168">
        <f t="shared" si="300"/>
        <v>0.46736111110658385</v>
      </c>
      <c r="AA1231" s="169">
        <f t="shared" si="301"/>
        <v>0.45833333333333331</v>
      </c>
      <c r="AB1231" s="170" t="str">
        <f t="shared" si="302"/>
        <v>-00:13:00</v>
      </c>
      <c r="AC1231" s="170" t="b">
        <f t="shared" si="303"/>
        <v>1</v>
      </c>
    </row>
    <row r="1232" spans="1:29" s="127" customFormat="1" ht="9.75" hidden="1" customHeight="1" x14ac:dyDescent="0.3">
      <c r="A1232" s="98">
        <v>46261</v>
      </c>
      <c r="B1232" s="48">
        <v>8205203</v>
      </c>
      <c r="C1232" s="49" t="s">
        <v>58</v>
      </c>
      <c r="D1232" s="49" t="s">
        <v>591</v>
      </c>
      <c r="E1232" s="50">
        <v>0.25</v>
      </c>
      <c r="F1232" s="49" t="s">
        <v>14</v>
      </c>
      <c r="G1232" s="70" t="s">
        <v>13</v>
      </c>
      <c r="H1232" s="51">
        <v>0.25</v>
      </c>
      <c r="I1232" s="113" t="str">
        <f t="shared" si="304"/>
        <v>27-08-2026T06:00:00</v>
      </c>
      <c r="J1232" s="51">
        <v>0.8041666666666667</v>
      </c>
      <c r="K1232" s="51"/>
      <c r="L1232" s="52">
        <f t="shared" si="305"/>
        <v>0.5541666666666667</v>
      </c>
      <c r="M1232" s="53">
        <v>0.54166666666666663</v>
      </c>
      <c r="N1232" s="54" t="str">
        <f t="shared" si="306"/>
        <v>-00:18:00</v>
      </c>
      <c r="O1232" s="55">
        <v>250</v>
      </c>
      <c r="P1232" s="147" t="s">
        <v>610</v>
      </c>
      <c r="Q1232" s="56"/>
      <c r="R1232" s="57"/>
      <c r="S1232" s="57"/>
      <c r="T1232" s="58">
        <f t="shared" si="307"/>
        <v>0</v>
      </c>
      <c r="U1232" s="50"/>
      <c r="V1232" s="74">
        <v>0</v>
      </c>
      <c r="W1232" s="50">
        <f t="shared" si="308"/>
        <v>0</v>
      </c>
      <c r="X1232" s="171">
        <v>46261.25</v>
      </c>
      <c r="Y1232" s="171">
        <v>46261.804166666669</v>
      </c>
      <c r="Z1232" s="168">
        <f t="shared" si="300"/>
        <v>0.55416666666860692</v>
      </c>
      <c r="AA1232" s="169">
        <f t="shared" si="301"/>
        <v>0.54166666666666663</v>
      </c>
      <c r="AB1232" s="170" t="str">
        <f t="shared" si="302"/>
        <v>-00:18:00</v>
      </c>
      <c r="AC1232" s="170" t="b">
        <f t="shared" si="303"/>
        <v>1</v>
      </c>
    </row>
    <row r="1233" spans="1:29" s="128" customFormat="1" ht="9.75" hidden="1" customHeight="1" x14ac:dyDescent="0.3">
      <c r="A1233" s="99">
        <v>46261</v>
      </c>
      <c r="B1233" s="59">
        <v>8205246</v>
      </c>
      <c r="C1233" s="60" t="s">
        <v>89</v>
      </c>
      <c r="D1233" s="60" t="s">
        <v>294</v>
      </c>
      <c r="E1233" s="61">
        <v>0.25</v>
      </c>
      <c r="F1233" s="60" t="s">
        <v>13</v>
      </c>
      <c r="G1233" s="71" t="s">
        <v>35</v>
      </c>
      <c r="H1233" s="62">
        <v>0.25694444444444442</v>
      </c>
      <c r="I1233" s="113" t="str">
        <f t="shared" si="304"/>
        <v>27-08-2026T06:10:00</v>
      </c>
      <c r="J1233" s="62">
        <v>0.29166666666666669</v>
      </c>
      <c r="K1233" s="62"/>
      <c r="L1233" s="63">
        <f t="shared" si="305"/>
        <v>3.4722222222222265E-2</v>
      </c>
      <c r="M1233" s="64">
        <v>4.1666666666666664E-2</v>
      </c>
      <c r="N1233" s="65" t="str">
        <f t="shared" si="306"/>
        <v>00:10:00</v>
      </c>
      <c r="O1233" s="66"/>
      <c r="P1233" s="124"/>
      <c r="Q1233" s="67"/>
      <c r="R1233" s="68"/>
      <c r="S1233" s="68"/>
      <c r="T1233" s="69">
        <f t="shared" si="307"/>
        <v>0</v>
      </c>
      <c r="U1233" s="61" t="s">
        <v>234</v>
      </c>
      <c r="V1233" s="83">
        <v>0</v>
      </c>
      <c r="W1233" s="61">
        <f t="shared" si="308"/>
        <v>0</v>
      </c>
      <c r="X1233" s="171">
        <v>46261.256944444445</v>
      </c>
      <c r="Y1233" s="171">
        <v>46261.291666666664</v>
      </c>
      <c r="Z1233" s="168">
        <f t="shared" si="300"/>
        <v>3.4722222218988463E-2</v>
      </c>
      <c r="AA1233" s="169">
        <f t="shared" si="301"/>
        <v>4.1666666666666664E-2</v>
      </c>
      <c r="AB1233" s="170" t="str">
        <f t="shared" si="302"/>
        <v>00:10:00</v>
      </c>
      <c r="AC1233" s="170" t="b">
        <f t="shared" si="303"/>
        <v>1</v>
      </c>
    </row>
    <row r="1234" spans="1:29" s="127" customFormat="1" ht="9.75" hidden="1" customHeight="1" x14ac:dyDescent="0.3">
      <c r="A1234" s="98">
        <v>46261</v>
      </c>
      <c r="B1234" s="48">
        <v>8205288</v>
      </c>
      <c r="C1234" s="49" t="s">
        <v>12</v>
      </c>
      <c r="D1234" s="49" t="s">
        <v>586</v>
      </c>
      <c r="E1234" s="50">
        <v>0.27083333333333331</v>
      </c>
      <c r="F1234" s="49" t="s">
        <v>14</v>
      </c>
      <c r="G1234" s="70" t="s">
        <v>13</v>
      </c>
      <c r="H1234" s="51">
        <v>0.26944444444444443</v>
      </c>
      <c r="I1234" s="113" t="str">
        <f t="shared" si="304"/>
        <v>27-08-2026T06:28:00</v>
      </c>
      <c r="J1234" s="51">
        <v>0.96111111111111114</v>
      </c>
      <c r="K1234" s="51"/>
      <c r="L1234" s="52">
        <f t="shared" si="305"/>
        <v>0.69166666666666665</v>
      </c>
      <c r="M1234" s="53">
        <v>0.625</v>
      </c>
      <c r="N1234" s="54" t="str">
        <f t="shared" si="306"/>
        <v>-01:36:00</v>
      </c>
      <c r="O1234" s="55">
        <v>400</v>
      </c>
      <c r="P1234" s="147" t="s">
        <v>706</v>
      </c>
      <c r="Q1234" s="56" t="s">
        <v>204</v>
      </c>
      <c r="R1234" s="57">
        <v>0.375</v>
      </c>
      <c r="S1234" s="57">
        <v>0.4548611111111111</v>
      </c>
      <c r="T1234" s="47">
        <f t="shared" si="307"/>
        <v>7.9861111111111105E-2</v>
      </c>
      <c r="U1234" s="50"/>
      <c r="V1234" s="74">
        <v>6.25E-2</v>
      </c>
      <c r="W1234" s="50">
        <f t="shared" si="308"/>
        <v>1.7361111111111105E-2</v>
      </c>
      <c r="X1234" s="171">
        <v>46261.269444444442</v>
      </c>
      <c r="Y1234" s="171">
        <v>46261.961111111108</v>
      </c>
      <c r="Z1234" s="168">
        <f t="shared" si="300"/>
        <v>0.69166666666569654</v>
      </c>
      <c r="AA1234" s="169">
        <f t="shared" si="301"/>
        <v>0.625</v>
      </c>
      <c r="AB1234" s="170" t="str">
        <f t="shared" si="302"/>
        <v>-01:36:00</v>
      </c>
      <c r="AC1234" s="170" t="b">
        <f t="shared" si="303"/>
        <v>1</v>
      </c>
    </row>
    <row r="1235" spans="1:29" s="128" customFormat="1" ht="9.75" hidden="1" customHeight="1" x14ac:dyDescent="0.3">
      <c r="A1235" s="99">
        <v>46261</v>
      </c>
      <c r="B1235" s="59">
        <v>8205351</v>
      </c>
      <c r="C1235" s="60" t="s">
        <v>36</v>
      </c>
      <c r="D1235" s="60" t="s">
        <v>300</v>
      </c>
      <c r="E1235" s="61">
        <v>0.27083333333333331</v>
      </c>
      <c r="F1235" s="60" t="s">
        <v>13</v>
      </c>
      <c r="G1235" s="71" t="s">
        <v>14</v>
      </c>
      <c r="H1235" s="62">
        <v>0.28749999999999998</v>
      </c>
      <c r="I1235" s="113" t="str">
        <f t="shared" si="304"/>
        <v>27-08-2026T06:54:00</v>
      </c>
      <c r="J1235" s="62">
        <v>0.89513888888888893</v>
      </c>
      <c r="K1235" s="62"/>
      <c r="L1235" s="63">
        <f t="shared" si="305"/>
        <v>0.60763888888888895</v>
      </c>
      <c r="M1235" s="64">
        <v>0.625</v>
      </c>
      <c r="N1235" s="65" t="str">
        <f t="shared" si="306"/>
        <v>00:25:00</v>
      </c>
      <c r="O1235" s="66"/>
      <c r="P1235" s="124"/>
      <c r="Q1235" s="67" t="s">
        <v>15</v>
      </c>
      <c r="R1235" s="68">
        <v>0.52222222222222225</v>
      </c>
      <c r="S1235" s="68">
        <v>0.53541666666666665</v>
      </c>
      <c r="T1235" s="69">
        <f t="shared" si="307"/>
        <v>1.3194444444444398E-2</v>
      </c>
      <c r="U1235" s="61"/>
      <c r="V1235" s="83">
        <v>8.3333333333333329E-2</v>
      </c>
      <c r="W1235" s="61">
        <f t="shared" si="308"/>
        <v>-7.0138888888888931E-2</v>
      </c>
      <c r="X1235" s="171">
        <v>46261.287499999999</v>
      </c>
      <c r="Y1235" s="171">
        <v>46261.895138888889</v>
      </c>
      <c r="Z1235" s="168">
        <f t="shared" si="300"/>
        <v>0.60763888889050577</v>
      </c>
      <c r="AA1235" s="169">
        <f t="shared" si="301"/>
        <v>0.625</v>
      </c>
      <c r="AB1235" s="170" t="str">
        <f t="shared" si="302"/>
        <v>00:25:00</v>
      </c>
      <c r="AC1235" s="170" t="b">
        <f t="shared" si="303"/>
        <v>1</v>
      </c>
    </row>
    <row r="1236" spans="1:29" s="128" customFormat="1" ht="9.75" hidden="1" customHeight="1" x14ac:dyDescent="0.3">
      <c r="A1236" s="99">
        <v>46261</v>
      </c>
      <c r="B1236" s="59">
        <v>8205298</v>
      </c>
      <c r="C1236" s="60" t="s">
        <v>38</v>
      </c>
      <c r="D1236" s="60" t="s">
        <v>289</v>
      </c>
      <c r="E1236" s="61">
        <v>0.27083333333333331</v>
      </c>
      <c r="F1236" s="60" t="s">
        <v>13</v>
      </c>
      <c r="G1236" s="71" t="s">
        <v>14</v>
      </c>
      <c r="H1236" s="62">
        <v>0.27152777777777776</v>
      </c>
      <c r="I1236" s="113" t="str">
        <f t="shared" si="304"/>
        <v>27-08-2026T06:31:00</v>
      </c>
      <c r="J1236" s="62">
        <v>0.8833333333333333</v>
      </c>
      <c r="K1236" s="62"/>
      <c r="L1236" s="63">
        <f t="shared" si="305"/>
        <v>0.61180555555555549</v>
      </c>
      <c r="M1236" s="64">
        <v>0.625</v>
      </c>
      <c r="N1236" s="65" t="str">
        <f t="shared" si="306"/>
        <v>00:19:00</v>
      </c>
      <c r="O1236" s="66"/>
      <c r="P1236" s="124" t="s">
        <v>748</v>
      </c>
      <c r="Q1236" s="67" t="s">
        <v>15</v>
      </c>
      <c r="R1236" s="68">
        <v>0.50972222222222219</v>
      </c>
      <c r="S1236" s="68" t="s">
        <v>480</v>
      </c>
      <c r="T1236" s="69" t="e">
        <f t="shared" si="307"/>
        <v>#VALUE!</v>
      </c>
      <c r="U1236" s="61" t="s">
        <v>234</v>
      </c>
      <c r="V1236" s="83">
        <v>8.3333333333333329E-2</v>
      </c>
      <c r="W1236" s="61" t="e">
        <f t="shared" si="308"/>
        <v>#VALUE!</v>
      </c>
      <c r="X1236" s="171">
        <v>46261.271527777775</v>
      </c>
      <c r="Y1236" s="171">
        <v>46261.883333333331</v>
      </c>
      <c r="Z1236" s="168">
        <f t="shared" si="300"/>
        <v>0.61180555555620231</v>
      </c>
      <c r="AA1236" s="169">
        <f t="shared" si="301"/>
        <v>0.625</v>
      </c>
      <c r="AB1236" s="170" t="str">
        <f t="shared" si="302"/>
        <v>00:19:00</v>
      </c>
      <c r="AC1236" s="170" t="b">
        <f t="shared" si="303"/>
        <v>1</v>
      </c>
    </row>
    <row r="1237" spans="1:29" s="127" customFormat="1" ht="9.75" hidden="1" customHeight="1" x14ac:dyDescent="0.3">
      <c r="A1237" s="98">
        <v>46261</v>
      </c>
      <c r="B1237" s="48">
        <v>8205374</v>
      </c>
      <c r="C1237" s="49" t="s">
        <v>34</v>
      </c>
      <c r="D1237" s="49" t="s">
        <v>725</v>
      </c>
      <c r="E1237" s="50">
        <v>0.29166666666666669</v>
      </c>
      <c r="F1237" s="49" t="s">
        <v>13</v>
      </c>
      <c r="G1237" s="70" t="s">
        <v>103</v>
      </c>
      <c r="H1237" s="51">
        <v>46261.291666666664</v>
      </c>
      <c r="I1237" s="113" t="str">
        <f t="shared" si="304"/>
        <v>27-08-2026T07:00:00</v>
      </c>
      <c r="J1237" s="51">
        <v>46262.374305555553</v>
      </c>
      <c r="K1237" s="51"/>
      <c r="L1237" s="52">
        <f t="shared" si="305"/>
        <v>1.0826388888890506</v>
      </c>
      <c r="M1237" s="53">
        <v>0.625</v>
      </c>
      <c r="N1237" s="54" t="str">
        <f t="shared" si="306"/>
        <v>-10:59:00</v>
      </c>
      <c r="O1237" s="55">
        <f>250*11</f>
        <v>2750</v>
      </c>
      <c r="P1237" s="147" t="s">
        <v>726</v>
      </c>
      <c r="Q1237" s="56"/>
      <c r="R1237" s="57"/>
      <c r="S1237" s="57"/>
      <c r="T1237" s="58">
        <f t="shared" si="307"/>
        <v>0</v>
      </c>
      <c r="U1237" s="50"/>
      <c r="V1237" s="74">
        <v>0</v>
      </c>
      <c r="W1237" s="50">
        <f t="shared" si="308"/>
        <v>0</v>
      </c>
      <c r="X1237" s="171">
        <v>46261.291666666664</v>
      </c>
      <c r="Y1237" s="171">
        <v>46262.374305555553</v>
      </c>
      <c r="Z1237" s="168">
        <f t="shared" si="300"/>
        <v>1.0826388888890506</v>
      </c>
      <c r="AA1237" s="169">
        <f t="shared" si="301"/>
        <v>0.625</v>
      </c>
      <c r="AB1237" s="170" t="str">
        <f t="shared" si="302"/>
        <v>-10:59:00</v>
      </c>
      <c r="AC1237" s="170" t="b">
        <f t="shared" si="303"/>
        <v>1</v>
      </c>
    </row>
    <row r="1238" spans="1:29" s="127" customFormat="1" ht="9.75" hidden="1" customHeight="1" x14ac:dyDescent="0.3">
      <c r="A1238" s="98">
        <v>46261</v>
      </c>
      <c r="B1238" s="48">
        <v>8205405</v>
      </c>
      <c r="C1238" s="49" t="s">
        <v>52</v>
      </c>
      <c r="D1238" s="49" t="s">
        <v>616</v>
      </c>
      <c r="E1238" s="50">
        <v>0.3125</v>
      </c>
      <c r="F1238" s="49" t="s">
        <v>15</v>
      </c>
      <c r="G1238" s="70" t="s">
        <v>13</v>
      </c>
      <c r="H1238" s="51">
        <v>0.30625000000000002</v>
      </c>
      <c r="I1238" s="113" t="str">
        <f t="shared" si="304"/>
        <v>27-08-2026T07:21:00</v>
      </c>
      <c r="J1238" s="51">
        <v>0.55694444444444446</v>
      </c>
      <c r="K1238" s="51"/>
      <c r="L1238" s="52">
        <f t="shared" si="305"/>
        <v>0.25069444444444444</v>
      </c>
      <c r="M1238" s="53">
        <v>0.25</v>
      </c>
      <c r="N1238" s="54" t="str">
        <f t="shared" si="306"/>
        <v>-00:01:00</v>
      </c>
      <c r="O1238" s="55">
        <v>250</v>
      </c>
      <c r="P1238" s="147" t="s">
        <v>727</v>
      </c>
      <c r="Q1238" s="56" t="s">
        <v>205</v>
      </c>
      <c r="R1238" s="57">
        <v>0.39583333333333331</v>
      </c>
      <c r="S1238" s="57">
        <v>0.4375</v>
      </c>
      <c r="T1238" s="58">
        <f t="shared" si="307"/>
        <v>4.1666666666666685E-2</v>
      </c>
      <c r="U1238" s="50"/>
      <c r="V1238" s="74">
        <v>4.1666666666666664E-2</v>
      </c>
      <c r="W1238" s="50">
        <f t="shared" si="308"/>
        <v>0</v>
      </c>
      <c r="X1238" s="171">
        <v>46261.306250000001</v>
      </c>
      <c r="Y1238" s="171">
        <v>46261.556944444441</v>
      </c>
      <c r="Z1238" s="168">
        <f t="shared" si="300"/>
        <v>0.25069444443943212</v>
      </c>
      <c r="AA1238" s="169">
        <f t="shared" si="301"/>
        <v>0.25</v>
      </c>
      <c r="AB1238" s="170" t="str">
        <f t="shared" si="302"/>
        <v>-00:01:00</v>
      </c>
      <c r="AC1238" s="170" t="b">
        <f t="shared" si="303"/>
        <v>1</v>
      </c>
    </row>
    <row r="1239" spans="1:29" s="128" customFormat="1" ht="9.75" hidden="1" customHeight="1" x14ac:dyDescent="0.3">
      <c r="A1239" s="99">
        <v>46261</v>
      </c>
      <c r="B1239" s="59">
        <v>8205375</v>
      </c>
      <c r="C1239" s="60" t="s">
        <v>50</v>
      </c>
      <c r="D1239" s="60" t="s">
        <v>329</v>
      </c>
      <c r="E1239" s="61">
        <v>0.29166666666666669</v>
      </c>
      <c r="F1239" s="60" t="s">
        <v>13</v>
      </c>
      <c r="G1239" s="71" t="s">
        <v>31</v>
      </c>
      <c r="H1239" s="62">
        <v>0.29236111111111113</v>
      </c>
      <c r="I1239" s="113" t="str">
        <f t="shared" si="304"/>
        <v>27-08-2026T07:01:00</v>
      </c>
      <c r="J1239" s="62">
        <v>0.9</v>
      </c>
      <c r="K1239" s="62"/>
      <c r="L1239" s="63">
        <f t="shared" si="305"/>
        <v>0.60763888888888884</v>
      </c>
      <c r="M1239" s="64">
        <v>0.625</v>
      </c>
      <c r="N1239" s="65" t="str">
        <f t="shared" si="306"/>
        <v>00:25:00</v>
      </c>
      <c r="O1239" s="66"/>
      <c r="P1239" s="124" t="s">
        <v>610</v>
      </c>
      <c r="Q1239" s="67"/>
      <c r="R1239" s="68"/>
      <c r="S1239" s="68"/>
      <c r="T1239" s="69">
        <f t="shared" si="307"/>
        <v>0</v>
      </c>
      <c r="U1239" s="61"/>
      <c r="V1239" s="83">
        <v>0</v>
      </c>
      <c r="W1239" s="61">
        <f t="shared" si="308"/>
        <v>0</v>
      </c>
      <c r="X1239" s="172">
        <v>46261.292361111111</v>
      </c>
      <c r="Y1239" s="172">
        <v>46261.9</v>
      </c>
      <c r="Z1239" s="173">
        <f t="shared" si="300"/>
        <v>0.60763888889050577</v>
      </c>
      <c r="AA1239" s="174">
        <f t="shared" si="301"/>
        <v>0.625</v>
      </c>
      <c r="AB1239" s="175" t="str">
        <f t="shared" si="302"/>
        <v>00:25:00</v>
      </c>
      <c r="AC1239" s="175" t="b">
        <f t="shared" si="303"/>
        <v>1</v>
      </c>
    </row>
    <row r="1240" spans="1:29" s="128" customFormat="1" ht="9.75" hidden="1" customHeight="1" x14ac:dyDescent="0.3">
      <c r="A1240" s="99">
        <v>46261</v>
      </c>
      <c r="B1240" s="59">
        <v>8205423</v>
      </c>
      <c r="C1240" s="60" t="s">
        <v>42</v>
      </c>
      <c r="D1240" s="60" t="s">
        <v>181</v>
      </c>
      <c r="E1240" s="61">
        <v>0.3125</v>
      </c>
      <c r="F1240" s="60" t="s">
        <v>13</v>
      </c>
      <c r="G1240" s="71" t="s">
        <v>55</v>
      </c>
      <c r="H1240" s="62">
        <v>0.31458333333333333</v>
      </c>
      <c r="I1240" s="113" t="str">
        <f t="shared" si="304"/>
        <v>27-08-2026T07:33:00</v>
      </c>
      <c r="J1240" s="62">
        <v>0.37361111111111112</v>
      </c>
      <c r="K1240" s="62"/>
      <c r="L1240" s="63">
        <f t="shared" si="305"/>
        <v>5.902777777777779E-2</v>
      </c>
      <c r="M1240" s="64">
        <v>6.25E-2</v>
      </c>
      <c r="N1240" s="65" t="str">
        <f t="shared" si="306"/>
        <v>00:05:00</v>
      </c>
      <c r="O1240" s="66"/>
      <c r="P1240" s="124"/>
      <c r="Q1240" s="67"/>
      <c r="R1240" s="68"/>
      <c r="S1240" s="68"/>
      <c r="T1240" s="69">
        <f t="shared" si="307"/>
        <v>0</v>
      </c>
      <c r="U1240" s="61" t="s">
        <v>234</v>
      </c>
      <c r="V1240" s="83">
        <v>0</v>
      </c>
      <c r="W1240" s="61">
        <f t="shared" si="308"/>
        <v>0</v>
      </c>
      <c r="X1240" s="171">
        <v>46261.314583333333</v>
      </c>
      <c r="Y1240" s="171">
        <v>46261.373611111114</v>
      </c>
      <c r="Z1240" s="168">
        <f t="shared" si="300"/>
        <v>5.9027777781011537E-2</v>
      </c>
      <c r="AA1240" s="169">
        <f t="shared" si="301"/>
        <v>6.25E-2</v>
      </c>
      <c r="AB1240" s="170" t="str">
        <f t="shared" si="302"/>
        <v>00:05:00</v>
      </c>
      <c r="AC1240" s="170" t="b">
        <f t="shared" si="303"/>
        <v>1</v>
      </c>
    </row>
    <row r="1241" spans="1:29" s="128" customFormat="1" ht="9.75" hidden="1" customHeight="1" x14ac:dyDescent="0.3">
      <c r="A1241" s="99">
        <v>46261</v>
      </c>
      <c r="B1241" s="59">
        <v>8206842</v>
      </c>
      <c r="C1241" s="60" t="s">
        <v>104</v>
      </c>
      <c r="D1241" s="60" t="s">
        <v>382</v>
      </c>
      <c r="E1241" s="61">
        <v>0.375</v>
      </c>
      <c r="F1241" s="60" t="s">
        <v>13</v>
      </c>
      <c r="G1241" s="71" t="s">
        <v>47</v>
      </c>
      <c r="H1241" s="62">
        <v>46261.82708333333</v>
      </c>
      <c r="I1241" s="113" t="str">
        <f t="shared" si="304"/>
        <v>27-08-2026T19:51:00</v>
      </c>
      <c r="J1241" s="62">
        <v>46263.561111111114</v>
      </c>
      <c r="K1241" s="62"/>
      <c r="L1241" s="63">
        <f t="shared" si="305"/>
        <v>1.7340277777839219</v>
      </c>
      <c r="M1241" s="64">
        <v>1.9166666666666667</v>
      </c>
      <c r="N1241" s="65" t="str">
        <f t="shared" si="306"/>
        <v>04:23:00</v>
      </c>
      <c r="O1241" s="66"/>
      <c r="P1241" s="124"/>
      <c r="Q1241" s="67" t="s">
        <v>96</v>
      </c>
      <c r="R1241" s="68">
        <v>46263.339583333334</v>
      </c>
      <c r="S1241" s="68">
        <v>46263.388194444444</v>
      </c>
      <c r="T1241" s="69">
        <f t="shared" si="307"/>
        <v>4.8611111109494232E-2</v>
      </c>
      <c r="U1241" s="61"/>
      <c r="V1241" s="83">
        <v>8.3333333333333329E-2</v>
      </c>
      <c r="W1241" s="61">
        <f t="shared" si="308"/>
        <v>-3.4722222223839097E-2</v>
      </c>
      <c r="X1241" s="171">
        <v>46261.82708333333</v>
      </c>
      <c r="Y1241" s="171">
        <v>46263.561111111114</v>
      </c>
      <c r="Z1241" s="168">
        <f t="shared" si="300"/>
        <v>1.7340277777839219</v>
      </c>
      <c r="AA1241" s="169">
        <f t="shared" si="301"/>
        <v>1.9166666666666667</v>
      </c>
      <c r="AB1241" s="170" t="str">
        <f t="shared" si="302"/>
        <v>04:23:00</v>
      </c>
      <c r="AC1241" s="170" t="b">
        <f t="shared" si="303"/>
        <v>1</v>
      </c>
    </row>
    <row r="1242" spans="1:29" s="144" customFormat="1" ht="9.75" hidden="1" customHeight="1" x14ac:dyDescent="0.3">
      <c r="A1242" s="129">
        <v>46261</v>
      </c>
      <c r="B1242" s="130">
        <v>8205574</v>
      </c>
      <c r="C1242" s="131" t="s">
        <v>51</v>
      </c>
      <c r="D1242" s="131" t="s">
        <v>295</v>
      </c>
      <c r="E1242" s="132">
        <v>0.375</v>
      </c>
      <c r="F1242" s="131" t="s">
        <v>49</v>
      </c>
      <c r="G1242" s="133" t="s">
        <v>13</v>
      </c>
      <c r="H1242" s="134">
        <v>0.37708333333333333</v>
      </c>
      <c r="I1242" s="113" t="str">
        <f t="shared" si="304"/>
        <v>27-08-2026T09:03:00</v>
      </c>
      <c r="J1242" s="134">
        <v>0.97569444444444442</v>
      </c>
      <c r="K1242" s="134"/>
      <c r="L1242" s="135">
        <f t="shared" si="305"/>
        <v>0.59861111111111109</v>
      </c>
      <c r="M1242" s="136">
        <v>0.58333333333333337</v>
      </c>
      <c r="N1242" s="137" t="str">
        <f t="shared" si="306"/>
        <v>-00:22:00</v>
      </c>
      <c r="O1242" s="138"/>
      <c r="P1242" s="145" t="s">
        <v>567</v>
      </c>
      <c r="Q1242" s="140" t="s">
        <v>13</v>
      </c>
      <c r="R1242" s="141">
        <v>0.86527777777777781</v>
      </c>
      <c r="S1242" s="141">
        <v>0.97083333333333333</v>
      </c>
      <c r="T1242" s="142">
        <f t="shared" si="307"/>
        <v>0.10555555555555551</v>
      </c>
      <c r="U1242" s="132"/>
      <c r="V1242" s="143">
        <v>8.3333333333333329E-2</v>
      </c>
      <c r="W1242" s="132">
        <f t="shared" si="308"/>
        <v>2.2222222222222185E-2</v>
      </c>
      <c r="X1242" s="171">
        <v>46261.377083333333</v>
      </c>
      <c r="Y1242" s="171">
        <v>46261.975694444445</v>
      </c>
      <c r="Z1242" s="168">
        <f t="shared" si="300"/>
        <v>0.59861111111240461</v>
      </c>
      <c r="AA1242" s="169">
        <f t="shared" si="301"/>
        <v>0.58333333333333337</v>
      </c>
      <c r="AB1242" s="170" t="str">
        <f t="shared" si="302"/>
        <v>-00:22:00</v>
      </c>
      <c r="AC1242" s="170" t="b">
        <f t="shared" si="303"/>
        <v>1</v>
      </c>
    </row>
    <row r="1243" spans="1:29" s="128" customFormat="1" ht="9.75" hidden="1" customHeight="1" x14ac:dyDescent="0.3">
      <c r="A1243" s="99">
        <v>46261</v>
      </c>
      <c r="B1243" s="59">
        <v>8205639</v>
      </c>
      <c r="C1243" s="60" t="s">
        <v>30</v>
      </c>
      <c r="D1243" s="60" t="s">
        <v>286</v>
      </c>
      <c r="E1243" s="61">
        <v>0.41666666666666669</v>
      </c>
      <c r="F1243" s="60" t="s">
        <v>31</v>
      </c>
      <c r="G1243" s="71" t="s">
        <v>13</v>
      </c>
      <c r="H1243" s="62">
        <v>46261.430555555555</v>
      </c>
      <c r="I1243" s="113" t="str">
        <f t="shared" si="304"/>
        <v>27-08-2026T10:20:00</v>
      </c>
      <c r="J1243" s="62">
        <v>46262.172222222223</v>
      </c>
      <c r="K1243" s="62"/>
      <c r="L1243" s="63">
        <f t="shared" si="305"/>
        <v>0.74166666666860692</v>
      </c>
      <c r="M1243" s="64">
        <v>0.75</v>
      </c>
      <c r="N1243" s="65" t="str">
        <f t="shared" si="306"/>
        <v>00:12:00</v>
      </c>
      <c r="O1243" s="66"/>
      <c r="P1243" s="124" t="s">
        <v>754</v>
      </c>
      <c r="Q1243" s="67" t="s">
        <v>45</v>
      </c>
      <c r="R1243" s="68" t="s">
        <v>372</v>
      </c>
      <c r="S1243" s="68" t="s">
        <v>372</v>
      </c>
      <c r="T1243" s="69" t="e">
        <f t="shared" si="307"/>
        <v>#VALUE!</v>
      </c>
      <c r="U1243" s="61"/>
      <c r="V1243" s="83">
        <v>0</v>
      </c>
      <c r="W1243" s="61" t="e">
        <f t="shared" si="308"/>
        <v>#VALUE!</v>
      </c>
      <c r="X1243" s="172">
        <v>46261.430555555555</v>
      </c>
      <c r="Y1243" s="172">
        <v>46262.172222222223</v>
      </c>
      <c r="Z1243" s="173">
        <f t="shared" si="300"/>
        <v>0.74166666666860692</v>
      </c>
      <c r="AA1243" s="174">
        <f t="shared" si="301"/>
        <v>0.75</v>
      </c>
      <c r="AB1243" s="175" t="str">
        <f t="shared" si="302"/>
        <v>00:12:00</v>
      </c>
      <c r="AC1243" s="175" t="b">
        <f t="shared" si="303"/>
        <v>1</v>
      </c>
    </row>
    <row r="1244" spans="1:29" s="128" customFormat="1" ht="9.75" hidden="1" customHeight="1" x14ac:dyDescent="0.3">
      <c r="A1244" s="99">
        <v>46261</v>
      </c>
      <c r="B1244" s="59">
        <v>8205619</v>
      </c>
      <c r="C1244" s="60" t="s">
        <v>48</v>
      </c>
      <c r="D1244" s="60" t="s">
        <v>183</v>
      </c>
      <c r="E1244" s="61">
        <v>0.41666666666666669</v>
      </c>
      <c r="F1244" s="60" t="s">
        <v>13</v>
      </c>
      <c r="G1244" s="71" t="s">
        <v>49</v>
      </c>
      <c r="H1244" s="62">
        <v>0.41666666666666669</v>
      </c>
      <c r="I1244" s="113" t="str">
        <f t="shared" si="304"/>
        <v>27-08-2026T10:00:00</v>
      </c>
      <c r="J1244" s="62">
        <v>0.90625</v>
      </c>
      <c r="K1244" s="62"/>
      <c r="L1244" s="63">
        <f t="shared" si="305"/>
        <v>0.48958333333333331</v>
      </c>
      <c r="M1244" s="64">
        <v>0.5</v>
      </c>
      <c r="N1244" s="65" t="str">
        <f t="shared" si="306"/>
        <v>00:15:00</v>
      </c>
      <c r="O1244" s="66"/>
      <c r="P1244" s="124"/>
      <c r="Q1244" s="67"/>
      <c r="R1244" s="68"/>
      <c r="S1244" s="68"/>
      <c r="T1244" s="69">
        <f t="shared" si="307"/>
        <v>0</v>
      </c>
      <c r="U1244" s="61" t="s">
        <v>234</v>
      </c>
      <c r="V1244" s="83">
        <v>0</v>
      </c>
      <c r="W1244" s="61">
        <f t="shared" si="308"/>
        <v>0</v>
      </c>
      <c r="X1244" s="171">
        <v>46261.416666666664</v>
      </c>
      <c r="Y1244" s="171">
        <v>46261.90625</v>
      </c>
      <c r="Z1244" s="168">
        <f t="shared" si="300"/>
        <v>0.48958333333575865</v>
      </c>
      <c r="AA1244" s="169">
        <f t="shared" si="301"/>
        <v>0.5</v>
      </c>
      <c r="AB1244" s="170" t="str">
        <f t="shared" si="302"/>
        <v>00:15:00</v>
      </c>
      <c r="AC1244" s="170" t="b">
        <f t="shared" si="303"/>
        <v>1</v>
      </c>
    </row>
    <row r="1245" spans="1:29" s="128" customFormat="1" ht="9.75" customHeight="1" x14ac:dyDescent="0.3">
      <c r="A1245" s="99">
        <v>46261</v>
      </c>
      <c r="B1245" s="59">
        <v>8204498</v>
      </c>
      <c r="C1245" s="60" t="s">
        <v>90</v>
      </c>
      <c r="D1245" s="60" t="s">
        <v>290</v>
      </c>
      <c r="E1245" s="61">
        <v>0.99930555555555556</v>
      </c>
      <c r="F1245" s="60" t="s">
        <v>13</v>
      </c>
      <c r="G1245" s="60" t="s">
        <v>15</v>
      </c>
      <c r="H1245" s="62">
        <v>1.1111111111111112E-2</v>
      </c>
      <c r="I1245" s="113" t="str">
        <f t="shared" si="304"/>
        <v>27-08-2026T00:16:00</v>
      </c>
      <c r="J1245" s="62">
        <v>0.26874999999999999</v>
      </c>
      <c r="K1245" s="113" t="str">
        <f t="shared" ref="K1245:K1246" si="309">TEXT(A1245,"dd-mm-yyyy")&amp;"T"&amp;TEXT(J1245,"hh:mm:ss")</f>
        <v>27-08-2026T06:27:00</v>
      </c>
      <c r="L1245" s="63">
        <f t="shared" si="305"/>
        <v>0.25763888888888886</v>
      </c>
      <c r="M1245" s="64">
        <v>0.27083333333333331</v>
      </c>
      <c r="N1245" s="65" t="str">
        <f t="shared" si="306"/>
        <v>00:19:00</v>
      </c>
      <c r="O1245" s="66"/>
      <c r="P1245" s="124"/>
      <c r="Q1245" s="67" t="s">
        <v>13</v>
      </c>
      <c r="R1245" s="68">
        <v>2.361111111111111E-2</v>
      </c>
      <c r="S1245" s="68">
        <v>6.0416666666666667E-2</v>
      </c>
      <c r="T1245" s="69">
        <f t="shared" si="307"/>
        <v>3.6805555555555557E-2</v>
      </c>
      <c r="U1245" s="61"/>
      <c r="V1245" s="83">
        <v>4.1666666666666664E-2</v>
      </c>
      <c r="W1245" s="61">
        <f t="shared" si="308"/>
        <v>-4.8611111111111077E-3</v>
      </c>
      <c r="X1245" s="171">
        <v>46261.011111111111</v>
      </c>
      <c r="Y1245" s="171">
        <v>46261.268750000003</v>
      </c>
      <c r="Z1245" s="168">
        <f t="shared" si="300"/>
        <v>0.25763888889196096</v>
      </c>
      <c r="AA1245" s="169">
        <f t="shared" si="301"/>
        <v>0.27083333333333331</v>
      </c>
      <c r="AB1245" s="170" t="str">
        <f t="shared" si="302"/>
        <v>00:19:00</v>
      </c>
      <c r="AC1245" s="170" t="b">
        <f t="shared" si="303"/>
        <v>1</v>
      </c>
    </row>
    <row r="1246" spans="1:29" s="127" customFormat="1" ht="9.75" hidden="1" customHeight="1" x14ac:dyDescent="0.3">
      <c r="A1246" s="98">
        <v>46261</v>
      </c>
      <c r="B1246" s="48">
        <v>8205651</v>
      </c>
      <c r="C1246" s="49" t="s">
        <v>90</v>
      </c>
      <c r="D1246" s="49" t="s">
        <v>290</v>
      </c>
      <c r="E1246" s="50">
        <v>0.4375</v>
      </c>
      <c r="F1246" s="49" t="s">
        <v>15</v>
      </c>
      <c r="G1246" s="70" t="s">
        <v>13</v>
      </c>
      <c r="H1246" s="51">
        <v>0.43402777777777779</v>
      </c>
      <c r="I1246" s="113" t="str">
        <f t="shared" si="304"/>
        <v>27-08-2026T10:25:00</v>
      </c>
      <c r="J1246" s="51">
        <v>0.65555555555555556</v>
      </c>
      <c r="K1246" s="113" t="str">
        <f t="shared" si="309"/>
        <v>27-08-2026T15:44:00</v>
      </c>
      <c r="L1246" s="52">
        <f t="shared" si="305"/>
        <v>0.22152777777777777</v>
      </c>
      <c r="M1246" s="53">
        <v>0.20833333333333334</v>
      </c>
      <c r="N1246" s="54" t="str">
        <f t="shared" si="306"/>
        <v>-00:19:00</v>
      </c>
      <c r="O1246" s="55">
        <v>200</v>
      </c>
      <c r="P1246" s="147" t="s">
        <v>728</v>
      </c>
      <c r="Q1246" s="56"/>
      <c r="R1246" s="57"/>
      <c r="S1246" s="57"/>
      <c r="T1246" s="58">
        <f t="shared" si="307"/>
        <v>0</v>
      </c>
      <c r="U1246" s="50"/>
      <c r="V1246" s="74">
        <v>0</v>
      </c>
      <c r="W1246" s="50">
        <f t="shared" si="308"/>
        <v>0</v>
      </c>
      <c r="X1246" s="171">
        <v>46261.434027777781</v>
      </c>
      <c r="Y1246" s="171">
        <v>46261.655555555553</v>
      </c>
      <c r="Z1246" s="168">
        <f t="shared" si="300"/>
        <v>0.22152777777228039</v>
      </c>
      <c r="AA1246" s="169">
        <f t="shared" si="301"/>
        <v>0.20833333333333334</v>
      </c>
      <c r="AB1246" s="170" t="str">
        <f t="shared" si="302"/>
        <v>-00:19:00</v>
      </c>
      <c r="AC1246" s="170" t="b">
        <f t="shared" si="303"/>
        <v>1</v>
      </c>
    </row>
    <row r="1247" spans="1:29" s="128" customFormat="1" ht="9.75" hidden="1" customHeight="1" x14ac:dyDescent="0.3">
      <c r="A1247" s="99">
        <v>46261</v>
      </c>
      <c r="B1247" s="59">
        <v>8204626</v>
      </c>
      <c r="C1247" s="60" t="s">
        <v>20</v>
      </c>
      <c r="D1247" s="60" t="s">
        <v>232</v>
      </c>
      <c r="E1247" s="61">
        <v>0.95833333333333337</v>
      </c>
      <c r="F1247" s="60" t="s">
        <v>21</v>
      </c>
      <c r="G1247" s="71" t="s">
        <v>13</v>
      </c>
      <c r="H1247" s="62">
        <v>8.1944444444444445E-2</v>
      </c>
      <c r="I1247" s="113" t="str">
        <f t="shared" si="304"/>
        <v>27-08-2026T01:58:00</v>
      </c>
      <c r="J1247" s="62">
        <v>0.32916666666666666</v>
      </c>
      <c r="K1247" s="62"/>
      <c r="L1247" s="63">
        <f t="shared" si="305"/>
        <v>0.24722222222222223</v>
      </c>
      <c r="M1247" s="64">
        <v>0.25</v>
      </c>
      <c r="N1247" s="65" t="str">
        <f t="shared" si="306"/>
        <v>00:04:00</v>
      </c>
      <c r="O1247" s="66"/>
      <c r="P1247" s="124"/>
      <c r="Q1247" s="67"/>
      <c r="R1247" s="68"/>
      <c r="S1247" s="68"/>
      <c r="T1247" s="69">
        <f t="shared" si="307"/>
        <v>0</v>
      </c>
      <c r="U1247" s="61" t="s">
        <v>234</v>
      </c>
      <c r="V1247" s="83">
        <v>0</v>
      </c>
      <c r="W1247" s="61">
        <f t="shared" si="308"/>
        <v>0</v>
      </c>
      <c r="X1247" s="171">
        <v>46261.081944444442</v>
      </c>
      <c r="Y1247" s="171">
        <v>46261.32916666667</v>
      </c>
      <c r="Z1247" s="168">
        <f t="shared" si="300"/>
        <v>0.24722222222771961</v>
      </c>
      <c r="AA1247" s="169">
        <f t="shared" si="301"/>
        <v>0.25</v>
      </c>
      <c r="AB1247" s="170" t="str">
        <f t="shared" si="302"/>
        <v>00:04:00</v>
      </c>
      <c r="AC1247" s="170" t="b">
        <f t="shared" si="303"/>
        <v>1</v>
      </c>
    </row>
    <row r="1248" spans="1:29" s="128" customFormat="1" ht="9.75" hidden="1" customHeight="1" x14ac:dyDescent="0.3">
      <c r="A1248" s="99">
        <v>46261</v>
      </c>
      <c r="B1248" s="59">
        <v>8206493</v>
      </c>
      <c r="C1248" s="60" t="s">
        <v>20</v>
      </c>
      <c r="D1248" s="60" t="s">
        <v>232</v>
      </c>
      <c r="E1248" s="61">
        <v>0.5</v>
      </c>
      <c r="F1248" s="60" t="s">
        <v>13</v>
      </c>
      <c r="G1248" s="71" t="s">
        <v>21</v>
      </c>
      <c r="H1248" s="62">
        <v>0.71597222222222223</v>
      </c>
      <c r="I1248" s="113" t="str">
        <f t="shared" si="304"/>
        <v>27-08-2026T17:11:00</v>
      </c>
      <c r="J1248" s="62">
        <v>0.96180555555555558</v>
      </c>
      <c r="K1248" s="62"/>
      <c r="L1248" s="63">
        <f t="shared" si="305"/>
        <v>0.24583333333333335</v>
      </c>
      <c r="M1248" s="64">
        <v>0.25</v>
      </c>
      <c r="N1248" s="65" t="str">
        <f t="shared" si="306"/>
        <v>00:06:00</v>
      </c>
      <c r="O1248" s="66"/>
      <c r="P1248" s="124" t="s">
        <v>729</v>
      </c>
      <c r="Q1248" s="67"/>
      <c r="R1248" s="68"/>
      <c r="S1248" s="68"/>
      <c r="T1248" s="69">
        <f t="shared" si="307"/>
        <v>0</v>
      </c>
      <c r="U1248" s="61"/>
      <c r="V1248" s="83">
        <v>0</v>
      </c>
      <c r="W1248" s="61">
        <f t="shared" si="308"/>
        <v>0</v>
      </c>
      <c r="X1248" s="171">
        <v>46261.71597222222</v>
      </c>
      <c r="Y1248" s="171">
        <v>46261.961805555555</v>
      </c>
      <c r="Z1248" s="168">
        <f t="shared" si="300"/>
        <v>0.24583333333430346</v>
      </c>
      <c r="AA1248" s="169">
        <f t="shared" si="301"/>
        <v>0.25</v>
      </c>
      <c r="AB1248" s="170" t="str">
        <f t="shared" si="302"/>
        <v>00:06:00</v>
      </c>
      <c r="AC1248" s="170" t="b">
        <f t="shared" si="303"/>
        <v>1</v>
      </c>
    </row>
    <row r="1249" spans="1:29" s="127" customFormat="1" ht="9.75" hidden="1" customHeight="1" x14ac:dyDescent="0.3">
      <c r="A1249" s="98">
        <v>46261</v>
      </c>
      <c r="B1249" s="48">
        <v>8205950</v>
      </c>
      <c r="C1249" s="49" t="s">
        <v>99</v>
      </c>
      <c r="D1249" s="49" t="s">
        <v>375</v>
      </c>
      <c r="E1249" s="50">
        <v>0.54166666666666663</v>
      </c>
      <c r="F1249" s="49" t="s">
        <v>103</v>
      </c>
      <c r="G1249" s="70" t="s">
        <v>13</v>
      </c>
      <c r="H1249" s="51">
        <v>46261.53402777778</v>
      </c>
      <c r="I1249" s="113" t="str">
        <f t="shared" si="304"/>
        <v>27-08-2026T12:49:00</v>
      </c>
      <c r="J1249" s="51">
        <v>46262.245138888888</v>
      </c>
      <c r="K1249" s="51"/>
      <c r="L1249" s="52">
        <f t="shared" si="305"/>
        <v>0.71111111110803904</v>
      </c>
      <c r="M1249" s="53">
        <v>0.70833333333333337</v>
      </c>
      <c r="N1249" s="54" t="str">
        <f t="shared" si="306"/>
        <v>-00:04:00</v>
      </c>
      <c r="O1249" s="55">
        <v>250</v>
      </c>
      <c r="P1249" s="147" t="s">
        <v>730</v>
      </c>
      <c r="Q1249" s="56" t="s">
        <v>13</v>
      </c>
      <c r="R1249" s="57">
        <v>46262.150694444441</v>
      </c>
      <c r="S1249" s="57">
        <v>46262.23333333333</v>
      </c>
      <c r="T1249" s="58">
        <f t="shared" si="307"/>
        <v>8.2638888889050577E-2</v>
      </c>
      <c r="U1249" s="50" t="s">
        <v>234</v>
      </c>
      <c r="V1249" s="74">
        <v>8.3333333333333329E-2</v>
      </c>
      <c r="W1249" s="50">
        <f t="shared" si="308"/>
        <v>-6.9444444428275187E-4</v>
      </c>
      <c r="X1249" s="171">
        <v>46261.53402777778</v>
      </c>
      <c r="Y1249" s="171">
        <v>46262.245138888888</v>
      </c>
      <c r="Z1249" s="168">
        <f t="shared" si="300"/>
        <v>0.71111111110803904</v>
      </c>
      <c r="AA1249" s="169">
        <f t="shared" si="301"/>
        <v>0.70833333333333337</v>
      </c>
      <c r="AB1249" s="170" t="str">
        <f t="shared" si="302"/>
        <v>-00:04:00</v>
      </c>
      <c r="AC1249" s="170" t="b">
        <f t="shared" si="303"/>
        <v>1</v>
      </c>
    </row>
    <row r="1250" spans="1:29" s="127" customFormat="1" ht="9.75" hidden="1" customHeight="1" x14ac:dyDescent="0.3">
      <c r="A1250" s="98">
        <v>46261</v>
      </c>
      <c r="B1250" s="48">
        <v>8205979</v>
      </c>
      <c r="C1250" s="49" t="s">
        <v>56</v>
      </c>
      <c r="D1250" s="49" t="s">
        <v>735</v>
      </c>
      <c r="E1250" s="50">
        <v>0.54166666666666663</v>
      </c>
      <c r="F1250" s="49" t="s">
        <v>13</v>
      </c>
      <c r="G1250" s="70" t="s">
        <v>15</v>
      </c>
      <c r="H1250" s="51">
        <v>0.54722222222222228</v>
      </c>
      <c r="I1250" s="113" t="str">
        <f t="shared" si="304"/>
        <v>27-08-2026T13:08:00</v>
      </c>
      <c r="J1250" s="51">
        <v>0.79652777777777772</v>
      </c>
      <c r="K1250" s="51"/>
      <c r="L1250" s="52">
        <f t="shared" si="305"/>
        <v>0.24930555555555545</v>
      </c>
      <c r="M1250" s="53">
        <v>0.20833333333333334</v>
      </c>
      <c r="N1250" s="54" t="str">
        <f t="shared" si="306"/>
        <v>-00:59:00</v>
      </c>
      <c r="O1250" s="55">
        <v>250</v>
      </c>
      <c r="P1250" s="147" t="s">
        <v>610</v>
      </c>
      <c r="Q1250" s="56"/>
      <c r="R1250" s="57"/>
      <c r="S1250" s="57"/>
      <c r="T1250" s="58">
        <f t="shared" si="307"/>
        <v>0</v>
      </c>
      <c r="U1250" s="50"/>
      <c r="V1250" s="74">
        <v>0</v>
      </c>
      <c r="W1250" s="50">
        <f t="shared" si="308"/>
        <v>0</v>
      </c>
      <c r="X1250" s="171">
        <v>46261.547222222223</v>
      </c>
      <c r="Y1250" s="171">
        <v>46261.796527777777</v>
      </c>
      <c r="Z1250" s="168">
        <f t="shared" si="300"/>
        <v>0.24930555555329192</v>
      </c>
      <c r="AA1250" s="169">
        <f t="shared" si="301"/>
        <v>0.20833333333333334</v>
      </c>
      <c r="AB1250" s="170" t="str">
        <f t="shared" si="302"/>
        <v>-00:59:00</v>
      </c>
      <c r="AC1250" s="170" t="b">
        <f t="shared" si="303"/>
        <v>1</v>
      </c>
    </row>
    <row r="1251" spans="1:29" s="127" customFormat="1" ht="9.75" hidden="1" customHeight="1" x14ac:dyDescent="0.3">
      <c r="A1251" s="98">
        <v>46261</v>
      </c>
      <c r="B1251" s="48">
        <v>8206302</v>
      </c>
      <c r="C1251" s="49" t="s">
        <v>18</v>
      </c>
      <c r="D1251" s="49" t="s">
        <v>389</v>
      </c>
      <c r="E1251" s="50">
        <v>0.64583333333333337</v>
      </c>
      <c r="F1251" s="49" t="s">
        <v>19</v>
      </c>
      <c r="G1251" s="70" t="s">
        <v>13</v>
      </c>
      <c r="H1251" s="51">
        <v>46261.663194444445</v>
      </c>
      <c r="I1251" s="113" t="str">
        <f t="shared" si="304"/>
        <v>27-08-2026T15:55:00</v>
      </c>
      <c r="J1251" s="51">
        <v>46262.441666666666</v>
      </c>
      <c r="K1251" s="51"/>
      <c r="L1251" s="52">
        <f t="shared" si="305"/>
        <v>0.77847222222044365</v>
      </c>
      <c r="M1251" s="53">
        <v>0.4375</v>
      </c>
      <c r="N1251" s="54" t="str">
        <f t="shared" si="306"/>
        <v>-08:11:00</v>
      </c>
      <c r="O1251" s="55">
        <v>1800</v>
      </c>
      <c r="P1251" s="147" t="s">
        <v>731</v>
      </c>
      <c r="Q1251" s="56" t="s">
        <v>229</v>
      </c>
      <c r="R1251" s="57">
        <v>0.85416666666666663</v>
      </c>
      <c r="S1251" s="57">
        <v>0.91666666666666663</v>
      </c>
      <c r="T1251" s="58">
        <f t="shared" si="307"/>
        <v>6.25E-2</v>
      </c>
      <c r="U1251" s="50"/>
      <c r="V1251" s="74">
        <v>8.3333333333333329E-2</v>
      </c>
      <c r="W1251" s="50">
        <f t="shared" si="308"/>
        <v>-2.0833333333333329E-2</v>
      </c>
      <c r="X1251" s="171">
        <v>46261.663194444445</v>
      </c>
      <c r="Y1251" s="171">
        <v>46262.441666666666</v>
      </c>
      <c r="Z1251" s="168">
        <f t="shared" si="300"/>
        <v>0.77847222222044365</v>
      </c>
      <c r="AA1251" s="169">
        <f t="shared" si="301"/>
        <v>0.4375</v>
      </c>
      <c r="AB1251" s="170" t="str">
        <f t="shared" si="302"/>
        <v>-08:11:00</v>
      </c>
      <c r="AC1251" s="170" t="b">
        <f t="shared" si="303"/>
        <v>1</v>
      </c>
    </row>
    <row r="1252" spans="1:29" s="128" customFormat="1" ht="9.75" hidden="1" customHeight="1" x14ac:dyDescent="0.3">
      <c r="A1252" s="99">
        <v>46261</v>
      </c>
      <c r="B1252" s="59">
        <v>8206478</v>
      </c>
      <c r="C1252" s="60" t="s">
        <v>41</v>
      </c>
      <c r="D1252" s="60" t="s">
        <v>299</v>
      </c>
      <c r="E1252" s="61">
        <v>0.70833333333333337</v>
      </c>
      <c r="F1252" s="60" t="s">
        <v>13</v>
      </c>
      <c r="G1252" s="71" t="s">
        <v>24</v>
      </c>
      <c r="H1252" s="62">
        <v>0.70902777777777781</v>
      </c>
      <c r="I1252" s="113" t="str">
        <f t="shared" si="304"/>
        <v>27-08-2026T17:01:00</v>
      </c>
      <c r="J1252" s="62">
        <v>0.78819444444444442</v>
      </c>
      <c r="K1252" s="62"/>
      <c r="L1252" s="63">
        <f t="shared" ref="L1252:L1257" si="310">J1252-H1252</f>
        <v>7.9166666666666607E-2</v>
      </c>
      <c r="M1252" s="64">
        <v>8.3333333333333329E-2</v>
      </c>
      <c r="N1252" s="65" t="str">
        <f t="shared" ref="N1252:N1257" si="311">IF(M1252-L1252&gt;0,TEXT(M1252-L1252,"HH:MM:SS"),TEXT(ABS(M1252-L1252),"-HH:MM:SS"))</f>
        <v>00:06:00</v>
      </c>
      <c r="O1252" s="66"/>
      <c r="P1252" s="124"/>
      <c r="Q1252" s="67"/>
      <c r="R1252" s="68"/>
      <c r="S1252" s="68"/>
      <c r="T1252" s="69">
        <f t="shared" ref="T1252:T1259" si="312">S1252-R1252</f>
        <v>0</v>
      </c>
      <c r="U1252" s="61" t="s">
        <v>234</v>
      </c>
      <c r="V1252" s="83">
        <v>0</v>
      </c>
      <c r="W1252" s="61">
        <f t="shared" ref="W1252:W1261" si="313">T1252-V1252</f>
        <v>0</v>
      </c>
      <c r="X1252" s="171">
        <v>46261.709027777775</v>
      </c>
      <c r="Y1252" s="171">
        <v>46261.788194444445</v>
      </c>
      <c r="Z1252" s="168">
        <f t="shared" ref="Z1252:Z1289" si="314">Y1252-X1252</f>
        <v>7.9166666670062114E-2</v>
      </c>
      <c r="AA1252" s="169">
        <f t="shared" ref="AA1252:AA1289" si="315">M1252</f>
        <v>8.3333333333333329E-2</v>
      </c>
      <c r="AB1252" s="170" t="str">
        <f t="shared" ref="AB1252:AB1289" si="316">IF(AA1252-Z1252&gt;0,TEXT(AA1252-Z1252,"HH:MM:SS"),TEXT(ABS(AA1252-Z1252),"-HH:MM:SS"))</f>
        <v>00:06:00</v>
      </c>
      <c r="AC1252" s="170" t="b">
        <f t="shared" ref="AC1252:AC1289" si="317">AB1252=N1252</f>
        <v>1</v>
      </c>
    </row>
    <row r="1253" spans="1:29" s="128" customFormat="1" ht="9.75" hidden="1" customHeight="1" x14ac:dyDescent="0.3">
      <c r="A1253" s="99">
        <v>46261</v>
      </c>
      <c r="B1253" s="59">
        <v>8207322</v>
      </c>
      <c r="C1253" s="60" t="s">
        <v>57</v>
      </c>
      <c r="D1253" s="60" t="s">
        <v>370</v>
      </c>
      <c r="E1253" s="61">
        <v>0.70833333333333337</v>
      </c>
      <c r="F1253" s="60" t="s">
        <v>13</v>
      </c>
      <c r="G1253" s="71" t="s">
        <v>24</v>
      </c>
      <c r="H1253" s="62">
        <v>46261.989583333336</v>
      </c>
      <c r="I1253" s="113" t="str">
        <f t="shared" si="304"/>
        <v>27-08-2026T23:45:00</v>
      </c>
      <c r="J1253" s="62">
        <v>46262.069444444445</v>
      </c>
      <c r="K1253" s="62"/>
      <c r="L1253" s="63">
        <f t="shared" si="310"/>
        <v>7.9861111109494232E-2</v>
      </c>
      <c r="M1253" s="64">
        <v>8.3333333333333329E-2</v>
      </c>
      <c r="N1253" s="65" t="str">
        <f t="shared" si="311"/>
        <v>00:05:00</v>
      </c>
      <c r="O1253" s="66"/>
      <c r="P1253" s="124"/>
      <c r="Q1253" s="67"/>
      <c r="R1253" s="68"/>
      <c r="S1253" s="68"/>
      <c r="T1253" s="69">
        <f t="shared" si="312"/>
        <v>0</v>
      </c>
      <c r="U1253" s="61" t="s">
        <v>234</v>
      </c>
      <c r="V1253" s="83">
        <v>0</v>
      </c>
      <c r="W1253" s="61">
        <f t="shared" si="313"/>
        <v>0</v>
      </c>
      <c r="X1253" s="171">
        <v>46261.989583333336</v>
      </c>
      <c r="Y1253" s="171">
        <v>46262.069444444445</v>
      </c>
      <c r="Z1253" s="168">
        <f t="shared" si="314"/>
        <v>7.9861111109494232E-2</v>
      </c>
      <c r="AA1253" s="169">
        <f t="shared" si="315"/>
        <v>8.3333333333333329E-2</v>
      </c>
      <c r="AB1253" s="170" t="str">
        <f t="shared" si="316"/>
        <v>00:05:00</v>
      </c>
      <c r="AC1253" s="170" t="b">
        <f t="shared" si="317"/>
        <v>1</v>
      </c>
    </row>
    <row r="1254" spans="1:29" s="128" customFormat="1" ht="9.75" hidden="1" customHeight="1" x14ac:dyDescent="0.3">
      <c r="A1254" s="99">
        <v>46261</v>
      </c>
      <c r="B1254" s="59">
        <v>8206454</v>
      </c>
      <c r="C1254" s="60" t="s">
        <v>84</v>
      </c>
      <c r="D1254" s="60" t="s">
        <v>301</v>
      </c>
      <c r="E1254" s="61">
        <v>0.70833333333333337</v>
      </c>
      <c r="F1254" s="60" t="s">
        <v>85</v>
      </c>
      <c r="G1254" s="71" t="s">
        <v>13</v>
      </c>
      <c r="H1254" s="62">
        <v>46261.70416666667</v>
      </c>
      <c r="I1254" s="113" t="str">
        <f t="shared" si="304"/>
        <v>27-08-2026T16:54:00</v>
      </c>
      <c r="J1254" s="62">
        <v>46262.018055555556</v>
      </c>
      <c r="K1254" s="62"/>
      <c r="L1254" s="63">
        <f t="shared" si="310"/>
        <v>0.31388888888614019</v>
      </c>
      <c r="M1254" s="64">
        <v>0.33333333333333331</v>
      </c>
      <c r="N1254" s="65" t="str">
        <f t="shared" si="311"/>
        <v>00:28:00</v>
      </c>
      <c r="O1254" s="66"/>
      <c r="P1254" s="124"/>
      <c r="Q1254" s="67" t="s">
        <v>174</v>
      </c>
      <c r="R1254" s="68">
        <v>0.76944444444444449</v>
      </c>
      <c r="S1254" s="68">
        <v>0.78402777777777777</v>
      </c>
      <c r="T1254" s="69">
        <f t="shared" si="312"/>
        <v>1.4583333333333282E-2</v>
      </c>
      <c r="U1254" s="61"/>
      <c r="V1254" s="83">
        <v>4.1666666666666664E-2</v>
      </c>
      <c r="W1254" s="61">
        <f t="shared" si="313"/>
        <v>-2.7083333333333383E-2</v>
      </c>
      <c r="X1254" s="171">
        <v>46261.70416666667</v>
      </c>
      <c r="Y1254" s="171">
        <v>46262.018055555556</v>
      </c>
      <c r="Z1254" s="168">
        <f t="shared" si="314"/>
        <v>0.31388888888614019</v>
      </c>
      <c r="AA1254" s="169">
        <f t="shared" si="315"/>
        <v>0.33333333333333331</v>
      </c>
      <c r="AB1254" s="170" t="str">
        <f t="shared" si="316"/>
        <v>00:28:00</v>
      </c>
      <c r="AC1254" s="170" t="b">
        <f t="shared" si="317"/>
        <v>1</v>
      </c>
    </row>
    <row r="1255" spans="1:29" s="128" customFormat="1" ht="9.75" hidden="1" customHeight="1" x14ac:dyDescent="0.3">
      <c r="A1255" s="99">
        <v>46261</v>
      </c>
      <c r="B1255" s="59">
        <v>8206643</v>
      </c>
      <c r="C1255" s="60" t="s">
        <v>46</v>
      </c>
      <c r="D1255" s="60" t="s">
        <v>374</v>
      </c>
      <c r="E1255" s="61">
        <v>0.70833333333333337</v>
      </c>
      <c r="F1255" s="60" t="s">
        <v>13</v>
      </c>
      <c r="G1255" s="71" t="s">
        <v>23</v>
      </c>
      <c r="H1255" s="62">
        <v>46261.76666666667</v>
      </c>
      <c r="I1255" s="113" t="str">
        <f t="shared" si="304"/>
        <v>27-08-2026T18:24:00</v>
      </c>
      <c r="J1255" s="62">
        <v>46262.793749999997</v>
      </c>
      <c r="K1255" s="62"/>
      <c r="L1255" s="63">
        <f t="shared" si="310"/>
        <v>1.0270833333270275</v>
      </c>
      <c r="M1255" s="244" t="s">
        <v>790</v>
      </c>
      <c r="N1255" s="65" t="str">
        <f t="shared" si="311"/>
        <v>03:21:00</v>
      </c>
      <c r="O1255" s="66"/>
      <c r="P1255" s="124" t="s">
        <v>610</v>
      </c>
      <c r="Q1255" s="67"/>
      <c r="R1255" s="68"/>
      <c r="S1255" s="68"/>
      <c r="T1255" s="69">
        <f t="shared" si="312"/>
        <v>0</v>
      </c>
      <c r="U1255" s="61" t="s">
        <v>234</v>
      </c>
      <c r="V1255" s="83">
        <v>0</v>
      </c>
      <c r="W1255" s="61">
        <f t="shared" si="313"/>
        <v>0</v>
      </c>
      <c r="X1255" s="172">
        <v>46261.76666666667</v>
      </c>
      <c r="Y1255" s="172">
        <v>46262.793749999997</v>
      </c>
      <c r="Z1255" s="173">
        <f t="shared" si="314"/>
        <v>1.0270833333270275</v>
      </c>
      <c r="AA1255" s="174" t="str">
        <f t="shared" si="315"/>
        <v>28:00</v>
      </c>
      <c r="AB1255" s="175" t="str">
        <f t="shared" si="316"/>
        <v>03:21:00</v>
      </c>
      <c r="AC1255" s="175" t="b">
        <f t="shared" si="317"/>
        <v>1</v>
      </c>
    </row>
    <row r="1256" spans="1:29" s="127" customFormat="1" ht="9.75" hidden="1" customHeight="1" x14ac:dyDescent="0.3">
      <c r="A1256" s="98">
        <v>46261</v>
      </c>
      <c r="B1256" s="48">
        <v>8206465</v>
      </c>
      <c r="C1256" s="49" t="s">
        <v>27</v>
      </c>
      <c r="D1256" s="49" t="s">
        <v>378</v>
      </c>
      <c r="E1256" s="50">
        <v>0.70833333333333337</v>
      </c>
      <c r="F1256" s="49" t="s">
        <v>28</v>
      </c>
      <c r="G1256" s="70" t="s">
        <v>13</v>
      </c>
      <c r="H1256" s="51">
        <v>0.70416666666666672</v>
      </c>
      <c r="I1256" s="113" t="str">
        <f t="shared" si="304"/>
        <v>27-08-2026T16:54:00</v>
      </c>
      <c r="J1256" s="51">
        <v>0.87152777777777779</v>
      </c>
      <c r="K1256" s="51"/>
      <c r="L1256" s="52">
        <f t="shared" si="310"/>
        <v>0.16736111111111107</v>
      </c>
      <c r="M1256" s="53">
        <v>0.16666666666666666</v>
      </c>
      <c r="N1256" s="54" t="str">
        <f t="shared" si="311"/>
        <v>-00:01:00</v>
      </c>
      <c r="O1256" s="55">
        <v>150</v>
      </c>
      <c r="P1256" s="147" t="s">
        <v>610</v>
      </c>
      <c r="Q1256" s="56"/>
      <c r="R1256" s="57"/>
      <c r="S1256" s="57"/>
      <c r="T1256" s="58">
        <f t="shared" si="312"/>
        <v>0</v>
      </c>
      <c r="U1256" s="50"/>
      <c r="V1256" s="74">
        <v>0</v>
      </c>
      <c r="W1256" s="50">
        <f t="shared" si="313"/>
        <v>0</v>
      </c>
      <c r="X1256" s="171">
        <v>46261.70416666667</v>
      </c>
      <c r="Y1256" s="171">
        <v>46261.871527777781</v>
      </c>
      <c r="Z1256" s="168">
        <f t="shared" si="314"/>
        <v>0.16736111111094942</v>
      </c>
      <c r="AA1256" s="169">
        <f t="shared" si="315"/>
        <v>0.16666666666666666</v>
      </c>
      <c r="AB1256" s="170" t="str">
        <f t="shared" si="316"/>
        <v>-00:01:00</v>
      </c>
      <c r="AC1256" s="170" t="b">
        <f t="shared" si="317"/>
        <v>1</v>
      </c>
    </row>
    <row r="1257" spans="1:29" s="128" customFormat="1" ht="9.75" hidden="1" customHeight="1" x14ac:dyDescent="0.3">
      <c r="A1257" s="99">
        <v>46261</v>
      </c>
      <c r="B1257" s="59">
        <v>8206554</v>
      </c>
      <c r="C1257" s="60" t="s">
        <v>89</v>
      </c>
      <c r="D1257" s="60" t="s">
        <v>294</v>
      </c>
      <c r="E1257" s="61">
        <v>0.75</v>
      </c>
      <c r="F1257" s="60" t="s">
        <v>35</v>
      </c>
      <c r="G1257" s="71" t="s">
        <v>13</v>
      </c>
      <c r="H1257" s="62">
        <v>0.74236111111111114</v>
      </c>
      <c r="I1257" s="113" t="str">
        <f t="shared" si="304"/>
        <v>27-08-2026T17:49:00</v>
      </c>
      <c r="J1257" s="62">
        <v>0.77083333333333337</v>
      </c>
      <c r="K1257" s="62"/>
      <c r="L1257" s="63">
        <f t="shared" si="310"/>
        <v>2.8472222222222232E-2</v>
      </c>
      <c r="M1257" s="64">
        <v>4.1666666666666664E-2</v>
      </c>
      <c r="N1257" s="65" t="str">
        <f t="shared" si="311"/>
        <v>00:19:00</v>
      </c>
      <c r="O1257" s="66"/>
      <c r="P1257" s="124"/>
      <c r="Q1257" s="67"/>
      <c r="R1257" s="68"/>
      <c r="S1257" s="68"/>
      <c r="T1257" s="69">
        <f t="shared" si="312"/>
        <v>0</v>
      </c>
      <c r="U1257" s="61"/>
      <c r="V1257" s="83">
        <v>0</v>
      </c>
      <c r="W1257" s="61">
        <f t="shared" si="313"/>
        <v>0</v>
      </c>
      <c r="X1257" s="171">
        <v>46261.742361111108</v>
      </c>
      <c r="Y1257" s="171">
        <v>46261.770833333336</v>
      </c>
      <c r="Z1257" s="168">
        <f t="shared" si="314"/>
        <v>2.8472222227719612E-2</v>
      </c>
      <c r="AA1257" s="169">
        <f t="shared" si="315"/>
        <v>4.1666666666666664E-2</v>
      </c>
      <c r="AB1257" s="170" t="str">
        <f t="shared" si="316"/>
        <v>00:19:00</v>
      </c>
      <c r="AC1257" s="170" t="b">
        <f t="shared" si="317"/>
        <v>1</v>
      </c>
    </row>
    <row r="1258" spans="1:29" s="128" customFormat="1" ht="9.75" hidden="1" customHeight="1" x14ac:dyDescent="0.3">
      <c r="A1258" s="99">
        <v>46261</v>
      </c>
      <c r="B1258" s="59">
        <v>8206809</v>
      </c>
      <c r="C1258" s="60" t="s">
        <v>32</v>
      </c>
      <c r="D1258" s="60" t="s">
        <v>476</v>
      </c>
      <c r="E1258" s="61">
        <v>0.83333333333333337</v>
      </c>
      <c r="F1258" s="60" t="s">
        <v>287</v>
      </c>
      <c r="G1258" s="71" t="s">
        <v>13</v>
      </c>
      <c r="H1258" s="62">
        <v>0.82013888888888886</v>
      </c>
      <c r="I1258" s="113" t="str">
        <f t="shared" si="304"/>
        <v>27-08-2026T19:41:00</v>
      </c>
      <c r="J1258" s="62">
        <v>0.95763888888888893</v>
      </c>
      <c r="K1258" s="62"/>
      <c r="L1258" s="63">
        <f t="shared" ref="L1258:L1292" si="318">J1258-H1258</f>
        <v>0.13750000000000007</v>
      </c>
      <c r="M1258" s="64">
        <v>0.14583333333333334</v>
      </c>
      <c r="N1258" s="65" t="str">
        <f t="shared" ref="N1258:N1292" si="319">IF(M1258-L1258&gt;0,TEXT(M1258-L1258,"HH:MM:SS"),TEXT(ABS(M1258-L1258),"-HH:MM:SS"))</f>
        <v>00:12:00</v>
      </c>
      <c r="O1258" s="66"/>
      <c r="P1258" s="124"/>
      <c r="Q1258" s="67"/>
      <c r="R1258" s="68"/>
      <c r="S1258" s="68"/>
      <c r="T1258" s="69">
        <f t="shared" si="312"/>
        <v>0</v>
      </c>
      <c r="U1258" s="61"/>
      <c r="V1258" s="83">
        <v>0</v>
      </c>
      <c r="W1258" s="61">
        <f t="shared" si="313"/>
        <v>0</v>
      </c>
      <c r="X1258" s="171">
        <v>46261.820138888892</v>
      </c>
      <c r="Y1258" s="171">
        <v>46261.957638888889</v>
      </c>
      <c r="Z1258" s="168">
        <f t="shared" si="314"/>
        <v>0.13749999999708962</v>
      </c>
      <c r="AA1258" s="169">
        <f t="shared" si="315"/>
        <v>0.14583333333333334</v>
      </c>
      <c r="AB1258" s="170" t="str">
        <f t="shared" si="316"/>
        <v>00:12:00</v>
      </c>
      <c r="AC1258" s="170" t="b">
        <f t="shared" si="317"/>
        <v>1</v>
      </c>
    </row>
    <row r="1259" spans="1:29" s="127" customFormat="1" ht="9.75" hidden="1" customHeight="1" x14ac:dyDescent="0.3">
      <c r="A1259" s="98">
        <v>46261</v>
      </c>
      <c r="B1259" s="48">
        <v>8207029</v>
      </c>
      <c r="C1259" s="49" t="s">
        <v>52</v>
      </c>
      <c r="D1259" s="49" t="s">
        <v>616</v>
      </c>
      <c r="E1259" s="50">
        <v>0.875</v>
      </c>
      <c r="F1259" s="49" t="s">
        <v>13</v>
      </c>
      <c r="G1259" s="70" t="s">
        <v>15</v>
      </c>
      <c r="H1259" s="51">
        <v>46261.875</v>
      </c>
      <c r="I1259" s="113" t="str">
        <f t="shared" si="304"/>
        <v>27-08-2026T21:00:00</v>
      </c>
      <c r="J1259" s="51">
        <v>46262.086111111108</v>
      </c>
      <c r="K1259" s="51"/>
      <c r="L1259" s="52">
        <f t="shared" si="318"/>
        <v>0.21111111110803904</v>
      </c>
      <c r="M1259" s="53">
        <v>0.20833333333333334</v>
      </c>
      <c r="N1259" s="54" t="str">
        <f t="shared" si="319"/>
        <v>-00:04:00</v>
      </c>
      <c r="O1259" s="55">
        <v>250</v>
      </c>
      <c r="P1259" s="147" t="s">
        <v>610</v>
      </c>
      <c r="Q1259" s="56"/>
      <c r="R1259" s="57"/>
      <c r="S1259" s="57"/>
      <c r="T1259" s="58">
        <f t="shared" si="312"/>
        <v>0</v>
      </c>
      <c r="U1259" s="50"/>
      <c r="V1259" s="74">
        <v>0</v>
      </c>
      <c r="W1259" s="50">
        <f t="shared" si="313"/>
        <v>0</v>
      </c>
      <c r="X1259" s="171">
        <v>46261.875</v>
      </c>
      <c r="Y1259" s="171">
        <v>46262.086111111108</v>
      </c>
      <c r="Z1259" s="168">
        <f t="shared" si="314"/>
        <v>0.21111111110803904</v>
      </c>
      <c r="AA1259" s="169">
        <f t="shared" si="315"/>
        <v>0.20833333333333334</v>
      </c>
      <c r="AB1259" s="170" t="str">
        <f t="shared" si="316"/>
        <v>-00:04:00</v>
      </c>
      <c r="AC1259" s="170" t="b">
        <f t="shared" si="317"/>
        <v>1</v>
      </c>
    </row>
    <row r="1260" spans="1:29" s="128" customFormat="1" ht="9.75" hidden="1" customHeight="1" x14ac:dyDescent="0.3">
      <c r="A1260" s="99">
        <v>46261</v>
      </c>
      <c r="B1260" s="59">
        <v>8207036</v>
      </c>
      <c r="C1260" s="60" t="s">
        <v>42</v>
      </c>
      <c r="D1260" s="60" t="s">
        <v>181</v>
      </c>
      <c r="E1260" s="61">
        <v>0.875</v>
      </c>
      <c r="F1260" s="60" t="s">
        <v>55</v>
      </c>
      <c r="G1260" s="71" t="s">
        <v>13</v>
      </c>
      <c r="H1260" s="62">
        <v>0.87638888888888888</v>
      </c>
      <c r="I1260" s="113" t="str">
        <f t="shared" si="304"/>
        <v>27-08-2026T21:02:00</v>
      </c>
      <c r="J1260" s="62">
        <v>0.92777777777777781</v>
      </c>
      <c r="K1260" s="62"/>
      <c r="L1260" s="63">
        <f t="shared" si="318"/>
        <v>5.1388888888888928E-2</v>
      </c>
      <c r="M1260" s="64">
        <v>6.25E-2</v>
      </c>
      <c r="N1260" s="65" t="str">
        <f t="shared" si="319"/>
        <v>00:16:00</v>
      </c>
      <c r="O1260" s="66"/>
      <c r="P1260" s="124"/>
      <c r="Q1260" s="67"/>
      <c r="R1260" s="68"/>
      <c r="S1260" s="68"/>
      <c r="T1260" s="69">
        <f t="shared" ref="T1260:T1293" si="320">S1260-R1260</f>
        <v>0</v>
      </c>
      <c r="U1260" s="61"/>
      <c r="V1260" s="83">
        <v>0</v>
      </c>
      <c r="W1260" s="61">
        <f t="shared" si="313"/>
        <v>0</v>
      </c>
      <c r="X1260" s="171">
        <v>46261.876388888886</v>
      </c>
      <c r="Y1260" s="171">
        <v>46261.927777777775</v>
      </c>
      <c r="Z1260" s="168">
        <f t="shared" si="314"/>
        <v>5.1388888889050577E-2</v>
      </c>
      <c r="AA1260" s="169">
        <f t="shared" si="315"/>
        <v>6.25E-2</v>
      </c>
      <c r="AB1260" s="170" t="str">
        <f t="shared" si="316"/>
        <v>00:16:00</v>
      </c>
      <c r="AC1260" s="170" t="b">
        <f t="shared" si="317"/>
        <v>1</v>
      </c>
    </row>
    <row r="1261" spans="1:29" s="128" customFormat="1" ht="9.75" hidden="1" customHeight="1" x14ac:dyDescent="0.3">
      <c r="A1261" s="99">
        <v>46261</v>
      </c>
      <c r="B1261" s="59">
        <v>8206829</v>
      </c>
      <c r="C1261" s="60" t="s">
        <v>54</v>
      </c>
      <c r="D1261" s="60" t="s">
        <v>288</v>
      </c>
      <c r="E1261" s="61">
        <v>0.875</v>
      </c>
      <c r="F1261" s="60" t="s">
        <v>24</v>
      </c>
      <c r="G1261" s="71" t="s">
        <v>13</v>
      </c>
      <c r="H1261" s="62">
        <v>0.82361111111111107</v>
      </c>
      <c r="I1261" s="113" t="str">
        <f t="shared" si="304"/>
        <v>27-08-2026T19:46:00</v>
      </c>
      <c r="J1261" s="62">
        <v>0.90138888888888891</v>
      </c>
      <c r="K1261" s="62"/>
      <c r="L1261" s="63">
        <f t="shared" si="318"/>
        <v>7.7777777777777835E-2</v>
      </c>
      <c r="M1261" s="64">
        <v>8.3333333333333329E-2</v>
      </c>
      <c r="N1261" s="65" t="str">
        <f t="shared" si="319"/>
        <v>00:08:00</v>
      </c>
      <c r="O1261" s="66"/>
      <c r="P1261" s="124"/>
      <c r="Q1261" s="67"/>
      <c r="R1261" s="68"/>
      <c r="S1261" s="68"/>
      <c r="T1261" s="69">
        <f t="shared" si="320"/>
        <v>0</v>
      </c>
      <c r="U1261" s="61"/>
      <c r="V1261" s="83">
        <v>0</v>
      </c>
      <c r="W1261" s="61">
        <f t="shared" si="313"/>
        <v>0</v>
      </c>
      <c r="X1261" s="171">
        <v>46261.823611111111</v>
      </c>
      <c r="Y1261" s="171">
        <v>46261.901388888888</v>
      </c>
      <c r="Z1261" s="168">
        <f t="shared" si="314"/>
        <v>7.7777777776645962E-2</v>
      </c>
      <c r="AA1261" s="169">
        <f t="shared" si="315"/>
        <v>8.3333333333333329E-2</v>
      </c>
      <c r="AB1261" s="170" t="str">
        <f t="shared" si="316"/>
        <v>00:08:00</v>
      </c>
      <c r="AC1261" s="170" t="b">
        <f t="shared" si="317"/>
        <v>1</v>
      </c>
    </row>
    <row r="1262" spans="1:29" s="127" customFormat="1" ht="9.75" hidden="1" customHeight="1" x14ac:dyDescent="0.3">
      <c r="A1262" s="98">
        <v>46261</v>
      </c>
      <c r="B1262" s="48">
        <v>8207350</v>
      </c>
      <c r="C1262" s="49" t="s">
        <v>56</v>
      </c>
      <c r="D1262" s="49" t="s">
        <v>735</v>
      </c>
      <c r="E1262" s="50">
        <v>0.99930555555555556</v>
      </c>
      <c r="F1262" s="49" t="s">
        <v>15</v>
      </c>
      <c r="G1262" s="70" t="s">
        <v>13</v>
      </c>
      <c r="H1262" s="51">
        <v>46261.997916666667</v>
      </c>
      <c r="I1262" s="113" t="str">
        <f t="shared" si="304"/>
        <v>27-08-2026T23:57:00</v>
      </c>
      <c r="J1262" s="51">
        <v>46262.225694444445</v>
      </c>
      <c r="K1262" s="51"/>
      <c r="L1262" s="52">
        <f t="shared" si="318"/>
        <v>0.22777777777810115</v>
      </c>
      <c r="M1262" s="53">
        <v>0.20833333333333334</v>
      </c>
      <c r="N1262" s="54" t="str">
        <f t="shared" si="319"/>
        <v>-00:28:00</v>
      </c>
      <c r="O1262" s="55">
        <v>250</v>
      </c>
      <c r="P1262" s="147" t="s">
        <v>610</v>
      </c>
      <c r="Q1262" s="56"/>
      <c r="R1262" s="57"/>
      <c r="S1262" s="57"/>
      <c r="T1262" s="58">
        <f t="shared" si="320"/>
        <v>0</v>
      </c>
      <c r="U1262" s="50"/>
      <c r="V1262" s="74">
        <v>0</v>
      </c>
      <c r="W1262" s="50">
        <f t="shared" ref="W1262:W1298" si="321">T1262-V1262</f>
        <v>0</v>
      </c>
      <c r="X1262" s="171">
        <v>46261.997916666667</v>
      </c>
      <c r="Y1262" s="171">
        <v>46262.225694444445</v>
      </c>
      <c r="Z1262" s="168">
        <f t="shared" si="314"/>
        <v>0.22777777777810115</v>
      </c>
      <c r="AA1262" s="169">
        <f t="shared" si="315"/>
        <v>0.20833333333333334</v>
      </c>
      <c r="AB1262" s="170" t="str">
        <f t="shared" si="316"/>
        <v>-00:28:00</v>
      </c>
      <c r="AC1262" s="170" t="b">
        <f t="shared" si="317"/>
        <v>1</v>
      </c>
    </row>
    <row r="1263" spans="1:29" s="128" customFormat="1" ht="9.75" hidden="1" customHeight="1" x14ac:dyDescent="0.3">
      <c r="A1263" s="99">
        <v>46261</v>
      </c>
      <c r="B1263" s="59">
        <v>8204957</v>
      </c>
      <c r="C1263" s="60" t="s">
        <v>22</v>
      </c>
      <c r="D1263" s="60" t="s">
        <v>385</v>
      </c>
      <c r="E1263" s="61" t="s">
        <v>184</v>
      </c>
      <c r="F1263" s="60" t="s">
        <v>679</v>
      </c>
      <c r="G1263" s="71" t="s">
        <v>13</v>
      </c>
      <c r="H1263" s="62">
        <v>46261.198611111111</v>
      </c>
      <c r="I1263" s="113" t="str">
        <f t="shared" si="304"/>
        <v>27-08-2026T04:46:00</v>
      </c>
      <c r="J1263" s="62">
        <v>46262.836805555555</v>
      </c>
      <c r="K1263" s="62"/>
      <c r="L1263" s="63">
        <f t="shared" si="318"/>
        <v>1.6381944444437977</v>
      </c>
      <c r="M1263" s="64">
        <v>1.6666666666666667</v>
      </c>
      <c r="N1263" s="65" t="str">
        <f t="shared" si="319"/>
        <v>00:41:00</v>
      </c>
      <c r="O1263" s="66"/>
      <c r="P1263" s="124"/>
      <c r="Q1263" s="67"/>
      <c r="R1263" s="68"/>
      <c r="S1263" s="68"/>
      <c r="T1263" s="69">
        <f t="shared" si="320"/>
        <v>0</v>
      </c>
      <c r="U1263" s="61"/>
      <c r="V1263" s="83">
        <v>0</v>
      </c>
      <c r="W1263" s="61">
        <f t="shared" si="321"/>
        <v>0</v>
      </c>
      <c r="X1263" s="171">
        <v>46261.198611111111</v>
      </c>
      <c r="Y1263" s="171">
        <v>46262.836805555555</v>
      </c>
      <c r="Z1263" s="168">
        <f t="shared" si="314"/>
        <v>1.6381944444437977</v>
      </c>
      <c r="AA1263" s="169">
        <f t="shared" si="315"/>
        <v>1.6666666666666667</v>
      </c>
      <c r="AB1263" s="170" t="str">
        <f t="shared" si="316"/>
        <v>00:41:00</v>
      </c>
      <c r="AC1263" s="170" t="b">
        <f t="shared" si="317"/>
        <v>1</v>
      </c>
    </row>
    <row r="1264" spans="1:29" s="144" customFormat="1" ht="9.75" hidden="1" customHeight="1" x14ac:dyDescent="0.3">
      <c r="A1264" s="129">
        <v>46262</v>
      </c>
      <c r="B1264" s="130">
        <v>8207467</v>
      </c>
      <c r="C1264" s="131" t="s">
        <v>25</v>
      </c>
      <c r="D1264" s="131" t="s">
        <v>718</v>
      </c>
      <c r="E1264" s="132">
        <v>6.25E-2</v>
      </c>
      <c r="F1264" s="131" t="s">
        <v>13</v>
      </c>
      <c r="G1264" s="133" t="s">
        <v>26</v>
      </c>
      <c r="H1264" s="134">
        <v>7.9166666666666663E-2</v>
      </c>
      <c r="I1264" s="113" t="str">
        <f t="shared" si="304"/>
        <v>28-08-2026T01:54:00</v>
      </c>
      <c r="J1264" s="134">
        <v>0.54305555555555551</v>
      </c>
      <c r="K1264" s="134"/>
      <c r="L1264" s="135">
        <f t="shared" si="318"/>
        <v>0.46388888888888885</v>
      </c>
      <c r="M1264" s="136">
        <v>0.41666666666666669</v>
      </c>
      <c r="N1264" s="137" t="str">
        <f t="shared" si="319"/>
        <v>-01:08:00</v>
      </c>
      <c r="O1264" s="138"/>
      <c r="P1264" s="145" t="s">
        <v>567</v>
      </c>
      <c r="Q1264" s="140" t="s">
        <v>179</v>
      </c>
      <c r="R1264" s="141">
        <v>0.25</v>
      </c>
      <c r="S1264" s="141">
        <v>0.36805555555555558</v>
      </c>
      <c r="T1264" s="142">
        <f t="shared" si="320"/>
        <v>0.11805555555555558</v>
      </c>
      <c r="U1264" s="132"/>
      <c r="V1264" s="143">
        <v>4.1666666666666664E-2</v>
      </c>
      <c r="W1264" s="132">
        <f t="shared" si="321"/>
        <v>7.6388888888888923E-2</v>
      </c>
      <c r="X1264" s="171">
        <v>46262.07916666667</v>
      </c>
      <c r="Y1264" s="171">
        <v>46262.543055555558</v>
      </c>
      <c r="Z1264" s="168">
        <f t="shared" si="314"/>
        <v>0.46388888888759539</v>
      </c>
      <c r="AA1264" s="169">
        <f t="shared" si="315"/>
        <v>0.41666666666666669</v>
      </c>
      <c r="AB1264" s="170" t="str">
        <f t="shared" si="316"/>
        <v>-01:08:00</v>
      </c>
      <c r="AC1264" s="170" t="b">
        <f t="shared" si="317"/>
        <v>1</v>
      </c>
    </row>
    <row r="1265" spans="1:30" s="128" customFormat="1" ht="9.75" hidden="1" customHeight="1" x14ac:dyDescent="0.3">
      <c r="A1265" s="99">
        <v>46262</v>
      </c>
      <c r="B1265" s="59">
        <v>8207493</v>
      </c>
      <c r="C1265" s="60" t="s">
        <v>53</v>
      </c>
      <c r="D1265" s="60" t="s">
        <v>298</v>
      </c>
      <c r="E1265" s="61">
        <v>8.3333333333333329E-2</v>
      </c>
      <c r="F1265" s="60" t="s">
        <v>13</v>
      </c>
      <c r="G1265" s="71" t="s">
        <v>19</v>
      </c>
      <c r="H1265" s="62">
        <v>8.3333333333333329E-2</v>
      </c>
      <c r="I1265" s="113" t="str">
        <f t="shared" si="304"/>
        <v>28-08-2026T02:00:00</v>
      </c>
      <c r="J1265" s="62">
        <v>0.5</v>
      </c>
      <c r="K1265" s="62"/>
      <c r="L1265" s="63">
        <f t="shared" si="318"/>
        <v>0.41666666666666669</v>
      </c>
      <c r="M1265" s="64">
        <v>0.41666666666666669</v>
      </c>
      <c r="N1265" s="65" t="str">
        <f t="shared" si="319"/>
        <v>-00:00:00</v>
      </c>
      <c r="O1265" s="66"/>
      <c r="P1265" s="124" t="s">
        <v>733</v>
      </c>
      <c r="Q1265" s="67" t="s">
        <v>305</v>
      </c>
      <c r="R1265" s="68">
        <v>0.375</v>
      </c>
      <c r="S1265" s="68">
        <v>0.41666666666666669</v>
      </c>
      <c r="T1265" s="69">
        <f t="shared" si="320"/>
        <v>4.1666666666666685E-2</v>
      </c>
      <c r="U1265" s="61" t="s">
        <v>234</v>
      </c>
      <c r="V1265" s="83">
        <v>6.25E-2</v>
      </c>
      <c r="W1265" s="61">
        <f t="shared" si="321"/>
        <v>-2.0833333333333315E-2</v>
      </c>
      <c r="X1265" s="171">
        <v>46262.083333333336</v>
      </c>
      <c r="Y1265" s="171">
        <v>46262.5</v>
      </c>
      <c r="Z1265" s="168">
        <f t="shared" si="314"/>
        <v>0.41666666666424135</v>
      </c>
      <c r="AA1265" s="169">
        <f t="shared" si="315"/>
        <v>0.41666666666666669</v>
      </c>
      <c r="AB1265" s="170" t="str">
        <f t="shared" si="316"/>
        <v>00:00:00</v>
      </c>
      <c r="AC1265" s="170" t="b">
        <f t="shared" si="317"/>
        <v>0</v>
      </c>
      <c r="AD1265" s="128">
        <v>0</v>
      </c>
    </row>
    <row r="1266" spans="1:30" s="128" customFormat="1" ht="9.75" hidden="1" customHeight="1" x14ac:dyDescent="0.3">
      <c r="A1266" s="99">
        <v>46262</v>
      </c>
      <c r="B1266" s="59">
        <v>8207484</v>
      </c>
      <c r="C1266" s="60" t="s">
        <v>29</v>
      </c>
      <c r="D1266" s="60" t="s">
        <v>373</v>
      </c>
      <c r="E1266" s="61">
        <v>8.3333333333333329E-2</v>
      </c>
      <c r="F1266" s="60" t="s">
        <v>15</v>
      </c>
      <c r="G1266" s="71" t="s">
        <v>17</v>
      </c>
      <c r="H1266" s="62">
        <v>8.1944444444444445E-2</v>
      </c>
      <c r="I1266" s="113" t="str">
        <f t="shared" si="304"/>
        <v>28-08-2026T01:58:00</v>
      </c>
      <c r="J1266" s="62">
        <v>0.49305555555555558</v>
      </c>
      <c r="K1266" s="62"/>
      <c r="L1266" s="63">
        <f t="shared" si="318"/>
        <v>0.41111111111111115</v>
      </c>
      <c r="M1266" s="64">
        <v>0.41666666666666669</v>
      </c>
      <c r="N1266" s="65" t="str">
        <f t="shared" si="319"/>
        <v>00:08:00</v>
      </c>
      <c r="O1266" s="66"/>
      <c r="P1266" s="124"/>
      <c r="Q1266" s="67"/>
      <c r="R1266" s="68"/>
      <c r="S1266" s="68"/>
      <c r="T1266" s="69">
        <f t="shared" si="320"/>
        <v>0</v>
      </c>
      <c r="U1266" s="61" t="s">
        <v>234</v>
      </c>
      <c r="V1266" s="83">
        <v>0</v>
      </c>
      <c r="W1266" s="61">
        <f t="shared" si="321"/>
        <v>0</v>
      </c>
      <c r="X1266" s="171">
        <v>8.1944444444444445E-2</v>
      </c>
      <c r="Y1266" s="171">
        <v>0.49305555555555558</v>
      </c>
      <c r="Z1266" s="168">
        <f t="shared" si="314"/>
        <v>0.41111111111111115</v>
      </c>
      <c r="AA1266" s="169">
        <f t="shared" si="315"/>
        <v>0.41666666666666669</v>
      </c>
      <c r="AB1266" s="170" t="str">
        <f t="shared" si="316"/>
        <v>00:08:00</v>
      </c>
      <c r="AC1266" s="170" t="b">
        <f t="shared" si="317"/>
        <v>1</v>
      </c>
    </row>
    <row r="1267" spans="1:30" s="128" customFormat="1" ht="9.75" hidden="1" customHeight="1" x14ac:dyDescent="0.3">
      <c r="A1267" s="99">
        <v>46262</v>
      </c>
      <c r="B1267" s="59">
        <v>8207600</v>
      </c>
      <c r="C1267" s="60" t="s">
        <v>97</v>
      </c>
      <c r="D1267" s="60" t="s">
        <v>468</v>
      </c>
      <c r="E1267" s="61">
        <v>0.125</v>
      </c>
      <c r="F1267" s="60" t="s">
        <v>23</v>
      </c>
      <c r="G1267" s="71" t="s">
        <v>13</v>
      </c>
      <c r="H1267" s="62">
        <v>46262.134722222225</v>
      </c>
      <c r="I1267" s="113" t="str">
        <f t="shared" si="304"/>
        <v>28-08-2026T03:14:00</v>
      </c>
      <c r="J1267" s="62">
        <v>46263.370138888888</v>
      </c>
      <c r="K1267" s="62"/>
      <c r="L1267" s="63">
        <f t="shared" si="318"/>
        <v>1.2354166666627862</v>
      </c>
      <c r="M1267" s="64">
        <v>1.0833333333333333</v>
      </c>
      <c r="N1267" s="65" t="str">
        <f t="shared" si="319"/>
        <v>-03:39:00</v>
      </c>
      <c r="O1267" s="66"/>
      <c r="P1267" s="124" t="s">
        <v>714</v>
      </c>
      <c r="Q1267" s="67" t="s">
        <v>13</v>
      </c>
      <c r="R1267" s="68">
        <v>46263.230555555558</v>
      </c>
      <c r="S1267" s="68">
        <v>46263.363888888889</v>
      </c>
      <c r="T1267" s="69">
        <f t="shared" si="320"/>
        <v>0.13333333333139308</v>
      </c>
      <c r="U1267" s="61"/>
      <c r="V1267" s="83">
        <v>8.3333333333333329E-2</v>
      </c>
      <c r="W1267" s="61">
        <f t="shared" si="321"/>
        <v>4.9999999998059749E-2</v>
      </c>
      <c r="X1267" s="172">
        <v>46262.134722222225</v>
      </c>
      <c r="Y1267" s="172">
        <v>46263.370138888888</v>
      </c>
      <c r="Z1267" s="173">
        <f t="shared" si="314"/>
        <v>1.2354166666627862</v>
      </c>
      <c r="AA1267" s="174">
        <f t="shared" si="315"/>
        <v>1.0833333333333333</v>
      </c>
      <c r="AB1267" s="175" t="str">
        <f t="shared" si="316"/>
        <v>-03:39:00</v>
      </c>
      <c r="AC1267" s="175" t="b">
        <f t="shared" si="317"/>
        <v>1</v>
      </c>
    </row>
    <row r="1268" spans="1:30" s="128" customFormat="1" ht="9.75" hidden="1" customHeight="1" x14ac:dyDescent="0.3">
      <c r="A1268" s="99">
        <v>46262</v>
      </c>
      <c r="B1268" s="59">
        <v>8207534</v>
      </c>
      <c r="C1268" s="60" t="s">
        <v>41</v>
      </c>
      <c r="D1268" s="60" t="s">
        <v>299</v>
      </c>
      <c r="E1268" s="61">
        <v>0.125</v>
      </c>
      <c r="F1268" s="60" t="s">
        <v>24</v>
      </c>
      <c r="G1268" s="71" t="s">
        <v>13</v>
      </c>
      <c r="H1268" s="62">
        <v>0.1111111111111111</v>
      </c>
      <c r="I1268" s="113" t="str">
        <f t="shared" si="304"/>
        <v>28-08-2026T02:40:00</v>
      </c>
      <c r="J1268" s="62">
        <v>0.18055555555555555</v>
      </c>
      <c r="K1268" s="62"/>
      <c r="L1268" s="63">
        <f t="shared" si="318"/>
        <v>6.9444444444444448E-2</v>
      </c>
      <c r="M1268" s="64">
        <v>8.3333333333333329E-2</v>
      </c>
      <c r="N1268" s="65" t="str">
        <f t="shared" si="319"/>
        <v>00:20:00</v>
      </c>
      <c r="O1268" s="66"/>
      <c r="P1268" s="124"/>
      <c r="Q1268" s="67"/>
      <c r="R1268" s="68"/>
      <c r="S1268" s="68"/>
      <c r="T1268" s="69">
        <f t="shared" si="320"/>
        <v>0</v>
      </c>
      <c r="U1268" s="61"/>
      <c r="V1268" s="83">
        <v>0</v>
      </c>
      <c r="W1268" s="61">
        <f t="shared" si="321"/>
        <v>0</v>
      </c>
      <c r="X1268" s="171">
        <v>46262.111111111109</v>
      </c>
      <c r="Y1268" s="171">
        <v>46262.180555555555</v>
      </c>
      <c r="Z1268" s="168">
        <f t="shared" si="314"/>
        <v>6.9444444445252884E-2</v>
      </c>
      <c r="AA1268" s="169">
        <f t="shared" si="315"/>
        <v>8.3333333333333329E-2</v>
      </c>
      <c r="AB1268" s="170" t="str">
        <f t="shared" si="316"/>
        <v>00:20:00</v>
      </c>
      <c r="AC1268" s="170" t="b">
        <f t="shared" si="317"/>
        <v>1</v>
      </c>
    </row>
    <row r="1269" spans="1:30" s="128" customFormat="1" ht="9.75" hidden="1" customHeight="1" x14ac:dyDescent="0.3">
      <c r="A1269" s="99">
        <v>46262</v>
      </c>
      <c r="B1269" s="59">
        <v>8208137</v>
      </c>
      <c r="C1269" s="60" t="s">
        <v>57</v>
      </c>
      <c r="D1269" s="60" t="s">
        <v>370</v>
      </c>
      <c r="E1269" s="61">
        <v>0.125</v>
      </c>
      <c r="F1269" s="60" t="s">
        <v>24</v>
      </c>
      <c r="G1269" s="71" t="s">
        <v>13</v>
      </c>
      <c r="H1269" s="62">
        <v>0.28402777777777777</v>
      </c>
      <c r="I1269" s="113" t="str">
        <f t="shared" si="304"/>
        <v>28-08-2026T06:49:00</v>
      </c>
      <c r="J1269" s="62">
        <v>0.35486111111111113</v>
      </c>
      <c r="K1269" s="62"/>
      <c r="L1269" s="63">
        <f t="shared" si="318"/>
        <v>7.0833333333333359E-2</v>
      </c>
      <c r="M1269" s="64">
        <v>8.3333333333333329E-2</v>
      </c>
      <c r="N1269" s="65" t="str">
        <f t="shared" si="319"/>
        <v>00:18:00</v>
      </c>
      <c r="O1269" s="66"/>
      <c r="P1269" s="124"/>
      <c r="Q1269" s="67"/>
      <c r="R1269" s="68"/>
      <c r="S1269" s="68"/>
      <c r="T1269" s="69">
        <f t="shared" si="320"/>
        <v>0</v>
      </c>
      <c r="U1269" s="61" t="s">
        <v>234</v>
      </c>
      <c r="V1269" s="83">
        <v>0</v>
      </c>
      <c r="W1269" s="61">
        <f t="shared" si="321"/>
        <v>0</v>
      </c>
      <c r="X1269" s="171">
        <v>46262.28402777778</v>
      </c>
      <c r="Y1269" s="171">
        <v>46262.354861111111</v>
      </c>
      <c r="Z1269" s="168">
        <f t="shared" si="314"/>
        <v>7.0833333331393078E-2</v>
      </c>
      <c r="AA1269" s="169">
        <f t="shared" si="315"/>
        <v>8.3333333333333329E-2</v>
      </c>
      <c r="AB1269" s="170" t="str">
        <f t="shared" si="316"/>
        <v>00:18:00</v>
      </c>
      <c r="AC1269" s="170" t="b">
        <f t="shared" si="317"/>
        <v>1</v>
      </c>
    </row>
    <row r="1270" spans="1:30" s="128" customFormat="1" ht="9.75" hidden="1" customHeight="1" x14ac:dyDescent="0.3">
      <c r="A1270" s="99">
        <v>46262</v>
      </c>
      <c r="B1270" s="59">
        <v>8207583</v>
      </c>
      <c r="C1270" s="60" t="s">
        <v>87</v>
      </c>
      <c r="D1270" s="60" t="s">
        <v>367</v>
      </c>
      <c r="E1270" s="61">
        <v>0.125</v>
      </c>
      <c r="F1270" s="60" t="s">
        <v>13</v>
      </c>
      <c r="G1270" s="71" t="s">
        <v>284</v>
      </c>
      <c r="H1270" s="62">
        <v>0.12708333333333333</v>
      </c>
      <c r="I1270" s="113" t="str">
        <f t="shared" si="304"/>
        <v>28-08-2026T03:03:00</v>
      </c>
      <c r="J1270" s="62">
        <v>0.46875</v>
      </c>
      <c r="K1270" s="62"/>
      <c r="L1270" s="63">
        <f t="shared" si="318"/>
        <v>0.34166666666666667</v>
      </c>
      <c r="M1270" s="64">
        <v>0.35416666666666669</v>
      </c>
      <c r="N1270" s="65" t="str">
        <f t="shared" si="319"/>
        <v>00:18:00</v>
      </c>
      <c r="O1270" s="66"/>
      <c r="P1270" s="124"/>
      <c r="Q1270" s="67" t="s">
        <v>174</v>
      </c>
      <c r="R1270" s="68">
        <v>0.375</v>
      </c>
      <c r="S1270" s="68">
        <v>0.39791666666666664</v>
      </c>
      <c r="T1270" s="69">
        <f t="shared" si="320"/>
        <v>2.2916666666666641E-2</v>
      </c>
      <c r="U1270" s="61" t="s">
        <v>234</v>
      </c>
      <c r="V1270" s="83">
        <v>6.25E-2</v>
      </c>
      <c r="W1270" s="61">
        <f t="shared" si="321"/>
        <v>-3.9583333333333359E-2</v>
      </c>
      <c r="X1270" s="171">
        <v>46262.127083333333</v>
      </c>
      <c r="Y1270" s="171">
        <v>46262.46875</v>
      </c>
      <c r="Z1270" s="168">
        <f t="shared" si="314"/>
        <v>0.34166666666715173</v>
      </c>
      <c r="AA1270" s="169">
        <f t="shared" si="315"/>
        <v>0.35416666666666669</v>
      </c>
      <c r="AB1270" s="170" t="str">
        <f t="shared" si="316"/>
        <v>00:18:00</v>
      </c>
      <c r="AC1270" s="170" t="b">
        <f t="shared" si="317"/>
        <v>1</v>
      </c>
    </row>
    <row r="1271" spans="1:30" s="127" customFormat="1" ht="9.75" hidden="1" customHeight="1" x14ac:dyDescent="0.3">
      <c r="A1271" s="98">
        <v>46262</v>
      </c>
      <c r="B1271" s="48">
        <v>8207720</v>
      </c>
      <c r="C1271" s="49" t="s">
        <v>12</v>
      </c>
      <c r="D1271" s="49" t="s">
        <v>586</v>
      </c>
      <c r="E1271" s="50">
        <v>0.16666666666666666</v>
      </c>
      <c r="F1271" s="49" t="s">
        <v>13</v>
      </c>
      <c r="G1271" s="70" t="s">
        <v>14</v>
      </c>
      <c r="H1271" s="51">
        <v>0.1736111111111111</v>
      </c>
      <c r="I1271" s="113" t="str">
        <f t="shared" si="304"/>
        <v>28-08-2026T04:10:00</v>
      </c>
      <c r="J1271" s="51">
        <v>0.78472222222222221</v>
      </c>
      <c r="K1271" s="51"/>
      <c r="L1271" s="52">
        <f t="shared" si="318"/>
        <v>0.61111111111111116</v>
      </c>
      <c r="M1271" s="53">
        <v>0.54166666666666663</v>
      </c>
      <c r="N1271" s="54" t="str">
        <f t="shared" si="319"/>
        <v>-01:40:00</v>
      </c>
      <c r="O1271" s="55">
        <v>400</v>
      </c>
      <c r="P1271" s="147" t="s">
        <v>706</v>
      </c>
      <c r="Q1271" s="56"/>
      <c r="R1271" s="57"/>
      <c r="S1271" s="57"/>
      <c r="T1271" s="58">
        <f t="shared" si="320"/>
        <v>0</v>
      </c>
      <c r="U1271" s="50"/>
      <c r="V1271" s="74">
        <v>0</v>
      </c>
      <c r="W1271" s="50">
        <f t="shared" si="321"/>
        <v>0</v>
      </c>
      <c r="X1271" s="171">
        <v>46262.173611111109</v>
      </c>
      <c r="Y1271" s="171">
        <v>46262.784722222219</v>
      </c>
      <c r="Z1271" s="168">
        <f t="shared" si="314"/>
        <v>0.61111111110949423</v>
      </c>
      <c r="AA1271" s="169">
        <f t="shared" si="315"/>
        <v>0.54166666666666663</v>
      </c>
      <c r="AB1271" s="170" t="str">
        <f t="shared" si="316"/>
        <v>-01:40:00</v>
      </c>
      <c r="AC1271" s="170" t="b">
        <f t="shared" si="317"/>
        <v>1</v>
      </c>
    </row>
    <row r="1272" spans="1:30" s="128" customFormat="1" ht="9.75" hidden="1" customHeight="1" x14ac:dyDescent="0.3">
      <c r="A1272" s="99">
        <v>46262</v>
      </c>
      <c r="B1272" s="59">
        <v>8207683</v>
      </c>
      <c r="C1272" s="60" t="s">
        <v>16</v>
      </c>
      <c r="D1272" s="60" t="s">
        <v>285</v>
      </c>
      <c r="E1272" s="61">
        <v>0.16666666666666666</v>
      </c>
      <c r="F1272" s="60" t="s">
        <v>17</v>
      </c>
      <c r="G1272" s="71" t="s">
        <v>15</v>
      </c>
      <c r="H1272" s="62">
        <v>0.16388888888888889</v>
      </c>
      <c r="I1272" s="113" t="str">
        <f t="shared" si="304"/>
        <v>28-08-2026T03:56:00</v>
      </c>
      <c r="J1272" s="62">
        <v>0.65277777777777779</v>
      </c>
      <c r="K1272" s="62"/>
      <c r="L1272" s="63">
        <f t="shared" si="318"/>
        <v>0.48888888888888893</v>
      </c>
      <c r="M1272" s="64">
        <v>0.5</v>
      </c>
      <c r="N1272" s="65" t="str">
        <f t="shared" si="319"/>
        <v>00:16:00</v>
      </c>
      <c r="O1272" s="66"/>
      <c r="P1272" s="124"/>
      <c r="Q1272" s="67" t="s">
        <v>98</v>
      </c>
      <c r="R1272" s="68">
        <v>0.375</v>
      </c>
      <c r="S1272" s="68">
        <v>0.45277777777777778</v>
      </c>
      <c r="T1272" s="69">
        <f t="shared" si="320"/>
        <v>7.7777777777777779E-2</v>
      </c>
      <c r="U1272" s="61"/>
      <c r="V1272" s="83">
        <v>8.3333333333333329E-2</v>
      </c>
      <c r="W1272" s="61">
        <f t="shared" si="321"/>
        <v>-5.5555555555555497E-3</v>
      </c>
      <c r="X1272" s="171">
        <v>0.16388888888888889</v>
      </c>
      <c r="Y1272" s="171">
        <v>0.65277777777777779</v>
      </c>
      <c r="Z1272" s="168">
        <f t="shared" si="314"/>
        <v>0.48888888888888893</v>
      </c>
      <c r="AA1272" s="169">
        <f t="shared" si="315"/>
        <v>0.5</v>
      </c>
      <c r="AB1272" s="170" t="str">
        <f t="shared" si="316"/>
        <v>00:16:00</v>
      </c>
      <c r="AC1272" s="170" t="b">
        <f t="shared" si="317"/>
        <v>1</v>
      </c>
    </row>
    <row r="1273" spans="1:30" s="128" customFormat="1" ht="9.75" hidden="1" customHeight="1" x14ac:dyDescent="0.3">
      <c r="A1273" s="99">
        <v>46262</v>
      </c>
      <c r="B1273" s="59">
        <v>8207646</v>
      </c>
      <c r="C1273" s="60" t="s">
        <v>50</v>
      </c>
      <c r="D1273" s="60" t="s">
        <v>329</v>
      </c>
      <c r="E1273" s="61">
        <v>0.16666666666666666</v>
      </c>
      <c r="F1273" s="60" t="s">
        <v>31</v>
      </c>
      <c r="G1273" s="71" t="s">
        <v>13</v>
      </c>
      <c r="H1273" s="62">
        <v>0.15277777777777779</v>
      </c>
      <c r="I1273" s="113" t="str">
        <f t="shared" si="304"/>
        <v>28-08-2026T03:40:00</v>
      </c>
      <c r="J1273" s="62">
        <v>0.80138888888888893</v>
      </c>
      <c r="K1273" s="62"/>
      <c r="L1273" s="63">
        <f t="shared" si="318"/>
        <v>0.64861111111111114</v>
      </c>
      <c r="M1273" s="64">
        <v>0.70833333333333337</v>
      </c>
      <c r="N1273" s="65" t="str">
        <f t="shared" si="319"/>
        <v>01:26:00</v>
      </c>
      <c r="O1273" s="66"/>
      <c r="P1273" s="124"/>
      <c r="Q1273" s="67" t="s">
        <v>13</v>
      </c>
      <c r="R1273" s="68">
        <v>0.75555555555555554</v>
      </c>
      <c r="S1273" s="68">
        <v>0.79236111111111107</v>
      </c>
      <c r="T1273" s="69">
        <f t="shared" si="320"/>
        <v>3.6805555555555536E-2</v>
      </c>
      <c r="U1273" s="61"/>
      <c r="V1273" s="83">
        <v>8.3333333333333329E-2</v>
      </c>
      <c r="W1273" s="61">
        <f t="shared" si="321"/>
        <v>-4.6527777777777793E-2</v>
      </c>
      <c r="X1273" s="172">
        <v>46262.152777777781</v>
      </c>
      <c r="Y1273" s="172">
        <v>46262.801388888889</v>
      </c>
      <c r="Z1273" s="173">
        <f t="shared" si="314"/>
        <v>0.64861111110803904</v>
      </c>
      <c r="AA1273" s="174">
        <f t="shared" si="315"/>
        <v>0.70833333333333337</v>
      </c>
      <c r="AB1273" s="175" t="str">
        <f t="shared" si="316"/>
        <v>01:26:00</v>
      </c>
      <c r="AC1273" s="175" t="b">
        <f t="shared" si="317"/>
        <v>1</v>
      </c>
    </row>
    <row r="1274" spans="1:30" s="128" customFormat="1" ht="9.75" hidden="1" customHeight="1" x14ac:dyDescent="0.3">
      <c r="A1274" s="99">
        <v>46262</v>
      </c>
      <c r="B1274" s="59">
        <v>8207702</v>
      </c>
      <c r="C1274" s="60" t="s">
        <v>27</v>
      </c>
      <c r="D1274" s="60" t="s">
        <v>378</v>
      </c>
      <c r="E1274" s="61">
        <v>0.16666666666666666</v>
      </c>
      <c r="F1274" s="60" t="s">
        <v>13</v>
      </c>
      <c r="G1274" s="71" t="s">
        <v>28</v>
      </c>
      <c r="H1274" s="62">
        <v>0.16805555555555557</v>
      </c>
      <c r="I1274" s="113" t="str">
        <f t="shared" si="304"/>
        <v>28-08-2026T04:02:00</v>
      </c>
      <c r="J1274" s="62">
        <v>0.33333333333333331</v>
      </c>
      <c r="K1274" s="62"/>
      <c r="L1274" s="63">
        <f t="shared" si="318"/>
        <v>0.16527777777777775</v>
      </c>
      <c r="M1274" s="64">
        <v>0.16666666666666666</v>
      </c>
      <c r="N1274" s="65" t="str">
        <f t="shared" si="319"/>
        <v>00:02:00</v>
      </c>
      <c r="O1274" s="66"/>
      <c r="P1274" s="124"/>
      <c r="Q1274" s="67"/>
      <c r="R1274" s="68"/>
      <c r="S1274" s="68"/>
      <c r="T1274" s="69">
        <f t="shared" si="320"/>
        <v>0</v>
      </c>
      <c r="U1274" s="61" t="s">
        <v>234</v>
      </c>
      <c r="V1274" s="83">
        <v>0</v>
      </c>
      <c r="W1274" s="61">
        <f t="shared" si="321"/>
        <v>0</v>
      </c>
      <c r="X1274" s="171">
        <v>46262.168055555558</v>
      </c>
      <c r="Y1274" s="171">
        <v>46262.333333333336</v>
      </c>
      <c r="Z1274" s="168">
        <f t="shared" si="314"/>
        <v>0.16527777777810115</v>
      </c>
      <c r="AA1274" s="169">
        <f t="shared" si="315"/>
        <v>0.16666666666666666</v>
      </c>
      <c r="AB1274" s="170" t="str">
        <f t="shared" si="316"/>
        <v>00:02:00</v>
      </c>
      <c r="AC1274" s="170" t="b">
        <f t="shared" si="317"/>
        <v>1</v>
      </c>
    </row>
    <row r="1275" spans="1:30" s="128" customFormat="1" ht="9.75" hidden="1" customHeight="1" x14ac:dyDescent="0.3">
      <c r="A1275" s="99">
        <v>46262</v>
      </c>
      <c r="B1275" s="59">
        <v>8207892</v>
      </c>
      <c r="C1275" s="60" t="s">
        <v>32</v>
      </c>
      <c r="D1275" s="60" t="s">
        <v>734</v>
      </c>
      <c r="E1275" s="61">
        <v>0.20833333333333334</v>
      </c>
      <c r="F1275" s="60" t="s">
        <v>13</v>
      </c>
      <c r="G1275" s="71" t="s">
        <v>287</v>
      </c>
      <c r="H1275" s="62">
        <v>0.21319444444444444</v>
      </c>
      <c r="I1275" s="113" t="str">
        <f t="shared" si="304"/>
        <v>28-08-2026T05:07:00</v>
      </c>
      <c r="J1275" s="62">
        <v>0.34375</v>
      </c>
      <c r="K1275" s="62"/>
      <c r="L1275" s="63">
        <f t="shared" si="318"/>
        <v>0.13055555555555556</v>
      </c>
      <c r="M1275" s="64">
        <v>0.14583333333333334</v>
      </c>
      <c r="N1275" s="65" t="str">
        <f t="shared" si="319"/>
        <v>00:22:00</v>
      </c>
      <c r="O1275" s="66"/>
      <c r="P1275" s="124"/>
      <c r="Q1275" s="67"/>
      <c r="R1275" s="68"/>
      <c r="S1275" s="68"/>
      <c r="T1275" s="69">
        <f t="shared" si="320"/>
        <v>0</v>
      </c>
      <c r="U1275" s="61"/>
      <c r="V1275" s="83">
        <v>0</v>
      </c>
      <c r="W1275" s="61">
        <f t="shared" si="321"/>
        <v>0</v>
      </c>
      <c r="X1275" s="171">
        <v>46262.213194444441</v>
      </c>
      <c r="Y1275" s="171">
        <v>46262.34375</v>
      </c>
      <c r="Z1275" s="168">
        <f t="shared" si="314"/>
        <v>0.13055555555911269</v>
      </c>
      <c r="AA1275" s="169">
        <f t="shared" si="315"/>
        <v>0.14583333333333334</v>
      </c>
      <c r="AB1275" s="170" t="str">
        <f t="shared" si="316"/>
        <v>00:22:00</v>
      </c>
      <c r="AC1275" s="170" t="b">
        <f t="shared" si="317"/>
        <v>1</v>
      </c>
    </row>
    <row r="1276" spans="1:30" s="144" customFormat="1" ht="9.75" hidden="1" customHeight="1" x14ac:dyDescent="0.3">
      <c r="A1276" s="129">
        <v>46262</v>
      </c>
      <c r="B1276" s="130">
        <v>8207799</v>
      </c>
      <c r="C1276" s="131" t="s">
        <v>82</v>
      </c>
      <c r="D1276" s="131" t="s">
        <v>333</v>
      </c>
      <c r="E1276" s="132">
        <v>0.20833333333333334</v>
      </c>
      <c r="F1276" s="131" t="s">
        <v>26</v>
      </c>
      <c r="G1276" s="133" t="s">
        <v>13</v>
      </c>
      <c r="H1276" s="134">
        <v>0.1986111111111111</v>
      </c>
      <c r="I1276" s="113" t="str">
        <f t="shared" si="304"/>
        <v>28-08-2026T04:46:00</v>
      </c>
      <c r="J1276" s="134">
        <v>0.69166666666666665</v>
      </c>
      <c r="K1276" s="134"/>
      <c r="L1276" s="135">
        <f t="shared" si="318"/>
        <v>0.49305555555555558</v>
      </c>
      <c r="M1276" s="136">
        <v>0.45833333333333331</v>
      </c>
      <c r="N1276" s="137" t="str">
        <f t="shared" si="319"/>
        <v>-00:50:00</v>
      </c>
      <c r="O1276" s="138"/>
      <c r="P1276" s="145" t="s">
        <v>567</v>
      </c>
      <c r="Q1276" s="140" t="s">
        <v>13</v>
      </c>
      <c r="R1276" s="141">
        <v>0.55138888888888893</v>
      </c>
      <c r="S1276" s="141">
        <v>0.69166666666666665</v>
      </c>
      <c r="T1276" s="142">
        <f t="shared" si="320"/>
        <v>0.14027777777777772</v>
      </c>
      <c r="U1276" s="132"/>
      <c r="V1276" s="143">
        <v>8.3333333333333329E-2</v>
      </c>
      <c r="W1276" s="132">
        <f t="shared" si="321"/>
        <v>5.6944444444444395E-2</v>
      </c>
      <c r="X1276" s="171">
        <v>46262.198611111111</v>
      </c>
      <c r="Y1276" s="171">
        <v>46262.691666666666</v>
      </c>
      <c r="Z1276" s="168">
        <f t="shared" si="314"/>
        <v>0.49305555555474712</v>
      </c>
      <c r="AA1276" s="169">
        <f t="shared" si="315"/>
        <v>0.45833333333333331</v>
      </c>
      <c r="AB1276" s="170" t="str">
        <f t="shared" si="316"/>
        <v>-00:50:00</v>
      </c>
      <c r="AC1276" s="170" t="b">
        <f t="shared" si="317"/>
        <v>1</v>
      </c>
    </row>
    <row r="1277" spans="1:30" s="128" customFormat="1" ht="9.75" hidden="1" customHeight="1" x14ac:dyDescent="0.3">
      <c r="A1277" s="99">
        <v>46262</v>
      </c>
      <c r="B1277" s="59">
        <v>8208014</v>
      </c>
      <c r="C1277" s="60" t="s">
        <v>36</v>
      </c>
      <c r="D1277" s="60" t="s">
        <v>300</v>
      </c>
      <c r="E1277" s="61">
        <v>0.25</v>
      </c>
      <c r="F1277" s="60" t="s">
        <v>14</v>
      </c>
      <c r="G1277" s="71" t="s">
        <v>13</v>
      </c>
      <c r="H1277" s="62">
        <v>0.24722222222222223</v>
      </c>
      <c r="I1277" s="113" t="str">
        <f t="shared" si="304"/>
        <v>28-08-2026T05:56:00</v>
      </c>
      <c r="J1277" s="62">
        <v>0.77361111111111114</v>
      </c>
      <c r="K1277" s="62"/>
      <c r="L1277" s="63">
        <f t="shared" si="318"/>
        <v>0.52638888888888891</v>
      </c>
      <c r="M1277" s="64">
        <v>0.54166666666666663</v>
      </c>
      <c r="N1277" s="65" t="str">
        <f t="shared" si="319"/>
        <v>00:22:00</v>
      </c>
      <c r="O1277" s="66"/>
      <c r="P1277" s="124"/>
      <c r="Q1277" s="67"/>
      <c r="R1277" s="68"/>
      <c r="S1277" s="68"/>
      <c r="T1277" s="69">
        <f t="shared" si="320"/>
        <v>0</v>
      </c>
      <c r="U1277" s="61"/>
      <c r="V1277" s="83">
        <v>0</v>
      </c>
      <c r="W1277" s="61">
        <f t="shared" si="321"/>
        <v>0</v>
      </c>
      <c r="X1277" s="171">
        <v>46262.24722222222</v>
      </c>
      <c r="Y1277" s="171">
        <v>46262.773611111108</v>
      </c>
      <c r="Z1277" s="168">
        <f t="shared" si="314"/>
        <v>0.52638888888759539</v>
      </c>
      <c r="AA1277" s="169">
        <f t="shared" si="315"/>
        <v>0.54166666666666663</v>
      </c>
      <c r="AB1277" s="170" t="str">
        <f t="shared" si="316"/>
        <v>00:22:00</v>
      </c>
      <c r="AC1277" s="170" t="b">
        <f t="shared" si="317"/>
        <v>1</v>
      </c>
    </row>
    <row r="1278" spans="1:30" s="128" customFormat="1" ht="9.75" hidden="1" customHeight="1" x14ac:dyDescent="0.3">
      <c r="A1278" s="99">
        <v>46262</v>
      </c>
      <c r="B1278" s="59">
        <v>8208012</v>
      </c>
      <c r="C1278" s="60" t="s">
        <v>38</v>
      </c>
      <c r="D1278" s="60" t="s">
        <v>289</v>
      </c>
      <c r="E1278" s="61">
        <v>0.25</v>
      </c>
      <c r="F1278" s="60" t="s">
        <v>14</v>
      </c>
      <c r="G1278" s="71" t="s">
        <v>13</v>
      </c>
      <c r="H1278" s="62">
        <v>0.24722222222222223</v>
      </c>
      <c r="I1278" s="113" t="str">
        <f t="shared" si="304"/>
        <v>28-08-2026T05:56:00</v>
      </c>
      <c r="J1278" s="62">
        <v>0.77013888888888893</v>
      </c>
      <c r="K1278" s="62"/>
      <c r="L1278" s="63">
        <f t="shared" si="318"/>
        <v>0.5229166666666667</v>
      </c>
      <c r="M1278" s="64">
        <v>0.54166666666666663</v>
      </c>
      <c r="N1278" s="65" t="str">
        <f t="shared" si="319"/>
        <v>00:27:00</v>
      </c>
      <c r="O1278" s="66"/>
      <c r="P1278" s="124"/>
      <c r="Q1278" s="67"/>
      <c r="R1278" s="68"/>
      <c r="S1278" s="68"/>
      <c r="T1278" s="69">
        <f t="shared" si="320"/>
        <v>0</v>
      </c>
      <c r="U1278" s="61"/>
      <c r="V1278" s="83">
        <v>0</v>
      </c>
      <c r="W1278" s="61">
        <f t="shared" si="321"/>
        <v>0</v>
      </c>
      <c r="X1278" s="171">
        <v>46262.24722222222</v>
      </c>
      <c r="Y1278" s="171">
        <v>46262.770138888889</v>
      </c>
      <c r="Z1278" s="168">
        <f t="shared" si="314"/>
        <v>0.52291666666860692</v>
      </c>
      <c r="AA1278" s="169">
        <f t="shared" si="315"/>
        <v>0.54166666666666663</v>
      </c>
      <c r="AB1278" s="170" t="str">
        <f t="shared" si="316"/>
        <v>00:27:00</v>
      </c>
      <c r="AC1278" s="170" t="b">
        <f t="shared" si="317"/>
        <v>1</v>
      </c>
    </row>
    <row r="1279" spans="1:30" s="128" customFormat="1" ht="9.75" hidden="1" customHeight="1" x14ac:dyDescent="0.3">
      <c r="A1279" s="99">
        <v>46262</v>
      </c>
      <c r="B1279" s="59">
        <v>8208064</v>
      </c>
      <c r="C1279" s="60" t="s">
        <v>89</v>
      </c>
      <c r="D1279" s="60" t="s">
        <v>294</v>
      </c>
      <c r="E1279" s="61">
        <v>0.25</v>
      </c>
      <c r="F1279" s="60" t="s">
        <v>13</v>
      </c>
      <c r="G1279" s="71" t="s">
        <v>35</v>
      </c>
      <c r="H1279" s="62">
        <v>0.25486111111111109</v>
      </c>
      <c r="I1279" s="113" t="str">
        <f t="shared" si="304"/>
        <v>28-08-2026T06:07:00</v>
      </c>
      <c r="J1279" s="62">
        <v>0.28819444444444442</v>
      </c>
      <c r="K1279" s="62"/>
      <c r="L1279" s="63">
        <f t="shared" si="318"/>
        <v>3.3333333333333326E-2</v>
      </c>
      <c r="M1279" s="64">
        <v>4.1666666666666664E-2</v>
      </c>
      <c r="N1279" s="65" t="str">
        <f t="shared" si="319"/>
        <v>00:12:00</v>
      </c>
      <c r="O1279" s="66"/>
      <c r="P1279" s="124"/>
      <c r="Q1279" s="67"/>
      <c r="R1279" s="68"/>
      <c r="S1279" s="68"/>
      <c r="T1279" s="69">
        <f t="shared" si="320"/>
        <v>0</v>
      </c>
      <c r="U1279" s="61"/>
      <c r="V1279" s="83">
        <v>0</v>
      </c>
      <c r="W1279" s="61">
        <f t="shared" si="321"/>
        <v>0</v>
      </c>
      <c r="X1279" s="171">
        <v>46262.254861111112</v>
      </c>
      <c r="Y1279" s="171">
        <v>46262.288194444445</v>
      </c>
      <c r="Z1279" s="168">
        <f t="shared" si="314"/>
        <v>3.3333333332848269E-2</v>
      </c>
      <c r="AA1279" s="169">
        <f t="shared" si="315"/>
        <v>4.1666666666666664E-2</v>
      </c>
      <c r="AB1279" s="170" t="str">
        <f t="shared" si="316"/>
        <v>00:12:00</v>
      </c>
      <c r="AC1279" s="170" t="b">
        <f t="shared" si="317"/>
        <v>1</v>
      </c>
    </row>
    <row r="1280" spans="1:30" s="144" customFormat="1" ht="9.75" hidden="1" customHeight="1" x14ac:dyDescent="0.3">
      <c r="A1280" s="129">
        <v>46262</v>
      </c>
      <c r="B1280" s="130">
        <v>8208102</v>
      </c>
      <c r="C1280" s="131" t="s">
        <v>37</v>
      </c>
      <c r="D1280" s="131" t="s">
        <v>466</v>
      </c>
      <c r="E1280" s="132">
        <v>0.27083333333333331</v>
      </c>
      <c r="F1280" s="131" t="s">
        <v>14</v>
      </c>
      <c r="G1280" s="133" t="s">
        <v>13</v>
      </c>
      <c r="H1280" s="134">
        <v>0.27013888888888887</v>
      </c>
      <c r="I1280" s="113" t="str">
        <f t="shared" si="304"/>
        <v>28-08-2026T06:29:00</v>
      </c>
      <c r="J1280" s="134">
        <v>0.90555555555555556</v>
      </c>
      <c r="K1280" s="134"/>
      <c r="L1280" s="135">
        <f t="shared" si="318"/>
        <v>0.63541666666666674</v>
      </c>
      <c r="M1280" s="136">
        <v>0.625</v>
      </c>
      <c r="N1280" s="137" t="str">
        <f t="shared" si="319"/>
        <v>-00:15:00</v>
      </c>
      <c r="O1280" s="138"/>
      <c r="P1280" s="145" t="s">
        <v>567</v>
      </c>
      <c r="Q1280" s="140" t="s">
        <v>204</v>
      </c>
      <c r="R1280" s="141">
        <v>0.375</v>
      </c>
      <c r="S1280" s="141">
        <v>0.4548611111111111</v>
      </c>
      <c r="T1280" s="142">
        <f t="shared" si="320"/>
        <v>7.9861111111111105E-2</v>
      </c>
      <c r="U1280" s="132"/>
      <c r="V1280" s="143">
        <v>6.25E-2</v>
      </c>
      <c r="W1280" s="132">
        <f t="shared" si="321"/>
        <v>1.7361111111111105E-2</v>
      </c>
      <c r="X1280" s="171">
        <v>46262.270138888889</v>
      </c>
      <c r="Y1280" s="171">
        <v>46262.905555555553</v>
      </c>
      <c r="Z1280" s="168">
        <f t="shared" si="314"/>
        <v>0.63541666666424135</v>
      </c>
      <c r="AA1280" s="169">
        <f t="shared" si="315"/>
        <v>0.625</v>
      </c>
      <c r="AB1280" s="170" t="str">
        <f t="shared" si="316"/>
        <v>-00:15:00</v>
      </c>
      <c r="AC1280" s="170" t="b">
        <f t="shared" si="317"/>
        <v>1</v>
      </c>
    </row>
    <row r="1281" spans="1:29" s="128" customFormat="1" ht="9.75" hidden="1" customHeight="1" x14ac:dyDescent="0.3">
      <c r="A1281" s="99">
        <v>46262</v>
      </c>
      <c r="B1281" s="59">
        <v>8208124</v>
      </c>
      <c r="C1281" s="60" t="s">
        <v>58</v>
      </c>
      <c r="D1281" s="60" t="s">
        <v>591</v>
      </c>
      <c r="E1281" s="61">
        <v>0.27083333333333331</v>
      </c>
      <c r="F1281" s="60" t="s">
        <v>13</v>
      </c>
      <c r="G1281" s="71" t="s">
        <v>14</v>
      </c>
      <c r="H1281" s="62">
        <v>0.27500000000000002</v>
      </c>
      <c r="I1281" s="113" t="str">
        <f t="shared" si="304"/>
        <v>28-08-2026T06:36:00</v>
      </c>
      <c r="J1281" s="62">
        <v>0.8881944444444444</v>
      </c>
      <c r="K1281" s="62"/>
      <c r="L1281" s="63">
        <f t="shared" si="318"/>
        <v>0.61319444444444438</v>
      </c>
      <c r="M1281" s="64">
        <v>0.625</v>
      </c>
      <c r="N1281" s="65" t="str">
        <f t="shared" si="319"/>
        <v>00:17:00</v>
      </c>
      <c r="O1281" s="66"/>
      <c r="P1281" s="124"/>
      <c r="Q1281" s="67" t="s">
        <v>15</v>
      </c>
      <c r="R1281" s="68">
        <v>0.48958333333333331</v>
      </c>
      <c r="S1281" s="68">
        <v>0.53472222222222221</v>
      </c>
      <c r="T1281" s="69">
        <f t="shared" si="320"/>
        <v>4.5138888888888895E-2</v>
      </c>
      <c r="U1281" s="61" t="s">
        <v>234</v>
      </c>
      <c r="V1281" s="83">
        <v>8.3333333333333329E-2</v>
      </c>
      <c r="W1281" s="61">
        <f t="shared" si="321"/>
        <v>-3.8194444444444434E-2</v>
      </c>
      <c r="X1281" s="171">
        <v>46262.275000000001</v>
      </c>
      <c r="Y1281" s="171">
        <v>46262.888194444444</v>
      </c>
      <c r="Z1281" s="168">
        <f t="shared" si="314"/>
        <v>0.6131944444423425</v>
      </c>
      <c r="AA1281" s="169">
        <f t="shared" si="315"/>
        <v>0.625</v>
      </c>
      <c r="AB1281" s="170" t="str">
        <f t="shared" si="316"/>
        <v>00:17:00</v>
      </c>
      <c r="AC1281" s="170" t="b">
        <f t="shared" si="317"/>
        <v>1</v>
      </c>
    </row>
    <row r="1282" spans="1:29" s="128" customFormat="1" ht="9.75" hidden="1" customHeight="1" x14ac:dyDescent="0.3">
      <c r="A1282" s="99">
        <v>46262</v>
      </c>
      <c r="B1282" s="59">
        <v>8208231</v>
      </c>
      <c r="C1282" s="60" t="s">
        <v>52</v>
      </c>
      <c r="D1282" s="60" t="s">
        <v>616</v>
      </c>
      <c r="E1282" s="61">
        <v>0.3125</v>
      </c>
      <c r="F1282" s="60" t="s">
        <v>15</v>
      </c>
      <c r="G1282" s="71" t="s">
        <v>13</v>
      </c>
      <c r="H1282" s="62">
        <v>0.30972222222222223</v>
      </c>
      <c r="I1282" s="113" t="str">
        <f t="shared" si="304"/>
        <v>28-08-2026T07:26:00</v>
      </c>
      <c r="J1282" s="62">
        <v>0.55138888888888893</v>
      </c>
      <c r="K1282" s="62"/>
      <c r="L1282" s="63">
        <f t="shared" si="318"/>
        <v>0.2416666666666667</v>
      </c>
      <c r="M1282" s="64">
        <v>0.25</v>
      </c>
      <c r="N1282" s="65" t="str">
        <f t="shared" si="319"/>
        <v>00:12:00</v>
      </c>
      <c r="O1282" s="66"/>
      <c r="P1282" s="124"/>
      <c r="Q1282" s="67" t="s">
        <v>205</v>
      </c>
      <c r="R1282" s="68">
        <v>0.39930555555555558</v>
      </c>
      <c r="S1282" s="68">
        <v>0.42152777777777778</v>
      </c>
      <c r="T1282" s="69">
        <f t="shared" si="320"/>
        <v>2.2222222222222199E-2</v>
      </c>
      <c r="U1282" s="61"/>
      <c r="V1282" s="83">
        <v>4.1666666666666664E-2</v>
      </c>
      <c r="W1282" s="61">
        <f t="shared" si="321"/>
        <v>-1.9444444444444466E-2</v>
      </c>
      <c r="X1282" s="171">
        <v>46262.30972222222</v>
      </c>
      <c r="Y1282" s="171">
        <v>46262.551388888889</v>
      </c>
      <c r="Z1282" s="168">
        <f t="shared" si="314"/>
        <v>0.24166666666860692</v>
      </c>
      <c r="AA1282" s="169">
        <f t="shared" si="315"/>
        <v>0.25</v>
      </c>
      <c r="AB1282" s="170" t="str">
        <f t="shared" si="316"/>
        <v>00:12:00</v>
      </c>
      <c r="AC1282" s="170" t="b">
        <f t="shared" si="317"/>
        <v>1</v>
      </c>
    </row>
    <row r="1283" spans="1:29" s="128" customFormat="1" ht="9.75" hidden="1" customHeight="1" x14ac:dyDescent="0.3">
      <c r="A1283" s="99">
        <v>46262</v>
      </c>
      <c r="B1283" s="59">
        <v>8208204</v>
      </c>
      <c r="C1283" s="60" t="s">
        <v>42</v>
      </c>
      <c r="D1283" s="60" t="s">
        <v>181</v>
      </c>
      <c r="E1283" s="61">
        <v>0.29166666666666669</v>
      </c>
      <c r="F1283" s="60" t="s">
        <v>13</v>
      </c>
      <c r="G1283" s="71" t="s">
        <v>55</v>
      </c>
      <c r="H1283" s="62">
        <v>0.29791666666666666</v>
      </c>
      <c r="I1283" s="113" t="str">
        <f t="shared" si="304"/>
        <v>28-08-2026T07:09:00</v>
      </c>
      <c r="J1283" s="62">
        <v>0.3527777777777778</v>
      </c>
      <c r="K1283" s="62"/>
      <c r="L1283" s="63">
        <f t="shared" si="318"/>
        <v>5.4861111111111138E-2</v>
      </c>
      <c r="M1283" s="64">
        <v>6.25E-2</v>
      </c>
      <c r="N1283" s="65" t="str">
        <f t="shared" si="319"/>
        <v>00:11:00</v>
      </c>
      <c r="O1283" s="66"/>
      <c r="P1283" s="124"/>
      <c r="Q1283" s="67"/>
      <c r="R1283" s="68"/>
      <c r="S1283" s="68"/>
      <c r="T1283" s="69">
        <f t="shared" si="320"/>
        <v>0</v>
      </c>
      <c r="U1283" s="61" t="s">
        <v>234</v>
      </c>
      <c r="V1283" s="83">
        <v>0</v>
      </c>
      <c r="W1283" s="61">
        <f t="shared" si="321"/>
        <v>0</v>
      </c>
      <c r="X1283" s="171">
        <v>46262.29791666667</v>
      </c>
      <c r="Y1283" s="171">
        <v>46262.352777777778</v>
      </c>
      <c r="Z1283" s="168">
        <f t="shared" si="314"/>
        <v>5.486111110803904E-2</v>
      </c>
      <c r="AA1283" s="169">
        <f t="shared" si="315"/>
        <v>6.25E-2</v>
      </c>
      <c r="AB1283" s="170" t="str">
        <f t="shared" si="316"/>
        <v>00:11:00</v>
      </c>
      <c r="AC1283" s="170" t="b">
        <f t="shared" si="317"/>
        <v>1</v>
      </c>
    </row>
    <row r="1284" spans="1:29" s="128" customFormat="1" ht="9.75" hidden="1" customHeight="1" x14ac:dyDescent="0.3">
      <c r="A1284" s="99">
        <v>46262</v>
      </c>
      <c r="B1284" s="59">
        <v>8208374</v>
      </c>
      <c r="C1284" s="60" t="s">
        <v>40</v>
      </c>
      <c r="D1284" s="60" t="s">
        <v>460</v>
      </c>
      <c r="E1284" s="61">
        <v>0.375</v>
      </c>
      <c r="F1284" s="60" t="s">
        <v>13</v>
      </c>
      <c r="G1284" s="71" t="s">
        <v>31</v>
      </c>
      <c r="H1284" s="62">
        <v>46262.375</v>
      </c>
      <c r="I1284" s="113" t="str">
        <f t="shared" ref="I1284:I1347" si="322">TEXT(A1284,"dd-mm-yyyy")&amp;"T"&amp;TEXT(H1284,"hh:mm:ss")</f>
        <v>28-08-2026T09:00:00</v>
      </c>
      <c r="J1284" s="62">
        <v>46263.115277777775</v>
      </c>
      <c r="K1284" s="62"/>
      <c r="L1284" s="63">
        <f t="shared" si="318"/>
        <v>0.74027777777519077</v>
      </c>
      <c r="M1284" s="64">
        <v>0.75</v>
      </c>
      <c r="N1284" s="65" t="str">
        <f t="shared" si="319"/>
        <v>00:14:00</v>
      </c>
      <c r="O1284" s="66"/>
      <c r="P1284" s="124" t="s">
        <v>610</v>
      </c>
      <c r="Q1284" s="67" t="s">
        <v>45</v>
      </c>
      <c r="R1284" s="68">
        <v>46262.993055555555</v>
      </c>
      <c r="S1284" s="68">
        <v>46263.006249999999</v>
      </c>
      <c r="T1284" s="69">
        <f t="shared" si="320"/>
        <v>1.3194444443797693E-2</v>
      </c>
      <c r="U1284" s="61"/>
      <c r="V1284" s="83">
        <v>8.3333333333333329E-2</v>
      </c>
      <c r="W1284" s="61">
        <f t="shared" si="321"/>
        <v>-7.0138888889535636E-2</v>
      </c>
      <c r="X1284" s="172">
        <v>46262.375</v>
      </c>
      <c r="Y1284" s="172">
        <v>46263.115277777775</v>
      </c>
      <c r="Z1284" s="173">
        <f t="shared" si="314"/>
        <v>0.74027777777519077</v>
      </c>
      <c r="AA1284" s="174">
        <f t="shared" si="315"/>
        <v>0.75</v>
      </c>
      <c r="AB1284" s="175" t="str">
        <f t="shared" si="316"/>
        <v>00:14:00</v>
      </c>
      <c r="AC1284" s="175" t="b">
        <f t="shared" si="317"/>
        <v>1</v>
      </c>
    </row>
    <row r="1285" spans="1:29" s="128" customFormat="1" ht="9.75" hidden="1" customHeight="1" x14ac:dyDescent="0.3">
      <c r="A1285" s="99">
        <v>46262</v>
      </c>
      <c r="B1285" s="59">
        <v>8208382</v>
      </c>
      <c r="C1285" s="60" t="s">
        <v>30</v>
      </c>
      <c r="D1285" s="60" t="s">
        <v>286</v>
      </c>
      <c r="E1285" s="61">
        <v>0.375</v>
      </c>
      <c r="F1285" s="60" t="s">
        <v>13</v>
      </c>
      <c r="G1285" s="71" t="s">
        <v>31</v>
      </c>
      <c r="H1285" s="62">
        <v>46262.378472222219</v>
      </c>
      <c r="I1285" s="113" t="str">
        <f t="shared" si="322"/>
        <v>28-08-2026T09:05:00</v>
      </c>
      <c r="J1285" s="62">
        <v>46263.109027777777</v>
      </c>
      <c r="K1285" s="62"/>
      <c r="L1285" s="63">
        <f t="shared" si="318"/>
        <v>0.7305555555576575</v>
      </c>
      <c r="M1285" s="64">
        <v>0.75</v>
      </c>
      <c r="N1285" s="65" t="str">
        <f t="shared" si="319"/>
        <v>00:28:00</v>
      </c>
      <c r="O1285" s="66"/>
      <c r="P1285" s="124" t="s">
        <v>610</v>
      </c>
      <c r="Q1285" s="67" t="s">
        <v>45</v>
      </c>
      <c r="R1285" s="68">
        <v>0.92708333333333337</v>
      </c>
      <c r="S1285" s="68">
        <v>0.96527777777777779</v>
      </c>
      <c r="T1285" s="69">
        <f t="shared" si="320"/>
        <v>3.819444444444442E-2</v>
      </c>
      <c r="U1285" s="61"/>
      <c r="V1285" s="83">
        <v>8.3333333333333329E-2</v>
      </c>
      <c r="W1285" s="61">
        <f t="shared" si="321"/>
        <v>-4.5138888888888909E-2</v>
      </c>
      <c r="X1285" s="172">
        <v>46262.378472222219</v>
      </c>
      <c r="Y1285" s="172">
        <v>46263.109027777777</v>
      </c>
      <c r="Z1285" s="173">
        <f t="shared" si="314"/>
        <v>0.7305555555576575</v>
      </c>
      <c r="AA1285" s="174">
        <f t="shared" si="315"/>
        <v>0.75</v>
      </c>
      <c r="AB1285" s="175" t="str">
        <f t="shared" si="316"/>
        <v>00:28:00</v>
      </c>
      <c r="AC1285" s="175" t="b">
        <f t="shared" si="317"/>
        <v>1</v>
      </c>
    </row>
    <row r="1286" spans="1:29" s="128" customFormat="1" ht="9.75" hidden="1" customHeight="1" x14ac:dyDescent="0.3">
      <c r="A1286" s="99">
        <v>46262</v>
      </c>
      <c r="B1286" s="59">
        <v>8208372</v>
      </c>
      <c r="C1286" s="60" t="s">
        <v>48</v>
      </c>
      <c r="D1286" s="60" t="s">
        <v>183</v>
      </c>
      <c r="E1286" s="61">
        <v>0.375</v>
      </c>
      <c r="F1286" s="60" t="s">
        <v>49</v>
      </c>
      <c r="G1286" s="71" t="s">
        <v>13</v>
      </c>
      <c r="H1286" s="62">
        <v>0.37430555555555556</v>
      </c>
      <c r="I1286" s="113" t="str">
        <f t="shared" si="322"/>
        <v>28-08-2026T08:59:00</v>
      </c>
      <c r="J1286" s="62">
        <v>0.9375</v>
      </c>
      <c r="K1286" s="62"/>
      <c r="L1286" s="63">
        <f t="shared" si="318"/>
        <v>0.56319444444444444</v>
      </c>
      <c r="M1286" s="64">
        <v>0.58333333333333337</v>
      </c>
      <c r="N1286" s="65" t="str">
        <f t="shared" si="319"/>
        <v>00:29:00</v>
      </c>
      <c r="O1286" s="66"/>
      <c r="P1286" s="124"/>
      <c r="Q1286" s="67" t="s">
        <v>13</v>
      </c>
      <c r="R1286" s="68">
        <v>0.85972222222222228</v>
      </c>
      <c r="S1286" s="68">
        <v>0.93055555555555558</v>
      </c>
      <c r="T1286" s="69">
        <f t="shared" si="320"/>
        <v>7.0833333333333304E-2</v>
      </c>
      <c r="U1286" s="61" t="s">
        <v>234</v>
      </c>
      <c r="V1286" s="83">
        <v>8.3333333333333329E-2</v>
      </c>
      <c r="W1286" s="61">
        <f t="shared" si="321"/>
        <v>-1.2500000000000025E-2</v>
      </c>
      <c r="X1286" s="171">
        <v>46262.374305555553</v>
      </c>
      <c r="Y1286" s="171">
        <v>46262.9375</v>
      </c>
      <c r="Z1286" s="168">
        <f t="shared" si="314"/>
        <v>0.56319444444670808</v>
      </c>
      <c r="AA1286" s="169">
        <f t="shared" si="315"/>
        <v>0.58333333333333337</v>
      </c>
      <c r="AB1286" s="170" t="str">
        <f t="shared" si="316"/>
        <v>00:29:00</v>
      </c>
      <c r="AC1286" s="170" t="b">
        <f t="shared" si="317"/>
        <v>1</v>
      </c>
    </row>
    <row r="1287" spans="1:29" s="128" customFormat="1" ht="9.75" hidden="1" customHeight="1" x14ac:dyDescent="0.3">
      <c r="A1287" s="99">
        <v>46262</v>
      </c>
      <c r="B1287" s="59">
        <v>8208522</v>
      </c>
      <c r="C1287" s="60" t="s">
        <v>51</v>
      </c>
      <c r="D1287" s="60" t="s">
        <v>295</v>
      </c>
      <c r="E1287" s="61">
        <v>0.41666666666666669</v>
      </c>
      <c r="F1287" s="60" t="s">
        <v>13</v>
      </c>
      <c r="G1287" s="71" t="s">
        <v>49</v>
      </c>
      <c r="H1287" s="62">
        <v>0.45833333333333331</v>
      </c>
      <c r="I1287" s="113" t="str">
        <f t="shared" si="322"/>
        <v>28-08-2026T11:00:00</v>
      </c>
      <c r="J1287" s="62">
        <v>0.94166666666666665</v>
      </c>
      <c r="K1287" s="62"/>
      <c r="L1287" s="63">
        <f t="shared" si="318"/>
        <v>0.48333333333333334</v>
      </c>
      <c r="M1287" s="64">
        <v>0.5</v>
      </c>
      <c r="N1287" s="65" t="str">
        <f t="shared" si="319"/>
        <v>00:24:00</v>
      </c>
      <c r="O1287" s="66"/>
      <c r="P1287" s="124"/>
      <c r="Q1287" s="67"/>
      <c r="R1287" s="68"/>
      <c r="S1287" s="68"/>
      <c r="T1287" s="69">
        <f t="shared" si="320"/>
        <v>0</v>
      </c>
      <c r="U1287" s="61" t="s">
        <v>234</v>
      </c>
      <c r="V1287" s="83">
        <v>0</v>
      </c>
      <c r="W1287" s="61">
        <f t="shared" si="321"/>
        <v>0</v>
      </c>
      <c r="X1287" s="171">
        <v>46262.458333333336</v>
      </c>
      <c r="Y1287" s="171">
        <v>46262.941666666666</v>
      </c>
      <c r="Z1287" s="168">
        <f t="shared" si="314"/>
        <v>0.48333333332993789</v>
      </c>
      <c r="AA1287" s="169">
        <f t="shared" si="315"/>
        <v>0.5</v>
      </c>
      <c r="AB1287" s="170" t="str">
        <f t="shared" si="316"/>
        <v>00:24:00</v>
      </c>
      <c r="AC1287" s="170" t="b">
        <f t="shared" si="317"/>
        <v>1</v>
      </c>
    </row>
    <row r="1288" spans="1:29" s="127" customFormat="1" ht="9.75" hidden="1" customHeight="1" x14ac:dyDescent="0.3">
      <c r="A1288" s="98">
        <v>46262</v>
      </c>
      <c r="B1288" s="48">
        <v>8208531</v>
      </c>
      <c r="C1288" s="49" t="s">
        <v>54</v>
      </c>
      <c r="D1288" s="49" t="s">
        <v>288</v>
      </c>
      <c r="E1288" s="50">
        <v>0.45833333333333331</v>
      </c>
      <c r="F1288" s="49" t="s">
        <v>13</v>
      </c>
      <c r="G1288" s="70" t="s">
        <v>24</v>
      </c>
      <c r="H1288" s="51">
        <v>0.4597222222222222</v>
      </c>
      <c r="I1288" s="113" t="str">
        <f t="shared" si="322"/>
        <v>28-08-2026T11:02:00</v>
      </c>
      <c r="J1288" s="51">
        <v>0.58333333333333337</v>
      </c>
      <c r="K1288" s="51"/>
      <c r="L1288" s="52">
        <f t="shared" si="318"/>
        <v>0.12361111111111117</v>
      </c>
      <c r="M1288" s="53">
        <v>8.3333333333333329E-2</v>
      </c>
      <c r="N1288" s="54" t="str">
        <f t="shared" si="319"/>
        <v>-00:58:00</v>
      </c>
      <c r="O1288" s="55">
        <v>250</v>
      </c>
      <c r="P1288" s="147" t="s">
        <v>610</v>
      </c>
      <c r="Q1288" s="56"/>
      <c r="R1288" s="57"/>
      <c r="S1288" s="57"/>
      <c r="T1288" s="58">
        <f t="shared" si="320"/>
        <v>0</v>
      </c>
      <c r="U1288" s="50" t="s">
        <v>234</v>
      </c>
      <c r="V1288" s="74">
        <v>0</v>
      </c>
      <c r="W1288" s="50">
        <f t="shared" si="321"/>
        <v>0</v>
      </c>
      <c r="X1288" s="171">
        <v>46262.459722222222</v>
      </c>
      <c r="Y1288" s="171">
        <v>46262.583333333336</v>
      </c>
      <c r="Z1288" s="168">
        <f t="shared" si="314"/>
        <v>0.12361111111385981</v>
      </c>
      <c r="AA1288" s="169">
        <f t="shared" si="315"/>
        <v>8.3333333333333329E-2</v>
      </c>
      <c r="AB1288" s="170" t="str">
        <f t="shared" si="316"/>
        <v>-00:58:00</v>
      </c>
      <c r="AC1288" s="170" t="b">
        <f t="shared" si="317"/>
        <v>1</v>
      </c>
    </row>
    <row r="1289" spans="1:29" s="128" customFormat="1" ht="9.75" hidden="1" customHeight="1" x14ac:dyDescent="0.3">
      <c r="A1289" s="99">
        <v>46262</v>
      </c>
      <c r="B1289" s="59">
        <v>8208535</v>
      </c>
      <c r="C1289" s="60" t="s">
        <v>41</v>
      </c>
      <c r="D1289" s="60" t="s">
        <v>299</v>
      </c>
      <c r="E1289" s="61">
        <v>0.45833333333333331</v>
      </c>
      <c r="F1289" s="60" t="s">
        <v>13</v>
      </c>
      <c r="G1289" s="71" t="s">
        <v>24</v>
      </c>
      <c r="H1289" s="62">
        <v>0.46111111111111114</v>
      </c>
      <c r="I1289" s="113" t="str">
        <f t="shared" si="322"/>
        <v>28-08-2026T11:04:00</v>
      </c>
      <c r="J1289" s="62">
        <v>0.54166666666666663</v>
      </c>
      <c r="K1289" s="62"/>
      <c r="L1289" s="63">
        <f t="shared" si="318"/>
        <v>8.0555555555555491E-2</v>
      </c>
      <c r="M1289" s="64">
        <v>8.3333333333333329E-2</v>
      </c>
      <c r="N1289" s="65" t="str">
        <f t="shared" si="319"/>
        <v>00:04:00</v>
      </c>
      <c r="O1289" s="66"/>
      <c r="P1289" s="124"/>
      <c r="Q1289" s="67"/>
      <c r="R1289" s="68"/>
      <c r="S1289" s="68"/>
      <c r="T1289" s="69">
        <f t="shared" si="320"/>
        <v>0</v>
      </c>
      <c r="U1289" s="61" t="s">
        <v>234</v>
      </c>
      <c r="V1289" s="83">
        <v>0</v>
      </c>
      <c r="W1289" s="61">
        <f t="shared" si="321"/>
        <v>0</v>
      </c>
      <c r="X1289" s="171">
        <v>46262.461111111108</v>
      </c>
      <c r="Y1289" s="171">
        <v>46262.541666666664</v>
      </c>
      <c r="Z1289" s="168">
        <f t="shared" si="314"/>
        <v>8.0555555556202307E-2</v>
      </c>
      <c r="AA1289" s="169">
        <f t="shared" si="315"/>
        <v>8.3333333333333329E-2</v>
      </c>
      <c r="AB1289" s="170" t="str">
        <f t="shared" si="316"/>
        <v>00:04:00</v>
      </c>
      <c r="AC1289" s="170" t="b">
        <f t="shared" si="317"/>
        <v>1</v>
      </c>
    </row>
    <row r="1290" spans="1:29" s="127" customFormat="1" ht="9.75" hidden="1" customHeight="1" x14ac:dyDescent="0.3">
      <c r="A1290" s="98">
        <v>46262</v>
      </c>
      <c r="B1290" s="48">
        <v>8208760</v>
      </c>
      <c r="C1290" s="49" t="s">
        <v>56</v>
      </c>
      <c r="D1290" s="49" t="s">
        <v>735</v>
      </c>
      <c r="E1290" s="50">
        <v>0.54166666666666663</v>
      </c>
      <c r="F1290" s="49" t="s">
        <v>13</v>
      </c>
      <c r="G1290" s="70" t="s">
        <v>15</v>
      </c>
      <c r="H1290" s="51">
        <v>0.54097222222222219</v>
      </c>
      <c r="I1290" s="113" t="str">
        <f t="shared" si="322"/>
        <v>28-08-2026T12:59:00</v>
      </c>
      <c r="J1290" s="51">
        <v>0.77083333333333337</v>
      </c>
      <c r="K1290" s="51"/>
      <c r="L1290" s="52">
        <f t="shared" si="318"/>
        <v>0.22986111111111118</v>
      </c>
      <c r="M1290" s="53">
        <v>0.20833333333333334</v>
      </c>
      <c r="N1290" s="54" t="str">
        <f t="shared" si="319"/>
        <v>-00:31:00</v>
      </c>
      <c r="O1290" s="55">
        <v>250</v>
      </c>
      <c r="P1290" s="147" t="s">
        <v>610</v>
      </c>
      <c r="Q1290" s="56"/>
      <c r="R1290" s="57"/>
      <c r="S1290" s="57"/>
      <c r="T1290" s="58">
        <f t="shared" si="320"/>
        <v>0</v>
      </c>
      <c r="U1290" s="50"/>
      <c r="V1290" s="74">
        <v>0</v>
      </c>
      <c r="W1290" s="50">
        <f t="shared" si="321"/>
        <v>0</v>
      </c>
      <c r="X1290" s="171">
        <v>46262.540972222225</v>
      </c>
      <c r="Y1290" s="171">
        <v>46262.770833333336</v>
      </c>
      <c r="Z1290" s="168">
        <f t="shared" ref="Z1290:Z1357" si="323">Y1290-X1290</f>
        <v>0.22986111111094942</v>
      </c>
      <c r="AA1290" s="169">
        <f t="shared" ref="AA1290:AA1357" si="324">M1290</f>
        <v>0.20833333333333334</v>
      </c>
      <c r="AB1290" s="170" t="str">
        <f t="shared" ref="AB1290:AB1357" si="325">IF(AA1290-Z1290&gt;0,TEXT(AA1290-Z1290,"HH:MM:SS"),TEXT(ABS(AA1290-Z1290),"-HH:MM:SS"))</f>
        <v>-00:31:00</v>
      </c>
      <c r="AC1290" s="170" t="b">
        <f t="shared" ref="AC1290:AC1357" si="326">AB1290=N1290</f>
        <v>1</v>
      </c>
    </row>
    <row r="1291" spans="1:29" s="128" customFormat="1" ht="9.75" hidden="1" customHeight="1" x14ac:dyDescent="0.3">
      <c r="A1291" s="99">
        <v>46262</v>
      </c>
      <c r="B1291" s="59">
        <v>8209044</v>
      </c>
      <c r="C1291" s="60" t="s">
        <v>53</v>
      </c>
      <c r="D1291" s="60" t="s">
        <v>298</v>
      </c>
      <c r="E1291" s="61">
        <v>0.64583333333333337</v>
      </c>
      <c r="F1291" s="60" t="s">
        <v>19</v>
      </c>
      <c r="G1291" s="71" t="s">
        <v>13</v>
      </c>
      <c r="H1291" s="62">
        <v>46262.643750000003</v>
      </c>
      <c r="I1291" s="113" t="str">
        <f t="shared" si="322"/>
        <v>28-08-2026T15:27:00</v>
      </c>
      <c r="J1291" s="62">
        <v>46263.04583333333</v>
      </c>
      <c r="K1291" s="62"/>
      <c r="L1291" s="63">
        <f t="shared" si="318"/>
        <v>0.4020833333270275</v>
      </c>
      <c r="M1291" s="64">
        <v>0.4375</v>
      </c>
      <c r="N1291" s="65" t="str">
        <f t="shared" si="319"/>
        <v>00:51:00</v>
      </c>
      <c r="O1291" s="66"/>
      <c r="P1291" s="124" t="s">
        <v>750</v>
      </c>
      <c r="Q1291" s="67" t="s">
        <v>229</v>
      </c>
      <c r="R1291" s="68" t="s">
        <v>372</v>
      </c>
      <c r="S1291" s="68" t="s">
        <v>372</v>
      </c>
      <c r="T1291" s="69" t="e">
        <f t="shared" si="320"/>
        <v>#VALUE!</v>
      </c>
      <c r="U1291" s="61"/>
      <c r="V1291" s="83">
        <v>8.3333333333333329E-2</v>
      </c>
      <c r="W1291" s="61" t="e">
        <f t="shared" si="321"/>
        <v>#VALUE!</v>
      </c>
      <c r="X1291" s="171">
        <v>46262.643750000003</v>
      </c>
      <c r="Y1291" s="171">
        <v>46263.04583333333</v>
      </c>
      <c r="Z1291" s="168">
        <f t="shared" si="323"/>
        <v>0.4020833333270275</v>
      </c>
      <c r="AA1291" s="169">
        <f t="shared" si="324"/>
        <v>0.4375</v>
      </c>
      <c r="AB1291" s="170" t="str">
        <f t="shared" si="325"/>
        <v>00:51:00</v>
      </c>
      <c r="AC1291" s="170" t="b">
        <f t="shared" si="326"/>
        <v>1</v>
      </c>
    </row>
    <row r="1292" spans="1:29" s="128" customFormat="1" ht="9.75" hidden="1" customHeight="1" x14ac:dyDescent="0.3">
      <c r="A1292" s="99">
        <v>46262</v>
      </c>
      <c r="B1292" s="59">
        <v>8209292</v>
      </c>
      <c r="C1292" s="60" t="s">
        <v>57</v>
      </c>
      <c r="D1292" s="60" t="s">
        <v>370</v>
      </c>
      <c r="E1292" s="61">
        <v>0.70833333333333337</v>
      </c>
      <c r="F1292" s="60" t="s">
        <v>13</v>
      </c>
      <c r="G1292" s="71" t="s">
        <v>24</v>
      </c>
      <c r="H1292" s="62">
        <v>0.72152777777777777</v>
      </c>
      <c r="I1292" s="113" t="str">
        <f t="shared" si="322"/>
        <v>28-08-2026T17:19:00</v>
      </c>
      <c r="J1292" s="62">
        <v>0.80208333333333337</v>
      </c>
      <c r="K1292" s="62"/>
      <c r="L1292" s="63">
        <f t="shared" si="318"/>
        <v>8.0555555555555602E-2</v>
      </c>
      <c r="M1292" s="64">
        <v>8.3333333333333329E-2</v>
      </c>
      <c r="N1292" s="65" t="str">
        <f t="shared" si="319"/>
        <v>00:04:00</v>
      </c>
      <c r="O1292" s="66"/>
      <c r="P1292" s="124"/>
      <c r="Q1292" s="67"/>
      <c r="R1292" s="68"/>
      <c r="S1292" s="68"/>
      <c r="T1292" s="69">
        <f t="shared" si="320"/>
        <v>0</v>
      </c>
      <c r="U1292" s="61"/>
      <c r="V1292" s="83">
        <v>0</v>
      </c>
      <c r="W1292" s="61">
        <f t="shared" si="321"/>
        <v>0</v>
      </c>
      <c r="X1292" s="171">
        <v>46262.72152777778</v>
      </c>
      <c r="Y1292" s="171">
        <v>46262.802083333336</v>
      </c>
      <c r="Z1292" s="168">
        <f t="shared" si="323"/>
        <v>8.0555555556202307E-2</v>
      </c>
      <c r="AA1292" s="169">
        <f t="shared" si="324"/>
        <v>8.3333333333333329E-2</v>
      </c>
      <c r="AB1292" s="170" t="str">
        <f t="shared" si="325"/>
        <v>00:04:00</v>
      </c>
      <c r="AC1292" s="170" t="b">
        <f t="shared" si="326"/>
        <v>1</v>
      </c>
    </row>
    <row r="1293" spans="1:29" s="128" customFormat="1" ht="9.75" hidden="1" customHeight="1" x14ac:dyDescent="0.3">
      <c r="A1293" s="99">
        <v>46262</v>
      </c>
      <c r="B1293" s="59">
        <v>8208876</v>
      </c>
      <c r="C1293" s="60" t="s">
        <v>87</v>
      </c>
      <c r="D1293" s="60" t="s">
        <v>367</v>
      </c>
      <c r="E1293" s="61">
        <v>0.70833333333333337</v>
      </c>
      <c r="F1293" s="60" t="s">
        <v>85</v>
      </c>
      <c r="G1293" s="71" t="s">
        <v>13</v>
      </c>
      <c r="H1293" s="62">
        <v>0.58125000000000004</v>
      </c>
      <c r="I1293" s="113" t="str">
        <f t="shared" si="322"/>
        <v>28-08-2026T13:57:00</v>
      </c>
      <c r="J1293" s="62">
        <v>0.87361111111111112</v>
      </c>
      <c r="K1293" s="62"/>
      <c r="L1293" s="63">
        <f t="shared" ref="L1293:L1336" si="327">J1293-H1293</f>
        <v>0.29236111111111107</v>
      </c>
      <c r="M1293" s="64">
        <v>0.33333333333333331</v>
      </c>
      <c r="N1293" s="65" t="str">
        <f t="shared" ref="N1293:N1336" si="328">IF(M1293-L1293&gt;0,TEXT(M1293-L1293,"HH:MM:SS"),TEXT(ABS(M1293-L1293),"-HH:MM:SS"))</f>
        <v>00:59:00</v>
      </c>
      <c r="O1293" s="66"/>
      <c r="P1293" s="124" t="s">
        <v>751</v>
      </c>
      <c r="Q1293" s="67" t="s">
        <v>174</v>
      </c>
      <c r="R1293" s="68" t="s">
        <v>372</v>
      </c>
      <c r="S1293" s="68" t="s">
        <v>372</v>
      </c>
      <c r="T1293" s="69" t="e">
        <f t="shared" si="320"/>
        <v>#VALUE!</v>
      </c>
      <c r="U1293" s="61"/>
      <c r="V1293" s="83">
        <v>4.1666666666666664E-2</v>
      </c>
      <c r="W1293" s="61" t="e">
        <f t="shared" si="321"/>
        <v>#VALUE!</v>
      </c>
      <c r="X1293" s="171">
        <v>46262.581250000003</v>
      </c>
      <c r="Y1293" s="171">
        <v>46262.873611111114</v>
      </c>
      <c r="Z1293" s="168">
        <f t="shared" si="323"/>
        <v>0.29236111111094942</v>
      </c>
      <c r="AA1293" s="169">
        <f t="shared" si="324"/>
        <v>0.33333333333333331</v>
      </c>
      <c r="AB1293" s="170" t="str">
        <f t="shared" si="325"/>
        <v>00:59:00</v>
      </c>
      <c r="AC1293" s="170" t="b">
        <f t="shared" si="326"/>
        <v>1</v>
      </c>
    </row>
    <row r="1294" spans="1:29" s="128" customFormat="1" ht="9.75" hidden="1" customHeight="1" x14ac:dyDescent="0.3">
      <c r="A1294" s="99">
        <v>46262</v>
      </c>
      <c r="B1294" s="59">
        <v>8209263</v>
      </c>
      <c r="C1294" s="60" t="s">
        <v>27</v>
      </c>
      <c r="D1294" s="60" t="s">
        <v>378</v>
      </c>
      <c r="E1294" s="61">
        <v>0.70833333333333337</v>
      </c>
      <c r="F1294" s="60" t="s">
        <v>28</v>
      </c>
      <c r="G1294" s="71" t="s">
        <v>13</v>
      </c>
      <c r="H1294" s="62">
        <v>0.70972222222222225</v>
      </c>
      <c r="I1294" s="113" t="str">
        <f t="shared" si="322"/>
        <v>28-08-2026T17:02:00</v>
      </c>
      <c r="J1294" s="62">
        <v>0.87291666666666667</v>
      </c>
      <c r="K1294" s="62"/>
      <c r="L1294" s="63">
        <f t="shared" si="327"/>
        <v>0.16319444444444442</v>
      </c>
      <c r="M1294" s="64">
        <v>0.16666666666666666</v>
      </c>
      <c r="N1294" s="65" t="str">
        <f t="shared" si="328"/>
        <v>00:05:00</v>
      </c>
      <c r="O1294" s="66"/>
      <c r="P1294" s="124"/>
      <c r="Q1294" s="67"/>
      <c r="R1294" s="68"/>
      <c r="S1294" s="68"/>
      <c r="T1294" s="69">
        <f t="shared" ref="T1294:T1310" si="329">S1294-R1294</f>
        <v>0</v>
      </c>
      <c r="U1294" s="61"/>
      <c r="V1294" s="83">
        <v>0</v>
      </c>
      <c r="W1294" s="61">
        <f t="shared" si="321"/>
        <v>0</v>
      </c>
      <c r="X1294" s="171">
        <v>46262.709722222222</v>
      </c>
      <c r="Y1294" s="171">
        <v>46262.872916666667</v>
      </c>
      <c r="Z1294" s="168">
        <f t="shared" si="323"/>
        <v>0.16319444444525288</v>
      </c>
      <c r="AA1294" s="169">
        <f t="shared" si="324"/>
        <v>0.16666666666666666</v>
      </c>
      <c r="AB1294" s="170" t="str">
        <f t="shared" si="325"/>
        <v>00:05:00</v>
      </c>
      <c r="AC1294" s="170" t="b">
        <f t="shared" si="326"/>
        <v>1</v>
      </c>
    </row>
    <row r="1295" spans="1:29" s="128" customFormat="1" ht="9.75" hidden="1" customHeight="1" x14ac:dyDescent="0.3">
      <c r="A1295" s="99">
        <v>46262</v>
      </c>
      <c r="B1295" s="59">
        <v>8209210</v>
      </c>
      <c r="C1295" s="60" t="s">
        <v>102</v>
      </c>
      <c r="D1295" s="60" t="s">
        <v>384</v>
      </c>
      <c r="E1295" s="61">
        <v>0.70833333333333337</v>
      </c>
      <c r="F1295" s="60" t="s">
        <v>13</v>
      </c>
      <c r="G1295" s="71" t="s">
        <v>23</v>
      </c>
      <c r="H1295" s="62">
        <v>46262.694444444445</v>
      </c>
      <c r="I1295" s="113" t="str">
        <f t="shared" si="322"/>
        <v>28-08-2026T16:40:00</v>
      </c>
      <c r="J1295" s="62">
        <v>46263.798611111109</v>
      </c>
      <c r="K1295" s="62"/>
      <c r="L1295" s="63">
        <f t="shared" si="327"/>
        <v>1.1041666666642413</v>
      </c>
      <c r="M1295" s="64">
        <v>1</v>
      </c>
      <c r="N1295" s="65" t="str">
        <f t="shared" si="328"/>
        <v>-02:30:00</v>
      </c>
      <c r="O1295" s="66"/>
      <c r="P1295" s="124" t="s">
        <v>758</v>
      </c>
      <c r="Q1295" s="67"/>
      <c r="R1295" s="68"/>
      <c r="S1295" s="68"/>
      <c r="T1295" s="69">
        <f t="shared" si="329"/>
        <v>0</v>
      </c>
      <c r="U1295" s="61" t="s">
        <v>234</v>
      </c>
      <c r="V1295" s="83">
        <v>0</v>
      </c>
      <c r="W1295" s="61">
        <f t="shared" si="321"/>
        <v>0</v>
      </c>
      <c r="X1295" s="172">
        <v>46262.694444444445</v>
      </c>
      <c r="Y1295" s="172">
        <v>46263.798611111109</v>
      </c>
      <c r="Z1295" s="173">
        <f t="shared" si="323"/>
        <v>1.1041666666642413</v>
      </c>
      <c r="AA1295" s="174">
        <f t="shared" si="324"/>
        <v>1</v>
      </c>
      <c r="AB1295" s="175" t="str">
        <f t="shared" si="325"/>
        <v>-02:30:00</v>
      </c>
      <c r="AC1295" s="175" t="b">
        <f t="shared" si="326"/>
        <v>1</v>
      </c>
    </row>
    <row r="1296" spans="1:29" s="128" customFormat="1" ht="9.75" hidden="1" customHeight="1" x14ac:dyDescent="0.3">
      <c r="A1296" s="99">
        <v>46262</v>
      </c>
      <c r="B1296" s="59">
        <v>8209327</v>
      </c>
      <c r="C1296" s="60" t="s">
        <v>89</v>
      </c>
      <c r="D1296" s="60" t="s">
        <v>294</v>
      </c>
      <c r="E1296" s="61">
        <v>0.75</v>
      </c>
      <c r="F1296" s="60" t="s">
        <v>35</v>
      </c>
      <c r="G1296" s="71" t="s">
        <v>13</v>
      </c>
      <c r="H1296" s="62">
        <v>0.73263888888888884</v>
      </c>
      <c r="I1296" s="113" t="str">
        <f t="shared" si="322"/>
        <v>28-08-2026T17:35:00</v>
      </c>
      <c r="J1296" s="62">
        <v>0.7680555555555556</v>
      </c>
      <c r="K1296" s="62"/>
      <c r="L1296" s="63">
        <f t="shared" si="327"/>
        <v>3.5416666666666763E-2</v>
      </c>
      <c r="M1296" s="64">
        <v>4.1666666666666664E-2</v>
      </c>
      <c r="N1296" s="65" t="str">
        <f t="shared" si="328"/>
        <v>00:09:00</v>
      </c>
      <c r="O1296" s="66"/>
      <c r="P1296" s="124"/>
      <c r="Q1296" s="67"/>
      <c r="R1296" s="68"/>
      <c r="S1296" s="68"/>
      <c r="T1296" s="69">
        <f t="shared" si="329"/>
        <v>0</v>
      </c>
      <c r="U1296" s="61" t="s">
        <v>234</v>
      </c>
      <c r="V1296" s="83">
        <v>0</v>
      </c>
      <c r="W1296" s="61">
        <f t="shared" si="321"/>
        <v>0</v>
      </c>
      <c r="X1296" s="171">
        <v>46262.732638888891</v>
      </c>
      <c r="Y1296" s="171">
        <v>46262.768055555556</v>
      </c>
      <c r="Z1296" s="168">
        <f t="shared" si="323"/>
        <v>3.5416666665696539E-2</v>
      </c>
      <c r="AA1296" s="169">
        <f t="shared" si="324"/>
        <v>4.1666666666666664E-2</v>
      </c>
      <c r="AB1296" s="170" t="str">
        <f t="shared" si="325"/>
        <v>00:09:00</v>
      </c>
      <c r="AC1296" s="170" t="b">
        <f t="shared" si="326"/>
        <v>1</v>
      </c>
    </row>
    <row r="1297" spans="1:29" s="128" customFormat="1" ht="9.75" hidden="1" customHeight="1" x14ac:dyDescent="0.3">
      <c r="A1297" s="99">
        <v>46262</v>
      </c>
      <c r="B1297" s="59">
        <v>8209335</v>
      </c>
      <c r="C1297" s="60" t="s">
        <v>32</v>
      </c>
      <c r="D1297" s="60" t="s">
        <v>734</v>
      </c>
      <c r="E1297" s="61">
        <v>0.83333333333333337</v>
      </c>
      <c r="F1297" s="60" t="s">
        <v>287</v>
      </c>
      <c r="G1297" s="71" t="s">
        <v>13</v>
      </c>
      <c r="H1297" s="62">
        <v>0.73472222222222228</v>
      </c>
      <c r="I1297" s="113" t="str">
        <f t="shared" si="322"/>
        <v>28-08-2026T17:38:00</v>
      </c>
      <c r="J1297" s="62">
        <v>0.87152777777777779</v>
      </c>
      <c r="K1297" s="62"/>
      <c r="L1297" s="63">
        <f t="shared" si="327"/>
        <v>0.13680555555555551</v>
      </c>
      <c r="M1297" s="64">
        <v>0.14583333333333334</v>
      </c>
      <c r="N1297" s="65" t="str">
        <f t="shared" si="328"/>
        <v>00:13:00</v>
      </c>
      <c r="O1297" s="66"/>
      <c r="P1297" s="124"/>
      <c r="Q1297" s="67"/>
      <c r="R1297" s="68"/>
      <c r="S1297" s="68"/>
      <c r="T1297" s="69">
        <f t="shared" si="329"/>
        <v>0</v>
      </c>
      <c r="U1297" s="61"/>
      <c r="V1297" s="83">
        <v>0</v>
      </c>
      <c r="W1297" s="61">
        <f t="shared" si="321"/>
        <v>0</v>
      </c>
      <c r="X1297" s="171">
        <v>46262.734722222223</v>
      </c>
      <c r="Y1297" s="171">
        <v>46262.871527777781</v>
      </c>
      <c r="Z1297" s="168">
        <f t="shared" si="323"/>
        <v>0.1368055555576575</v>
      </c>
      <c r="AA1297" s="169">
        <f t="shared" si="324"/>
        <v>0.14583333333333334</v>
      </c>
      <c r="AB1297" s="170" t="str">
        <f t="shared" si="325"/>
        <v>00:13:00</v>
      </c>
      <c r="AC1297" s="170" t="b">
        <f t="shared" si="326"/>
        <v>1</v>
      </c>
    </row>
    <row r="1298" spans="1:29" s="128" customFormat="1" ht="9.75" hidden="1" customHeight="1" x14ac:dyDescent="0.3">
      <c r="A1298" s="99">
        <v>46262</v>
      </c>
      <c r="B1298" s="59">
        <v>8208463</v>
      </c>
      <c r="C1298" s="60" t="s">
        <v>42</v>
      </c>
      <c r="D1298" s="60" t="s">
        <v>181</v>
      </c>
      <c r="E1298" s="61">
        <v>0.875</v>
      </c>
      <c r="F1298" s="60" t="s">
        <v>55</v>
      </c>
      <c r="G1298" s="71" t="s">
        <v>13</v>
      </c>
      <c r="H1298" s="62">
        <v>0.43472222222222223</v>
      </c>
      <c r="I1298" s="113" t="str">
        <f t="shared" si="322"/>
        <v>28-08-2026T10:26:00</v>
      </c>
      <c r="J1298" s="62">
        <v>0.47499999999999998</v>
      </c>
      <c r="K1298" s="62"/>
      <c r="L1298" s="63">
        <f t="shared" si="327"/>
        <v>4.0277777777777746E-2</v>
      </c>
      <c r="M1298" s="64">
        <v>6.25E-2</v>
      </c>
      <c r="N1298" s="65" t="str">
        <f t="shared" si="328"/>
        <v>00:32:00</v>
      </c>
      <c r="O1298" s="66"/>
      <c r="P1298" s="124"/>
      <c r="Q1298" s="67"/>
      <c r="R1298" s="68"/>
      <c r="S1298" s="68"/>
      <c r="T1298" s="69">
        <f t="shared" si="329"/>
        <v>0</v>
      </c>
      <c r="U1298" s="61"/>
      <c r="V1298" s="83">
        <v>0</v>
      </c>
      <c r="W1298" s="61">
        <f t="shared" si="321"/>
        <v>0</v>
      </c>
      <c r="X1298" s="171">
        <v>46262.43472222222</v>
      </c>
      <c r="Y1298" s="171">
        <v>46262.474999999999</v>
      </c>
      <c r="Z1298" s="168">
        <f t="shared" si="323"/>
        <v>4.0277777778101154E-2</v>
      </c>
      <c r="AA1298" s="169">
        <f t="shared" si="324"/>
        <v>6.25E-2</v>
      </c>
      <c r="AB1298" s="170" t="str">
        <f t="shared" si="325"/>
        <v>00:32:00</v>
      </c>
      <c r="AC1298" s="170" t="b">
        <f t="shared" si="326"/>
        <v>1</v>
      </c>
    </row>
    <row r="1299" spans="1:29" s="128" customFormat="1" ht="9.75" hidden="1" customHeight="1" x14ac:dyDescent="0.3">
      <c r="A1299" s="99">
        <v>46262</v>
      </c>
      <c r="B1299" s="59">
        <v>8209198</v>
      </c>
      <c r="C1299" s="60" t="s">
        <v>41</v>
      </c>
      <c r="D1299" s="60" t="s">
        <v>299</v>
      </c>
      <c r="E1299" s="61">
        <v>0.875</v>
      </c>
      <c r="F1299" s="60" t="s">
        <v>24</v>
      </c>
      <c r="G1299" s="71" t="s">
        <v>13</v>
      </c>
      <c r="H1299" s="62">
        <v>0.69027777777777777</v>
      </c>
      <c r="I1299" s="113" t="str">
        <f t="shared" si="322"/>
        <v>28-08-2026T16:34:00</v>
      </c>
      <c r="J1299" s="62">
        <v>0.75208333333333333</v>
      </c>
      <c r="K1299" s="62"/>
      <c r="L1299" s="63">
        <f t="shared" si="327"/>
        <v>6.1805555555555558E-2</v>
      </c>
      <c r="M1299" s="64">
        <v>8.3333333333333329E-2</v>
      </c>
      <c r="N1299" s="65" t="str">
        <f t="shared" si="328"/>
        <v>00:31:00</v>
      </c>
      <c r="O1299" s="66"/>
      <c r="P1299" s="124"/>
      <c r="Q1299" s="67"/>
      <c r="R1299" s="68"/>
      <c r="S1299" s="68"/>
      <c r="T1299" s="69">
        <f t="shared" si="329"/>
        <v>0</v>
      </c>
      <c r="U1299" s="61"/>
      <c r="V1299" s="83">
        <v>0</v>
      </c>
      <c r="W1299" s="61">
        <f t="shared" ref="W1299:W1315" si="330">T1299-V1299</f>
        <v>0</v>
      </c>
      <c r="X1299" s="171">
        <v>46262.69027777778</v>
      </c>
      <c r="Y1299" s="171">
        <v>46262.752083333333</v>
      </c>
      <c r="Z1299" s="168">
        <f t="shared" si="323"/>
        <v>6.1805555553291924E-2</v>
      </c>
      <c r="AA1299" s="169">
        <f t="shared" si="324"/>
        <v>8.3333333333333329E-2</v>
      </c>
      <c r="AB1299" s="170" t="str">
        <f t="shared" si="325"/>
        <v>00:31:00</v>
      </c>
      <c r="AC1299" s="170" t="b">
        <f t="shared" si="326"/>
        <v>1</v>
      </c>
    </row>
    <row r="1300" spans="1:29" s="128" customFormat="1" ht="9.75" hidden="1" customHeight="1" x14ac:dyDescent="0.3">
      <c r="A1300" s="99">
        <v>46262</v>
      </c>
      <c r="B1300" s="59">
        <v>8209742</v>
      </c>
      <c r="C1300" s="60" t="s">
        <v>54</v>
      </c>
      <c r="D1300" s="60" t="s">
        <v>288</v>
      </c>
      <c r="E1300" s="61">
        <v>0.875</v>
      </c>
      <c r="F1300" s="60" t="s">
        <v>24</v>
      </c>
      <c r="G1300" s="71" t="s">
        <v>13</v>
      </c>
      <c r="H1300" s="62">
        <v>0.86736111111111114</v>
      </c>
      <c r="I1300" s="113" t="str">
        <f t="shared" si="322"/>
        <v>28-08-2026T20:49:00</v>
      </c>
      <c r="J1300" s="62">
        <v>0.94027777777777777</v>
      </c>
      <c r="K1300" s="62"/>
      <c r="L1300" s="63">
        <f t="shared" si="327"/>
        <v>7.291666666666663E-2</v>
      </c>
      <c r="M1300" s="64">
        <v>8.3333333333333329E-2</v>
      </c>
      <c r="N1300" s="65" t="str">
        <f t="shared" si="328"/>
        <v>00:15:00</v>
      </c>
      <c r="O1300" s="66"/>
      <c r="P1300" s="124"/>
      <c r="Q1300" s="67"/>
      <c r="R1300" s="68"/>
      <c r="S1300" s="68"/>
      <c r="T1300" s="69">
        <f t="shared" si="329"/>
        <v>0</v>
      </c>
      <c r="U1300" s="61"/>
      <c r="V1300" s="83">
        <v>0</v>
      </c>
      <c r="W1300" s="61">
        <f t="shared" si="330"/>
        <v>0</v>
      </c>
      <c r="X1300" s="171">
        <v>46262.867361111108</v>
      </c>
      <c r="Y1300" s="171">
        <v>46262.94027777778</v>
      </c>
      <c r="Z1300" s="168">
        <f t="shared" si="323"/>
        <v>7.2916666671517305E-2</v>
      </c>
      <c r="AA1300" s="169">
        <f t="shared" si="324"/>
        <v>8.3333333333333329E-2</v>
      </c>
      <c r="AB1300" s="170" t="str">
        <f t="shared" si="325"/>
        <v>00:15:00</v>
      </c>
      <c r="AC1300" s="170" t="b">
        <f t="shared" si="326"/>
        <v>1</v>
      </c>
    </row>
    <row r="1301" spans="1:29" s="128" customFormat="1" ht="9.75" hidden="1" customHeight="1" x14ac:dyDescent="0.3">
      <c r="A1301" s="99">
        <v>46262</v>
      </c>
      <c r="B1301" s="59">
        <v>8210043</v>
      </c>
      <c r="C1301" s="60" t="s">
        <v>57</v>
      </c>
      <c r="D1301" s="60" t="s">
        <v>370</v>
      </c>
      <c r="E1301" s="61">
        <v>0.99930555555555556</v>
      </c>
      <c r="F1301" s="60" t="s">
        <v>24</v>
      </c>
      <c r="G1301" s="71" t="s">
        <v>13</v>
      </c>
      <c r="H1301" s="62">
        <v>46262.992361111108</v>
      </c>
      <c r="I1301" s="113" t="str">
        <f t="shared" si="322"/>
        <v>28-08-2026T23:49:00</v>
      </c>
      <c r="J1301" s="62">
        <v>46263.065972222219</v>
      </c>
      <c r="K1301" s="62"/>
      <c r="L1301" s="63">
        <f t="shared" si="327"/>
        <v>7.3611111110949423E-2</v>
      </c>
      <c r="M1301" s="64">
        <v>8.3333333333333329E-2</v>
      </c>
      <c r="N1301" s="65" t="str">
        <f t="shared" si="328"/>
        <v>00:14:00</v>
      </c>
      <c r="O1301" s="66"/>
      <c r="P1301" s="124"/>
      <c r="Q1301" s="67"/>
      <c r="R1301" s="68"/>
      <c r="S1301" s="68"/>
      <c r="T1301" s="69">
        <f t="shared" si="329"/>
        <v>0</v>
      </c>
      <c r="U1301" s="61" t="s">
        <v>234</v>
      </c>
      <c r="V1301" s="83">
        <v>0</v>
      </c>
      <c r="W1301" s="61">
        <f t="shared" si="330"/>
        <v>0</v>
      </c>
      <c r="X1301" s="171">
        <v>46262.992361111108</v>
      </c>
      <c r="Y1301" s="171">
        <v>46263.065972222219</v>
      </c>
      <c r="Z1301" s="168">
        <f t="shared" si="323"/>
        <v>7.3611111110949423E-2</v>
      </c>
      <c r="AA1301" s="169">
        <f t="shared" si="324"/>
        <v>8.3333333333333329E-2</v>
      </c>
      <c r="AB1301" s="170" t="str">
        <f t="shared" si="325"/>
        <v>00:14:00</v>
      </c>
      <c r="AC1301" s="170" t="b">
        <f t="shared" si="326"/>
        <v>1</v>
      </c>
    </row>
    <row r="1302" spans="1:29" s="128" customFormat="1" ht="9.75" hidden="1" customHeight="1" x14ac:dyDescent="0.3">
      <c r="A1302" s="99">
        <v>46262</v>
      </c>
      <c r="B1302" s="59">
        <v>8208411</v>
      </c>
      <c r="C1302" s="60" t="s">
        <v>20</v>
      </c>
      <c r="D1302" s="60" t="s">
        <v>232</v>
      </c>
      <c r="E1302" s="61">
        <v>0.95833333333333337</v>
      </c>
      <c r="F1302" s="60" t="s">
        <v>21</v>
      </c>
      <c r="G1302" s="71" t="s">
        <v>13</v>
      </c>
      <c r="H1302" s="62">
        <v>0.4</v>
      </c>
      <c r="I1302" s="113" t="str">
        <f t="shared" si="322"/>
        <v>28-08-2026T09:36:00</v>
      </c>
      <c r="J1302" s="62">
        <v>0.64722222222222225</v>
      </c>
      <c r="K1302" s="62"/>
      <c r="L1302" s="63">
        <f t="shared" si="327"/>
        <v>0.24722222222222223</v>
      </c>
      <c r="M1302" s="64">
        <v>0.25</v>
      </c>
      <c r="N1302" s="65" t="str">
        <f t="shared" si="328"/>
        <v>00:04:00</v>
      </c>
      <c r="O1302" s="66"/>
      <c r="P1302" s="124"/>
      <c r="Q1302" s="67"/>
      <c r="R1302" s="68"/>
      <c r="S1302" s="68"/>
      <c r="T1302" s="69">
        <f t="shared" si="329"/>
        <v>0</v>
      </c>
      <c r="U1302" s="61" t="s">
        <v>234</v>
      </c>
      <c r="V1302" s="83">
        <v>0</v>
      </c>
      <c r="W1302" s="61">
        <f t="shared" si="330"/>
        <v>0</v>
      </c>
      <c r="X1302" s="171">
        <v>46262.400000000001</v>
      </c>
      <c r="Y1302" s="171">
        <v>46262.647222222222</v>
      </c>
      <c r="Z1302" s="168">
        <f t="shared" si="323"/>
        <v>0.24722222222044365</v>
      </c>
      <c r="AA1302" s="169">
        <f t="shared" si="324"/>
        <v>0.25</v>
      </c>
      <c r="AB1302" s="170" t="str">
        <f t="shared" si="325"/>
        <v>00:04:00</v>
      </c>
      <c r="AC1302" s="170" t="b">
        <f t="shared" si="326"/>
        <v>1</v>
      </c>
    </row>
    <row r="1303" spans="1:29" s="127" customFormat="1" ht="9.75" hidden="1" customHeight="1" x14ac:dyDescent="0.3">
      <c r="A1303" s="98">
        <v>46262</v>
      </c>
      <c r="B1303" s="48">
        <v>8210065</v>
      </c>
      <c r="C1303" s="49" t="s">
        <v>56</v>
      </c>
      <c r="D1303" s="49" t="s">
        <v>735</v>
      </c>
      <c r="E1303" s="50">
        <v>0.99930555555555556</v>
      </c>
      <c r="F1303" s="49" t="s">
        <v>15</v>
      </c>
      <c r="G1303" s="70" t="s">
        <v>13</v>
      </c>
      <c r="H1303" s="51">
        <v>46262.998611111114</v>
      </c>
      <c r="I1303" s="113" t="str">
        <f t="shared" si="322"/>
        <v>28-08-2026T23:58:00</v>
      </c>
      <c r="J1303" s="51">
        <v>46263.229166666664</v>
      </c>
      <c r="K1303" s="51"/>
      <c r="L1303" s="52">
        <f t="shared" si="327"/>
        <v>0.23055555555038154</v>
      </c>
      <c r="M1303" s="53">
        <v>0.20833333333333334</v>
      </c>
      <c r="N1303" s="54" t="str">
        <f t="shared" si="328"/>
        <v>-00:32:00</v>
      </c>
      <c r="O1303" s="55">
        <v>250</v>
      </c>
      <c r="P1303" s="147" t="s">
        <v>610</v>
      </c>
      <c r="Q1303" s="56"/>
      <c r="R1303" s="57"/>
      <c r="S1303" s="57"/>
      <c r="T1303" s="58">
        <f t="shared" si="329"/>
        <v>0</v>
      </c>
      <c r="U1303" s="50"/>
      <c r="V1303" s="74">
        <v>0</v>
      </c>
      <c r="W1303" s="50">
        <f t="shared" si="330"/>
        <v>0</v>
      </c>
      <c r="X1303" s="171">
        <v>46262.998611111114</v>
      </c>
      <c r="Y1303" s="171">
        <v>46263.229166666664</v>
      </c>
      <c r="Z1303" s="168">
        <f t="shared" si="323"/>
        <v>0.23055555555038154</v>
      </c>
      <c r="AA1303" s="169">
        <f t="shared" si="324"/>
        <v>0.20833333333333334</v>
      </c>
      <c r="AB1303" s="170" t="str">
        <f t="shared" si="325"/>
        <v>-00:32:00</v>
      </c>
      <c r="AC1303" s="170" t="b">
        <f t="shared" si="326"/>
        <v>1</v>
      </c>
    </row>
    <row r="1304" spans="1:29" s="128" customFormat="1" ht="9.75" customHeight="1" x14ac:dyDescent="0.3">
      <c r="A1304" s="99">
        <v>46262</v>
      </c>
      <c r="B1304" s="59">
        <v>8207433</v>
      </c>
      <c r="C1304" s="60" t="s">
        <v>90</v>
      </c>
      <c r="D1304" s="60" t="s">
        <v>290</v>
      </c>
      <c r="E1304" s="61">
        <v>0.99930555555555556</v>
      </c>
      <c r="F1304" s="60" t="s">
        <v>13</v>
      </c>
      <c r="G1304" s="71" t="s">
        <v>15</v>
      </c>
      <c r="H1304" s="62">
        <v>5.5555555555555552E-2</v>
      </c>
      <c r="I1304" s="113" t="str">
        <f t="shared" si="322"/>
        <v>28-08-2026T01:20:00</v>
      </c>
      <c r="J1304" s="62">
        <v>0.28472222222222221</v>
      </c>
      <c r="K1304" s="113" t="str">
        <f>TEXT(A1304,"dd-mm-yyyy")&amp;"T"&amp;TEXT(J1304,"hh:mm:ss")</f>
        <v>28-08-2026T06:50:00</v>
      </c>
      <c r="L1304" s="63">
        <f t="shared" si="327"/>
        <v>0.22916666666666666</v>
      </c>
      <c r="M1304" s="64">
        <v>0.27083333333333331</v>
      </c>
      <c r="N1304" s="65" t="str">
        <f t="shared" si="328"/>
        <v>01:00:00</v>
      </c>
      <c r="O1304" s="66"/>
      <c r="P1304" s="124"/>
      <c r="Q1304" s="67" t="s">
        <v>13</v>
      </c>
      <c r="R1304" s="68">
        <v>7.2916666666666671E-2</v>
      </c>
      <c r="S1304" s="68">
        <v>8.2638888888888887E-2</v>
      </c>
      <c r="T1304" s="69">
        <f t="shared" si="329"/>
        <v>9.7222222222222154E-3</v>
      </c>
      <c r="U1304" s="61"/>
      <c r="V1304" s="83">
        <v>4.1666666666666664E-2</v>
      </c>
      <c r="W1304" s="61">
        <f t="shared" si="330"/>
        <v>-3.1944444444444449E-2</v>
      </c>
      <c r="X1304" s="171">
        <v>46262.055555555555</v>
      </c>
      <c r="Y1304" s="171">
        <v>46262.284722222219</v>
      </c>
      <c r="Z1304" s="168">
        <f t="shared" si="323"/>
        <v>0.22916666666424135</v>
      </c>
      <c r="AA1304" s="169">
        <f t="shared" si="324"/>
        <v>0.27083333333333331</v>
      </c>
      <c r="AB1304" s="170" t="str">
        <f t="shared" si="325"/>
        <v>01:00:00</v>
      </c>
      <c r="AC1304" s="170" t="b">
        <f t="shared" si="326"/>
        <v>1</v>
      </c>
    </row>
    <row r="1305" spans="1:29" s="128" customFormat="1" ht="9.75" hidden="1" customHeight="1" x14ac:dyDescent="0.3">
      <c r="A1305" s="99">
        <v>46262</v>
      </c>
      <c r="B1305" s="59">
        <v>8208379</v>
      </c>
      <c r="C1305" s="60" t="s">
        <v>307</v>
      </c>
      <c r="D1305" s="60" t="s">
        <v>464</v>
      </c>
      <c r="E1305" s="61" t="s">
        <v>184</v>
      </c>
      <c r="F1305" s="60" t="s">
        <v>13</v>
      </c>
      <c r="G1305" s="71" t="s">
        <v>15</v>
      </c>
      <c r="H1305" s="62">
        <v>0.37638888888888888</v>
      </c>
      <c r="I1305" s="113" t="str">
        <f t="shared" si="322"/>
        <v>28-08-2026T09:02:00</v>
      </c>
      <c r="J1305" s="62">
        <v>0.62291666666666667</v>
      </c>
      <c r="K1305" s="62"/>
      <c r="L1305" s="63">
        <f t="shared" si="327"/>
        <v>0.24652777777777779</v>
      </c>
      <c r="M1305" s="64">
        <v>0.27083333333333331</v>
      </c>
      <c r="N1305" s="65" t="str">
        <f t="shared" si="328"/>
        <v>00:35:00</v>
      </c>
      <c r="O1305" s="66"/>
      <c r="P1305" s="124"/>
      <c r="Q1305" s="67"/>
      <c r="R1305" s="68"/>
      <c r="S1305" s="68"/>
      <c r="T1305" s="69">
        <f t="shared" si="329"/>
        <v>0</v>
      </c>
      <c r="U1305" s="61" t="s">
        <v>234</v>
      </c>
      <c r="V1305" s="83">
        <v>0</v>
      </c>
      <c r="W1305" s="61">
        <f t="shared" si="330"/>
        <v>0</v>
      </c>
      <c r="X1305" s="171">
        <v>46262.376388888886</v>
      </c>
      <c r="Y1305" s="171">
        <v>46262.622916666667</v>
      </c>
      <c r="Z1305" s="168">
        <f t="shared" si="323"/>
        <v>0.24652777778101154</v>
      </c>
      <c r="AA1305" s="169">
        <f t="shared" si="324"/>
        <v>0.27083333333333331</v>
      </c>
      <c r="AB1305" s="170" t="str">
        <f t="shared" si="325"/>
        <v>00:35:00</v>
      </c>
      <c r="AC1305" s="170" t="b">
        <f t="shared" si="326"/>
        <v>1</v>
      </c>
    </row>
    <row r="1306" spans="1:29" s="128" customFormat="1" ht="9.75" hidden="1" customHeight="1" x14ac:dyDescent="0.3">
      <c r="A1306" s="99">
        <v>46262</v>
      </c>
      <c r="B1306" s="59">
        <v>8209328</v>
      </c>
      <c r="C1306" s="60" t="s">
        <v>307</v>
      </c>
      <c r="D1306" s="60" t="s">
        <v>464</v>
      </c>
      <c r="E1306" s="61" t="s">
        <v>184</v>
      </c>
      <c r="F1306" s="60" t="s">
        <v>15</v>
      </c>
      <c r="G1306" s="71" t="s">
        <v>13</v>
      </c>
      <c r="H1306" s="62">
        <v>0.7319444444444444</v>
      </c>
      <c r="I1306" s="113" t="str">
        <f t="shared" si="322"/>
        <v>28-08-2026T17:34:00</v>
      </c>
      <c r="J1306" s="62">
        <v>0.96597222222222223</v>
      </c>
      <c r="K1306" s="62"/>
      <c r="L1306" s="63">
        <f t="shared" si="327"/>
        <v>0.23402777777777783</v>
      </c>
      <c r="M1306" s="64">
        <v>0.25</v>
      </c>
      <c r="N1306" s="65" t="str">
        <f t="shared" si="328"/>
        <v>00:23:00</v>
      </c>
      <c r="O1306" s="66"/>
      <c r="P1306" s="124"/>
      <c r="Q1306" s="67"/>
      <c r="R1306" s="68"/>
      <c r="S1306" s="68"/>
      <c r="T1306" s="69">
        <f t="shared" si="329"/>
        <v>0</v>
      </c>
      <c r="U1306" s="61" t="s">
        <v>234</v>
      </c>
      <c r="V1306" s="83">
        <v>0</v>
      </c>
      <c r="W1306" s="61">
        <f t="shared" si="330"/>
        <v>0</v>
      </c>
      <c r="X1306" s="171">
        <v>46262.731944444444</v>
      </c>
      <c r="Y1306" s="171">
        <v>46262.96597222222</v>
      </c>
      <c r="Z1306" s="168">
        <f t="shared" si="323"/>
        <v>0.23402777777664596</v>
      </c>
      <c r="AA1306" s="169">
        <f t="shared" si="324"/>
        <v>0.25</v>
      </c>
      <c r="AB1306" s="170" t="str">
        <f t="shared" si="325"/>
        <v>00:23:00</v>
      </c>
      <c r="AC1306" s="170" t="b">
        <f t="shared" si="326"/>
        <v>1</v>
      </c>
    </row>
    <row r="1307" spans="1:29" ht="9.75" hidden="1" customHeight="1" x14ac:dyDescent="0.3">
      <c r="A1307" s="149">
        <v>46261</v>
      </c>
      <c r="B1307" s="150" t="s">
        <v>687</v>
      </c>
      <c r="C1307" s="151" t="s">
        <v>105</v>
      </c>
      <c r="D1307" s="151" t="s">
        <v>386</v>
      </c>
      <c r="E1307" s="152">
        <v>0</v>
      </c>
      <c r="F1307" s="151"/>
      <c r="G1307" s="153"/>
      <c r="H1307" s="154">
        <v>0</v>
      </c>
      <c r="I1307" s="113" t="str">
        <f t="shared" si="322"/>
        <v>27-08-2026T00:00:00</v>
      </c>
      <c r="J1307" s="154">
        <v>0</v>
      </c>
      <c r="K1307" s="154"/>
      <c r="L1307" s="155">
        <v>0</v>
      </c>
      <c r="M1307" s="160">
        <v>0</v>
      </c>
      <c r="N1307" s="156">
        <v>0</v>
      </c>
      <c r="O1307" s="157"/>
      <c r="P1307" s="158" t="s">
        <v>480</v>
      </c>
      <c r="Q1307" s="159" t="s">
        <v>480</v>
      </c>
      <c r="R1307" s="148" t="s">
        <v>480</v>
      </c>
      <c r="S1307" s="148" t="s">
        <v>480</v>
      </c>
      <c r="T1307" s="161" t="s">
        <v>480</v>
      </c>
      <c r="U1307" s="152" t="s">
        <v>480</v>
      </c>
      <c r="V1307" s="146" t="s">
        <v>480</v>
      </c>
      <c r="W1307" s="152" t="s">
        <v>480</v>
      </c>
      <c r="X1307" s="171" t="s">
        <v>668</v>
      </c>
      <c r="Y1307" s="171" t="s">
        <v>668</v>
      </c>
      <c r="Z1307" s="168" t="e">
        <f t="shared" si="323"/>
        <v>#VALUE!</v>
      </c>
      <c r="AA1307" s="169">
        <f t="shared" si="324"/>
        <v>0</v>
      </c>
      <c r="AB1307" s="170" t="e">
        <f t="shared" si="325"/>
        <v>#VALUE!</v>
      </c>
      <c r="AC1307" s="170" t="e">
        <f t="shared" si="326"/>
        <v>#VALUE!</v>
      </c>
    </row>
    <row r="1308" spans="1:29" s="128" customFormat="1" ht="9.75" hidden="1" customHeight="1" x14ac:dyDescent="0.3">
      <c r="A1308" s="99">
        <v>46262</v>
      </c>
      <c r="B1308" s="59">
        <v>8209333</v>
      </c>
      <c r="C1308" s="60" t="s">
        <v>105</v>
      </c>
      <c r="D1308" s="60" t="s">
        <v>386</v>
      </c>
      <c r="E1308" s="61" t="s">
        <v>184</v>
      </c>
      <c r="F1308" s="60" t="s">
        <v>13</v>
      </c>
      <c r="G1308" s="71" t="s">
        <v>103</v>
      </c>
      <c r="H1308" s="62">
        <v>46262.73333333333</v>
      </c>
      <c r="I1308" s="113" t="str">
        <f t="shared" si="322"/>
        <v>28-08-2026T17:36:00</v>
      </c>
      <c r="J1308" s="62">
        <v>46263.260416666664</v>
      </c>
      <c r="K1308" s="62"/>
      <c r="L1308" s="63">
        <f t="shared" si="327"/>
        <v>0.52708333333430346</v>
      </c>
      <c r="M1308" s="64">
        <v>0.625</v>
      </c>
      <c r="N1308" s="65" t="str">
        <f t="shared" si="328"/>
        <v>02:21:00</v>
      </c>
      <c r="O1308" s="66"/>
      <c r="P1308" s="124"/>
      <c r="Q1308" s="67" t="s">
        <v>13</v>
      </c>
      <c r="R1308" s="68">
        <v>7.2916666666666671E-2</v>
      </c>
      <c r="S1308" s="68">
        <v>8.2638888888888887E-2</v>
      </c>
      <c r="T1308" s="69">
        <f t="shared" si="329"/>
        <v>9.7222222222222154E-3</v>
      </c>
      <c r="U1308" s="61" t="s">
        <v>234</v>
      </c>
      <c r="V1308" s="83" t="s">
        <v>319</v>
      </c>
      <c r="W1308" s="61" t="e">
        <f t="shared" si="330"/>
        <v>#VALUE!</v>
      </c>
      <c r="X1308" s="171">
        <v>46262.73333333333</v>
      </c>
      <c r="Y1308" s="171">
        <v>46263.260416666664</v>
      </c>
      <c r="Z1308" s="168">
        <f t="shared" si="323"/>
        <v>0.52708333333430346</v>
      </c>
      <c r="AA1308" s="169">
        <f t="shared" si="324"/>
        <v>0.625</v>
      </c>
      <c r="AB1308" s="170" t="str">
        <f t="shared" si="325"/>
        <v>02:21:00</v>
      </c>
      <c r="AC1308" s="170" t="b">
        <f t="shared" si="326"/>
        <v>1</v>
      </c>
    </row>
    <row r="1309" spans="1:29" s="128" customFormat="1" ht="9.75" hidden="1" customHeight="1" x14ac:dyDescent="0.3">
      <c r="A1309" s="99">
        <v>46263</v>
      </c>
      <c r="B1309" s="59">
        <v>8210158</v>
      </c>
      <c r="C1309" s="60" t="s">
        <v>82</v>
      </c>
      <c r="D1309" s="60" t="s">
        <v>333</v>
      </c>
      <c r="E1309" s="61">
        <v>6.25E-2</v>
      </c>
      <c r="F1309" s="60" t="s">
        <v>13</v>
      </c>
      <c r="G1309" s="71" t="s">
        <v>26</v>
      </c>
      <c r="H1309" s="62">
        <v>6.6666666666666666E-2</v>
      </c>
      <c r="I1309" s="113" t="str">
        <f t="shared" si="322"/>
        <v>29-08-2026T01:36:00</v>
      </c>
      <c r="J1309" s="62">
        <v>0.40833333333333333</v>
      </c>
      <c r="K1309" s="62"/>
      <c r="L1309" s="63">
        <f t="shared" si="327"/>
        <v>0.34166666666666667</v>
      </c>
      <c r="M1309" s="64">
        <v>0.41666666666666669</v>
      </c>
      <c r="N1309" s="65" t="str">
        <f t="shared" si="328"/>
        <v>01:48:00</v>
      </c>
      <c r="O1309" s="66"/>
      <c r="P1309" s="124" t="s">
        <v>752</v>
      </c>
      <c r="Q1309" s="67" t="s">
        <v>179</v>
      </c>
      <c r="R1309" s="68" t="s">
        <v>372</v>
      </c>
      <c r="S1309" s="68" t="s">
        <v>372</v>
      </c>
      <c r="T1309" s="69" t="e">
        <f t="shared" si="329"/>
        <v>#VALUE!</v>
      </c>
      <c r="U1309" s="61"/>
      <c r="V1309" s="83">
        <v>4.1666666666666664E-2</v>
      </c>
      <c r="W1309" s="61" t="e">
        <f t="shared" si="330"/>
        <v>#VALUE!</v>
      </c>
      <c r="X1309" s="171">
        <v>46263.066666666666</v>
      </c>
      <c r="Y1309" s="171">
        <v>46263.408333333333</v>
      </c>
      <c r="Z1309" s="168">
        <f t="shared" si="323"/>
        <v>0.34166666666715173</v>
      </c>
      <c r="AA1309" s="169">
        <f t="shared" si="324"/>
        <v>0.41666666666666669</v>
      </c>
      <c r="AB1309" s="170" t="str">
        <f t="shared" si="325"/>
        <v>01:48:00</v>
      </c>
      <c r="AC1309" s="170" t="b">
        <f t="shared" si="326"/>
        <v>1</v>
      </c>
    </row>
    <row r="1310" spans="1:29" s="128" customFormat="1" ht="9.75" hidden="1" customHeight="1" x14ac:dyDescent="0.3">
      <c r="A1310" s="99">
        <v>46263</v>
      </c>
      <c r="B1310" s="59">
        <v>8210212</v>
      </c>
      <c r="C1310" s="60" t="s">
        <v>100</v>
      </c>
      <c r="D1310" s="60" t="s">
        <v>389</v>
      </c>
      <c r="E1310" s="61">
        <v>8.3333333333333329E-2</v>
      </c>
      <c r="F1310" s="60" t="s">
        <v>13</v>
      </c>
      <c r="G1310" s="71" t="s">
        <v>19</v>
      </c>
      <c r="H1310" s="62">
        <v>8.819444444444445E-2</v>
      </c>
      <c r="I1310" s="113" t="str">
        <f t="shared" si="322"/>
        <v>29-08-2026T02:07:00</v>
      </c>
      <c r="J1310" s="62">
        <v>0.50347222222222221</v>
      </c>
      <c r="K1310" s="62"/>
      <c r="L1310" s="63">
        <f t="shared" si="327"/>
        <v>0.41527777777777775</v>
      </c>
      <c r="M1310" s="64">
        <v>0.41666666666666669</v>
      </c>
      <c r="N1310" s="65" t="str">
        <f t="shared" si="328"/>
        <v>00:02:00</v>
      </c>
      <c r="O1310" s="66"/>
      <c r="P1310" s="124" t="s">
        <v>610</v>
      </c>
      <c r="Q1310" s="67" t="s">
        <v>229</v>
      </c>
      <c r="R1310" s="68">
        <v>0.375</v>
      </c>
      <c r="S1310" s="68">
        <v>0.41666666666666669</v>
      </c>
      <c r="T1310" s="69">
        <f t="shared" si="329"/>
        <v>4.1666666666666685E-2</v>
      </c>
      <c r="U1310" s="61"/>
      <c r="V1310" s="83">
        <v>6.25E-2</v>
      </c>
      <c r="W1310" s="61">
        <f t="shared" si="330"/>
        <v>-2.0833333333333315E-2</v>
      </c>
      <c r="X1310" s="172">
        <v>46263.088194444441</v>
      </c>
      <c r="Y1310" s="172">
        <v>46263.503472222219</v>
      </c>
      <c r="Z1310" s="173">
        <f t="shared" si="323"/>
        <v>0.41527777777810115</v>
      </c>
      <c r="AA1310" s="174">
        <f t="shared" si="324"/>
        <v>0.41666666666666669</v>
      </c>
      <c r="AB1310" s="175" t="str">
        <f t="shared" si="325"/>
        <v>00:02:00</v>
      </c>
      <c r="AC1310" s="175" t="b">
        <f t="shared" si="326"/>
        <v>1</v>
      </c>
    </row>
    <row r="1311" spans="1:29" s="128" customFormat="1" ht="9.75" hidden="1" customHeight="1" x14ac:dyDescent="0.3">
      <c r="A1311" s="99">
        <v>46263</v>
      </c>
      <c r="B1311" s="59">
        <v>8210198</v>
      </c>
      <c r="C1311" s="60" t="s">
        <v>16</v>
      </c>
      <c r="D1311" s="60" t="s">
        <v>285</v>
      </c>
      <c r="E1311" s="61">
        <v>8.3333333333333329E-2</v>
      </c>
      <c r="F1311" s="60" t="s">
        <v>15</v>
      </c>
      <c r="G1311" s="71" t="s">
        <v>17</v>
      </c>
      <c r="H1311" s="62">
        <v>8.1944444444444445E-2</v>
      </c>
      <c r="I1311" s="113" t="str">
        <f t="shared" si="322"/>
        <v>29-08-2026T01:58:00</v>
      </c>
      <c r="J1311" s="62">
        <v>0.49027777777777776</v>
      </c>
      <c r="K1311" s="62"/>
      <c r="L1311" s="63">
        <f t="shared" si="327"/>
        <v>0.40833333333333333</v>
      </c>
      <c r="M1311" s="64">
        <v>0.41666666666666669</v>
      </c>
      <c r="N1311" s="65" t="str">
        <f t="shared" si="328"/>
        <v>00:12:00</v>
      </c>
      <c r="O1311" s="66"/>
      <c r="P1311" s="124"/>
      <c r="Q1311" s="67"/>
      <c r="R1311" s="68"/>
      <c r="S1311" s="68"/>
      <c r="T1311" s="69"/>
      <c r="U1311" s="61" t="s">
        <v>234</v>
      </c>
      <c r="V1311" s="83"/>
      <c r="W1311" s="61"/>
      <c r="X1311" s="171">
        <v>8.1944444444444445E-2</v>
      </c>
      <c r="Y1311" s="171">
        <v>0.49027777777777776</v>
      </c>
      <c r="Z1311" s="168">
        <f t="shared" si="323"/>
        <v>0.40833333333333333</v>
      </c>
      <c r="AA1311" s="169">
        <f t="shared" si="324"/>
        <v>0.41666666666666669</v>
      </c>
      <c r="AB1311" s="170" t="str">
        <f t="shared" si="325"/>
        <v>00:12:00</v>
      </c>
      <c r="AC1311" s="170" t="b">
        <f t="shared" si="326"/>
        <v>1</v>
      </c>
    </row>
    <row r="1312" spans="1:29" s="127" customFormat="1" ht="9.75" hidden="1" customHeight="1" x14ac:dyDescent="0.3">
      <c r="A1312" s="98">
        <v>46263</v>
      </c>
      <c r="B1312" s="48">
        <v>8210316</v>
      </c>
      <c r="C1312" s="49" t="s">
        <v>84</v>
      </c>
      <c r="D1312" s="49" t="s">
        <v>301</v>
      </c>
      <c r="E1312" s="50">
        <v>0.125</v>
      </c>
      <c r="F1312" s="49" t="s">
        <v>13</v>
      </c>
      <c r="G1312" s="70" t="s">
        <v>284</v>
      </c>
      <c r="H1312" s="51">
        <v>0.13263888888888889</v>
      </c>
      <c r="I1312" s="113" t="str">
        <f t="shared" si="322"/>
        <v>29-08-2026T03:11:00</v>
      </c>
      <c r="J1312" s="51">
        <v>0.51388888888888884</v>
      </c>
      <c r="K1312" s="51"/>
      <c r="L1312" s="52">
        <f t="shared" si="327"/>
        <v>0.38124999999999998</v>
      </c>
      <c r="M1312" s="53">
        <v>0.35416666666666669</v>
      </c>
      <c r="N1312" s="54" t="str">
        <f t="shared" si="328"/>
        <v>-00:39:00</v>
      </c>
      <c r="O1312" s="55">
        <v>150</v>
      </c>
      <c r="P1312" s="147" t="s">
        <v>567</v>
      </c>
      <c r="Q1312" s="56" t="s">
        <v>174</v>
      </c>
      <c r="R1312" s="57">
        <v>0.375</v>
      </c>
      <c r="S1312" s="57">
        <v>0.45833333333333331</v>
      </c>
      <c r="T1312" s="47">
        <f t="shared" ref="T1312" si="331">S1312-R1312</f>
        <v>8.3333333333333315E-2</v>
      </c>
      <c r="U1312" s="50" t="s">
        <v>234</v>
      </c>
      <c r="V1312" s="74">
        <v>6.25E-2</v>
      </c>
      <c r="W1312" s="50">
        <f t="shared" si="330"/>
        <v>2.0833333333333315E-2</v>
      </c>
      <c r="X1312" s="171">
        <v>46263.132638888892</v>
      </c>
      <c r="Y1312" s="171">
        <v>46263.513888888891</v>
      </c>
      <c r="Z1312" s="168">
        <f t="shared" si="323"/>
        <v>0.38124999999854481</v>
      </c>
      <c r="AA1312" s="169">
        <f t="shared" si="324"/>
        <v>0.35416666666666669</v>
      </c>
      <c r="AB1312" s="170" t="str">
        <f t="shared" si="325"/>
        <v>-00:39:00</v>
      </c>
      <c r="AC1312" s="170" t="b">
        <f t="shared" si="326"/>
        <v>1</v>
      </c>
    </row>
    <row r="1313" spans="1:29" s="128" customFormat="1" ht="9.75" hidden="1" customHeight="1" x14ac:dyDescent="0.3">
      <c r="A1313" s="99">
        <v>46263</v>
      </c>
      <c r="B1313" s="59">
        <v>8210424</v>
      </c>
      <c r="C1313" s="60" t="s">
        <v>41</v>
      </c>
      <c r="D1313" s="60" t="s">
        <v>299</v>
      </c>
      <c r="E1313" s="61">
        <v>0.16666666666666666</v>
      </c>
      <c r="F1313" s="60" t="s">
        <v>13</v>
      </c>
      <c r="G1313" s="71" t="s">
        <v>24</v>
      </c>
      <c r="H1313" s="62">
        <v>0.16805555555555557</v>
      </c>
      <c r="I1313" s="113" t="str">
        <f t="shared" si="322"/>
        <v>29-08-2026T04:02:00</v>
      </c>
      <c r="J1313" s="62">
        <v>0.24444444444444444</v>
      </c>
      <c r="K1313" s="62"/>
      <c r="L1313" s="63">
        <f t="shared" si="327"/>
        <v>7.6388888888888867E-2</v>
      </c>
      <c r="M1313" s="64">
        <v>8.3333333333333329E-2</v>
      </c>
      <c r="N1313" s="65" t="str">
        <f t="shared" si="328"/>
        <v>00:10:00</v>
      </c>
      <c r="O1313" s="66"/>
      <c r="P1313" s="124"/>
      <c r="Q1313" s="67"/>
      <c r="R1313" s="68"/>
      <c r="S1313" s="68"/>
      <c r="T1313" s="69"/>
      <c r="U1313" s="61"/>
      <c r="V1313" s="83"/>
      <c r="W1313" s="61"/>
      <c r="X1313" s="171">
        <v>46263.168055555558</v>
      </c>
      <c r="Y1313" s="171">
        <v>46263.244444444441</v>
      </c>
      <c r="Z1313" s="168">
        <f t="shared" si="323"/>
        <v>7.6388888883229811E-2</v>
      </c>
      <c r="AA1313" s="169">
        <f t="shared" si="324"/>
        <v>8.3333333333333329E-2</v>
      </c>
      <c r="AB1313" s="170" t="str">
        <f t="shared" si="325"/>
        <v>00:10:00</v>
      </c>
      <c r="AC1313" s="170" t="b">
        <f t="shared" si="326"/>
        <v>1</v>
      </c>
    </row>
    <row r="1314" spans="1:29" s="144" customFormat="1" ht="9.75" hidden="1" customHeight="1" x14ac:dyDescent="0.3">
      <c r="A1314" s="129">
        <v>46263</v>
      </c>
      <c r="B1314" s="130">
        <v>8210405</v>
      </c>
      <c r="C1314" s="131" t="s">
        <v>29</v>
      </c>
      <c r="D1314" s="131" t="s">
        <v>373</v>
      </c>
      <c r="E1314" s="132">
        <v>0.16666666666666666</v>
      </c>
      <c r="F1314" s="131" t="s">
        <v>17</v>
      </c>
      <c r="G1314" s="133" t="s">
        <v>15</v>
      </c>
      <c r="H1314" s="134">
        <v>0.16458333333333333</v>
      </c>
      <c r="I1314" s="113" t="str">
        <f t="shared" si="322"/>
        <v>29-08-2026T03:57:00</v>
      </c>
      <c r="J1314" s="134">
        <v>0.69652777777777775</v>
      </c>
      <c r="K1314" s="134"/>
      <c r="L1314" s="135">
        <f t="shared" si="327"/>
        <v>0.53194444444444444</v>
      </c>
      <c r="M1314" s="136">
        <v>0.5</v>
      </c>
      <c r="N1314" s="137" t="str">
        <f t="shared" si="328"/>
        <v>-00:46:00</v>
      </c>
      <c r="O1314" s="138"/>
      <c r="P1314" s="145" t="s">
        <v>567</v>
      </c>
      <c r="Q1314" s="140" t="s">
        <v>98</v>
      </c>
      <c r="R1314" s="141">
        <v>0.375</v>
      </c>
      <c r="S1314" s="141">
        <v>0.49583333333333335</v>
      </c>
      <c r="T1314" s="142">
        <f t="shared" ref="T1314:T1315" si="332">S1314-R1314</f>
        <v>0.12083333333333335</v>
      </c>
      <c r="U1314" s="132" t="s">
        <v>234</v>
      </c>
      <c r="V1314" s="143">
        <v>8.3333333333333329E-2</v>
      </c>
      <c r="W1314" s="132">
        <f t="shared" si="330"/>
        <v>3.7500000000000019E-2</v>
      </c>
      <c r="X1314" s="171">
        <v>0.16458333333333333</v>
      </c>
      <c r="Y1314" s="171">
        <v>0.69652777777777775</v>
      </c>
      <c r="Z1314" s="168">
        <f t="shared" si="323"/>
        <v>0.53194444444444444</v>
      </c>
      <c r="AA1314" s="169">
        <f t="shared" si="324"/>
        <v>0.5</v>
      </c>
      <c r="AB1314" s="170" t="str">
        <f t="shared" si="325"/>
        <v>-00:46:00</v>
      </c>
      <c r="AC1314" s="170" t="b">
        <f t="shared" si="326"/>
        <v>1</v>
      </c>
    </row>
    <row r="1315" spans="1:29" s="127" customFormat="1" ht="9.75" hidden="1" customHeight="1" x14ac:dyDescent="0.3">
      <c r="A1315" s="98">
        <v>46263</v>
      </c>
      <c r="B1315" s="48">
        <v>8210609</v>
      </c>
      <c r="C1315" s="49" t="s">
        <v>30</v>
      </c>
      <c r="D1315" s="49" t="s">
        <v>286</v>
      </c>
      <c r="E1315" s="50">
        <v>0.16666666666666666</v>
      </c>
      <c r="F1315" s="49" t="s">
        <v>31</v>
      </c>
      <c r="G1315" s="70" t="s">
        <v>13</v>
      </c>
      <c r="H1315" s="51">
        <v>0.21111111111111111</v>
      </c>
      <c r="I1315" s="113" t="str">
        <f t="shared" si="322"/>
        <v>29-08-2026T05:04:00</v>
      </c>
      <c r="J1315" s="51">
        <v>0.93888888888888888</v>
      </c>
      <c r="K1315" s="51"/>
      <c r="L1315" s="52">
        <f t="shared" si="327"/>
        <v>0.72777777777777775</v>
      </c>
      <c r="M1315" s="53">
        <v>0.70833333333333337</v>
      </c>
      <c r="N1315" s="54" t="str">
        <f t="shared" si="328"/>
        <v>-00:28:00</v>
      </c>
      <c r="O1315" s="55">
        <v>200</v>
      </c>
      <c r="P1315" s="147" t="s">
        <v>769</v>
      </c>
      <c r="Q1315" s="56" t="s">
        <v>13</v>
      </c>
      <c r="R1315" s="57">
        <v>0.83263888888888893</v>
      </c>
      <c r="S1315" s="57">
        <v>0.93055555555555558</v>
      </c>
      <c r="T1315" s="47">
        <f t="shared" si="332"/>
        <v>9.7916666666666652E-2</v>
      </c>
      <c r="U1315" s="50"/>
      <c r="V1315" s="74">
        <v>8.3333333333333329E-2</v>
      </c>
      <c r="W1315" s="50">
        <f t="shared" si="330"/>
        <v>1.4583333333333323E-2</v>
      </c>
      <c r="X1315" s="171">
        <v>46263.211111111108</v>
      </c>
      <c r="Y1315" s="171">
        <v>46263.938888888886</v>
      </c>
      <c r="Z1315" s="168">
        <f t="shared" si="323"/>
        <v>0.72777777777810115</v>
      </c>
      <c r="AA1315" s="169">
        <f t="shared" si="324"/>
        <v>0.70833333333333337</v>
      </c>
      <c r="AB1315" s="170" t="str">
        <f t="shared" si="325"/>
        <v>-00:28:00</v>
      </c>
      <c r="AC1315" s="170" t="b">
        <f t="shared" si="326"/>
        <v>1</v>
      </c>
    </row>
    <row r="1316" spans="1:29" s="128" customFormat="1" ht="9.75" hidden="1" customHeight="1" x14ac:dyDescent="0.3">
      <c r="A1316" s="99">
        <v>46263</v>
      </c>
      <c r="B1316" s="59">
        <v>8210423</v>
      </c>
      <c r="C1316" s="60" t="s">
        <v>27</v>
      </c>
      <c r="D1316" s="60" t="s">
        <v>378</v>
      </c>
      <c r="E1316" s="61">
        <v>0.16666666666666666</v>
      </c>
      <c r="F1316" s="60" t="s">
        <v>13</v>
      </c>
      <c r="G1316" s="71" t="s">
        <v>28</v>
      </c>
      <c r="H1316" s="62">
        <v>0.1673611111111111</v>
      </c>
      <c r="I1316" s="113" t="str">
        <f t="shared" si="322"/>
        <v>29-08-2026T04:01:00</v>
      </c>
      <c r="J1316" s="62">
        <v>0.33333333333333331</v>
      </c>
      <c r="K1316" s="62"/>
      <c r="L1316" s="63">
        <f t="shared" si="327"/>
        <v>0.16597222222222222</v>
      </c>
      <c r="M1316" s="64">
        <v>0.16666666666666666</v>
      </c>
      <c r="N1316" s="65" t="str">
        <f t="shared" si="328"/>
        <v>00:01:00</v>
      </c>
      <c r="O1316" s="66"/>
      <c r="P1316" s="124"/>
      <c r="Q1316" s="67"/>
      <c r="R1316" s="68"/>
      <c r="S1316" s="68"/>
      <c r="T1316" s="69"/>
      <c r="U1316" s="61" t="s">
        <v>234</v>
      </c>
      <c r="V1316" s="83"/>
      <c r="W1316" s="61"/>
      <c r="X1316" s="171">
        <v>46263.167361111111</v>
      </c>
      <c r="Y1316" s="171">
        <v>46263.333333333336</v>
      </c>
      <c r="Z1316" s="168">
        <f t="shared" si="323"/>
        <v>0.16597222222480923</v>
      </c>
      <c r="AA1316" s="169">
        <f t="shared" si="324"/>
        <v>0.16666666666666666</v>
      </c>
      <c r="AB1316" s="170" t="str">
        <f t="shared" si="325"/>
        <v>00:01:00</v>
      </c>
      <c r="AC1316" s="170" t="b">
        <f t="shared" si="326"/>
        <v>1</v>
      </c>
    </row>
    <row r="1317" spans="1:29" s="128" customFormat="1" ht="9.75" hidden="1" customHeight="1" x14ac:dyDescent="0.3">
      <c r="A1317" s="99">
        <v>46263</v>
      </c>
      <c r="B1317" s="59">
        <v>8210602</v>
      </c>
      <c r="C1317" s="60" t="s">
        <v>32</v>
      </c>
      <c r="D1317" s="60" t="s">
        <v>734</v>
      </c>
      <c r="E1317" s="61">
        <v>0.20833333333333334</v>
      </c>
      <c r="F1317" s="60" t="s">
        <v>13</v>
      </c>
      <c r="G1317" s="71" t="s">
        <v>287</v>
      </c>
      <c r="H1317" s="62">
        <v>0.21041666666666667</v>
      </c>
      <c r="I1317" s="113" t="str">
        <f t="shared" si="322"/>
        <v>29-08-2026T05:03:00</v>
      </c>
      <c r="J1317" s="62">
        <v>0.35069444444444442</v>
      </c>
      <c r="K1317" s="62"/>
      <c r="L1317" s="63">
        <f t="shared" si="327"/>
        <v>0.14027777777777775</v>
      </c>
      <c r="M1317" s="64">
        <v>0.14583333333333334</v>
      </c>
      <c r="N1317" s="65" t="str">
        <f t="shared" si="328"/>
        <v>00:08:00</v>
      </c>
      <c r="O1317" s="66"/>
      <c r="P1317" s="124"/>
      <c r="Q1317" s="67"/>
      <c r="R1317" s="68"/>
      <c r="S1317" s="68"/>
      <c r="T1317" s="69"/>
      <c r="U1317" s="61"/>
      <c r="V1317" s="83"/>
      <c r="W1317" s="61"/>
      <c r="X1317" s="171">
        <v>46263.210416666669</v>
      </c>
      <c r="Y1317" s="171">
        <v>46263.350694444445</v>
      </c>
      <c r="Z1317" s="168">
        <f t="shared" si="323"/>
        <v>0.14027777777664596</v>
      </c>
      <c r="AA1317" s="169">
        <f t="shared" si="324"/>
        <v>0.14583333333333334</v>
      </c>
      <c r="AB1317" s="170" t="str">
        <f t="shared" si="325"/>
        <v>00:08:00</v>
      </c>
      <c r="AC1317" s="170" t="b">
        <f t="shared" si="326"/>
        <v>1</v>
      </c>
    </row>
    <row r="1318" spans="1:29" s="128" customFormat="1" ht="9.75" hidden="1" customHeight="1" x14ac:dyDescent="0.3">
      <c r="A1318" s="99">
        <v>46263</v>
      </c>
      <c r="B1318" s="59">
        <v>8210718</v>
      </c>
      <c r="C1318" s="60" t="s">
        <v>25</v>
      </c>
      <c r="D1318" s="60" t="s">
        <v>718</v>
      </c>
      <c r="E1318" s="61">
        <v>0.20833333333333334</v>
      </c>
      <c r="F1318" s="60" t="s">
        <v>26</v>
      </c>
      <c r="G1318" s="71" t="s">
        <v>13</v>
      </c>
      <c r="H1318" s="62">
        <v>0.24166666666666667</v>
      </c>
      <c r="I1318" s="113" t="str">
        <f t="shared" si="322"/>
        <v>29-08-2026T05:48:00</v>
      </c>
      <c r="J1318" s="62">
        <v>0.62569444444444444</v>
      </c>
      <c r="K1318" s="62"/>
      <c r="L1318" s="63">
        <f t="shared" si="327"/>
        <v>0.38402777777777775</v>
      </c>
      <c r="M1318" s="64">
        <v>0.45833333333333331</v>
      </c>
      <c r="N1318" s="65" t="str">
        <f t="shared" si="328"/>
        <v>01:47:00</v>
      </c>
      <c r="O1318" s="66"/>
      <c r="P1318" s="124"/>
      <c r="Q1318" s="67" t="s">
        <v>13</v>
      </c>
      <c r="R1318" s="68">
        <v>0.57152777777777775</v>
      </c>
      <c r="S1318" s="68">
        <v>0.62152777777777779</v>
      </c>
      <c r="T1318" s="69">
        <f t="shared" ref="T1318" si="333">S1318-R1318</f>
        <v>5.0000000000000044E-2</v>
      </c>
      <c r="U1318" s="61"/>
      <c r="V1318" s="83">
        <v>8.3333333333333329E-2</v>
      </c>
      <c r="W1318" s="61">
        <f t="shared" ref="W1318" si="334">T1318-V1318</f>
        <v>-3.3333333333333284E-2</v>
      </c>
      <c r="X1318" s="171">
        <v>46263.241666666669</v>
      </c>
      <c r="Y1318" s="171">
        <v>46263.625694444447</v>
      </c>
      <c r="Z1318" s="168">
        <f t="shared" si="323"/>
        <v>0.38402777777810115</v>
      </c>
      <c r="AA1318" s="169">
        <f t="shared" si="324"/>
        <v>0.45833333333333331</v>
      </c>
      <c r="AB1318" s="170" t="str">
        <f t="shared" si="325"/>
        <v>01:47:00</v>
      </c>
      <c r="AC1318" s="170" t="b">
        <f t="shared" si="326"/>
        <v>1</v>
      </c>
    </row>
    <row r="1319" spans="1:29" s="128" customFormat="1" ht="9.75" hidden="1" customHeight="1" x14ac:dyDescent="0.3">
      <c r="A1319" s="99">
        <v>46263</v>
      </c>
      <c r="B1319" s="59">
        <v>8210767</v>
      </c>
      <c r="C1319" s="60" t="s">
        <v>58</v>
      </c>
      <c r="D1319" s="60" t="s">
        <v>591</v>
      </c>
      <c r="E1319" s="61">
        <v>0.25</v>
      </c>
      <c r="F1319" s="60" t="s">
        <v>14</v>
      </c>
      <c r="G1319" s="71" t="s">
        <v>13</v>
      </c>
      <c r="H1319" s="62">
        <v>0.25</v>
      </c>
      <c r="I1319" s="113" t="str">
        <f t="shared" si="322"/>
        <v>29-08-2026T06:00:00</v>
      </c>
      <c r="J1319" s="62">
        <v>0.77430555555555558</v>
      </c>
      <c r="K1319" s="62"/>
      <c r="L1319" s="63">
        <f t="shared" si="327"/>
        <v>0.52430555555555558</v>
      </c>
      <c r="M1319" s="64">
        <v>0.54166666666666663</v>
      </c>
      <c r="N1319" s="65" t="str">
        <f t="shared" si="328"/>
        <v>00:25:00</v>
      </c>
      <c r="O1319" s="66"/>
      <c r="P1319" s="124"/>
      <c r="Q1319" s="67"/>
      <c r="R1319" s="68"/>
      <c r="S1319" s="68"/>
      <c r="T1319" s="69"/>
      <c r="U1319" s="61"/>
      <c r="V1319" s="83"/>
      <c r="W1319" s="61"/>
      <c r="X1319" s="171">
        <v>46263.25</v>
      </c>
      <c r="Y1319" s="171">
        <v>46263.774305555555</v>
      </c>
      <c r="Z1319" s="168">
        <f t="shared" si="323"/>
        <v>0.52430555555474712</v>
      </c>
      <c r="AA1319" s="169">
        <f t="shared" si="324"/>
        <v>0.54166666666666663</v>
      </c>
      <c r="AB1319" s="170" t="str">
        <f t="shared" si="325"/>
        <v>00:25:00</v>
      </c>
      <c r="AC1319" s="170" t="b">
        <f t="shared" si="326"/>
        <v>1</v>
      </c>
    </row>
    <row r="1320" spans="1:29" s="128" customFormat="1" ht="9.75" hidden="1" customHeight="1" x14ac:dyDescent="0.3">
      <c r="A1320" s="99">
        <v>46263</v>
      </c>
      <c r="B1320" s="59">
        <v>8210795</v>
      </c>
      <c r="C1320" s="60" t="s">
        <v>89</v>
      </c>
      <c r="D1320" s="60" t="s">
        <v>294</v>
      </c>
      <c r="E1320" s="61">
        <v>0.25</v>
      </c>
      <c r="F1320" s="60" t="s">
        <v>13</v>
      </c>
      <c r="G1320" s="71" t="s">
        <v>35</v>
      </c>
      <c r="H1320" s="62">
        <v>0.25277777777777777</v>
      </c>
      <c r="I1320" s="113" t="str">
        <f t="shared" si="322"/>
        <v>29-08-2026T06:04:00</v>
      </c>
      <c r="J1320" s="62">
        <v>0.28819444444444442</v>
      </c>
      <c r="K1320" s="62"/>
      <c r="L1320" s="63">
        <f t="shared" si="327"/>
        <v>3.5416666666666652E-2</v>
      </c>
      <c r="M1320" s="64">
        <v>4.1666666666666664E-2</v>
      </c>
      <c r="N1320" s="65" t="str">
        <f t="shared" si="328"/>
        <v>00:09:00</v>
      </c>
      <c r="O1320" s="66"/>
      <c r="P1320" s="124"/>
      <c r="Q1320" s="67"/>
      <c r="R1320" s="68"/>
      <c r="S1320" s="68"/>
      <c r="T1320" s="69"/>
      <c r="U1320" s="61"/>
      <c r="V1320" s="83"/>
      <c r="W1320" s="61"/>
      <c r="X1320" s="171">
        <v>46263.25277777778</v>
      </c>
      <c r="Y1320" s="171">
        <v>46263.288194444445</v>
      </c>
      <c r="Z1320" s="168">
        <f t="shared" si="323"/>
        <v>3.5416666665696539E-2</v>
      </c>
      <c r="AA1320" s="169">
        <f t="shared" si="324"/>
        <v>4.1666666666666664E-2</v>
      </c>
      <c r="AB1320" s="170" t="str">
        <f t="shared" si="325"/>
        <v>00:09:00</v>
      </c>
      <c r="AC1320" s="170" t="b">
        <f t="shared" si="326"/>
        <v>1</v>
      </c>
    </row>
    <row r="1321" spans="1:29" s="127" customFormat="1" ht="9.75" hidden="1" customHeight="1" x14ac:dyDescent="0.3">
      <c r="A1321" s="98">
        <v>46263</v>
      </c>
      <c r="B1321" s="48">
        <v>8210856</v>
      </c>
      <c r="C1321" s="49" t="s">
        <v>12</v>
      </c>
      <c r="D1321" s="49" t="s">
        <v>586</v>
      </c>
      <c r="E1321" s="50">
        <v>0.27083333333333331</v>
      </c>
      <c r="F1321" s="49" t="s">
        <v>14</v>
      </c>
      <c r="G1321" s="70" t="s">
        <v>13</v>
      </c>
      <c r="H1321" s="51">
        <v>0.27013888888888887</v>
      </c>
      <c r="I1321" s="113" t="str">
        <f t="shared" si="322"/>
        <v>29-08-2026T06:29:00</v>
      </c>
      <c r="J1321" s="51">
        <v>0.93958333333333333</v>
      </c>
      <c r="K1321" s="51"/>
      <c r="L1321" s="52">
        <f t="shared" si="327"/>
        <v>0.66944444444444451</v>
      </c>
      <c r="M1321" s="53">
        <v>0.625</v>
      </c>
      <c r="N1321" s="54" t="str">
        <f t="shared" si="328"/>
        <v>-01:04:00</v>
      </c>
      <c r="O1321" s="55">
        <v>200</v>
      </c>
      <c r="P1321" s="147" t="s">
        <v>706</v>
      </c>
      <c r="Q1321" s="56" t="s">
        <v>204</v>
      </c>
      <c r="R1321" s="57">
        <v>0.375</v>
      </c>
      <c r="S1321" s="57">
        <v>0.45555555555555555</v>
      </c>
      <c r="T1321" s="47">
        <f t="shared" ref="T1321:T1322" si="335">S1321-R1321</f>
        <v>8.0555555555555547E-2</v>
      </c>
      <c r="U1321" s="50"/>
      <c r="V1321" s="74">
        <v>6.25E-2</v>
      </c>
      <c r="W1321" s="50">
        <f t="shared" ref="W1321:W1322" si="336">T1321-V1321</f>
        <v>1.8055555555555547E-2</v>
      </c>
      <c r="X1321" s="171">
        <v>46263.270138888889</v>
      </c>
      <c r="Y1321" s="171">
        <v>46263.939583333333</v>
      </c>
      <c r="Z1321" s="168">
        <f t="shared" si="323"/>
        <v>0.66944444444379769</v>
      </c>
      <c r="AA1321" s="169">
        <f t="shared" si="324"/>
        <v>0.625</v>
      </c>
      <c r="AB1321" s="170" t="str">
        <f t="shared" si="325"/>
        <v>-01:04:00</v>
      </c>
      <c r="AC1321" s="170" t="b">
        <f t="shared" si="326"/>
        <v>1</v>
      </c>
    </row>
    <row r="1322" spans="1:29" s="128" customFormat="1" ht="9.75" hidden="1" customHeight="1" x14ac:dyDescent="0.3">
      <c r="A1322" s="99">
        <v>46263</v>
      </c>
      <c r="B1322" s="59">
        <v>8210869</v>
      </c>
      <c r="C1322" s="60" t="s">
        <v>38</v>
      </c>
      <c r="D1322" s="60" t="s">
        <v>289</v>
      </c>
      <c r="E1322" s="61">
        <v>0.27083333333333331</v>
      </c>
      <c r="F1322" s="60" t="s">
        <v>13</v>
      </c>
      <c r="G1322" s="71" t="s">
        <v>14</v>
      </c>
      <c r="H1322" s="62">
        <v>0.27430555555555558</v>
      </c>
      <c r="I1322" s="113" t="str">
        <f t="shared" si="322"/>
        <v>29-08-2026T06:35:00</v>
      </c>
      <c r="J1322" s="62">
        <v>0.87916666666666665</v>
      </c>
      <c r="K1322" s="62"/>
      <c r="L1322" s="63">
        <f t="shared" si="327"/>
        <v>0.60486111111111107</v>
      </c>
      <c r="M1322" s="64">
        <v>0.625</v>
      </c>
      <c r="N1322" s="65" t="str">
        <f t="shared" si="328"/>
        <v>00:29:00</v>
      </c>
      <c r="O1322" s="66"/>
      <c r="P1322" s="124"/>
      <c r="Q1322" s="67" t="s">
        <v>15</v>
      </c>
      <c r="R1322" s="68">
        <v>0.52013888888888893</v>
      </c>
      <c r="S1322" s="68">
        <v>0.53402777777777777</v>
      </c>
      <c r="T1322" s="69">
        <f t="shared" si="335"/>
        <v>1.388888888888884E-2</v>
      </c>
      <c r="U1322" s="61"/>
      <c r="V1322" s="83">
        <v>8.3333333333333329E-2</v>
      </c>
      <c r="W1322" s="61">
        <f t="shared" si="336"/>
        <v>-6.9444444444444489E-2</v>
      </c>
      <c r="X1322" s="171">
        <v>46263.274305555555</v>
      </c>
      <c r="Y1322" s="171">
        <v>46263.879166666666</v>
      </c>
      <c r="Z1322" s="168">
        <f t="shared" si="323"/>
        <v>0.60486111111094942</v>
      </c>
      <c r="AA1322" s="169">
        <f t="shared" si="324"/>
        <v>0.625</v>
      </c>
      <c r="AB1322" s="170" t="str">
        <f t="shared" si="325"/>
        <v>00:29:00</v>
      </c>
      <c r="AC1322" s="170" t="b">
        <f t="shared" si="326"/>
        <v>1</v>
      </c>
    </row>
    <row r="1323" spans="1:29" s="127" customFormat="1" ht="9.75" hidden="1" customHeight="1" x14ac:dyDescent="0.3">
      <c r="A1323" s="98">
        <v>46263</v>
      </c>
      <c r="B1323" s="48">
        <v>8210813</v>
      </c>
      <c r="C1323" s="49" t="s">
        <v>34</v>
      </c>
      <c r="D1323" s="49" t="s">
        <v>725</v>
      </c>
      <c r="E1323" s="50">
        <v>0.27083333333333331</v>
      </c>
      <c r="F1323" s="49" t="s">
        <v>103</v>
      </c>
      <c r="G1323" s="70" t="s">
        <v>13</v>
      </c>
      <c r="H1323" s="51">
        <v>46263.256944444445</v>
      </c>
      <c r="I1323" s="113" t="str">
        <f t="shared" si="322"/>
        <v>29-08-2026T06:10:00</v>
      </c>
      <c r="J1323" s="51">
        <v>46264.192361111112</v>
      </c>
      <c r="K1323" s="51"/>
      <c r="L1323" s="52">
        <f t="shared" si="327"/>
        <v>0.93541666666715173</v>
      </c>
      <c r="M1323" s="53">
        <v>0.70833333333333337</v>
      </c>
      <c r="N1323" s="54" t="str">
        <f t="shared" si="328"/>
        <v>-05:27:00</v>
      </c>
      <c r="O1323" s="55">
        <f>250*6</f>
        <v>1500</v>
      </c>
      <c r="P1323" s="147" t="s">
        <v>726</v>
      </c>
      <c r="Q1323" s="56" t="s">
        <v>13</v>
      </c>
      <c r="R1323" s="57">
        <v>46264.106944444444</v>
      </c>
      <c r="S1323" s="57">
        <v>46264.1875</v>
      </c>
      <c r="T1323" s="58">
        <f t="shared" ref="T1323" si="337">S1323-R1323</f>
        <v>8.0555555556202307E-2</v>
      </c>
      <c r="U1323" s="50"/>
      <c r="V1323" s="74">
        <v>8.3333333333333329E-2</v>
      </c>
      <c r="W1323" s="50">
        <f t="shared" ref="W1323" si="338">T1323-V1323</f>
        <v>-2.7777777771310214E-3</v>
      </c>
      <c r="X1323" s="171">
        <v>46263.256944444445</v>
      </c>
      <c r="Y1323" s="171">
        <v>46264.192361111112</v>
      </c>
      <c r="Z1323" s="168">
        <f t="shared" si="323"/>
        <v>0.93541666666715173</v>
      </c>
      <c r="AA1323" s="169">
        <f t="shared" si="324"/>
        <v>0.70833333333333337</v>
      </c>
      <c r="AB1323" s="170" t="str">
        <f t="shared" si="325"/>
        <v>-05:27:00</v>
      </c>
      <c r="AC1323" s="170" t="b">
        <f t="shared" si="326"/>
        <v>1</v>
      </c>
    </row>
    <row r="1324" spans="1:29" s="128" customFormat="1" ht="9.75" hidden="1" customHeight="1" x14ac:dyDescent="0.3">
      <c r="A1324" s="99">
        <v>46263</v>
      </c>
      <c r="B1324" s="59">
        <v>8210922</v>
      </c>
      <c r="C1324" s="60" t="s">
        <v>99</v>
      </c>
      <c r="D1324" s="60" t="s">
        <v>375</v>
      </c>
      <c r="E1324" s="61">
        <v>0.29166666666666669</v>
      </c>
      <c r="F1324" s="60" t="s">
        <v>13</v>
      </c>
      <c r="G1324" s="71" t="s">
        <v>103</v>
      </c>
      <c r="H1324" s="62">
        <v>0.29236111111111113</v>
      </c>
      <c r="I1324" s="113" t="str">
        <f t="shared" si="322"/>
        <v>29-08-2026T07:01:00</v>
      </c>
      <c r="J1324" s="62">
        <v>0.89722222222222225</v>
      </c>
      <c r="K1324" s="62"/>
      <c r="L1324" s="63">
        <f t="shared" si="327"/>
        <v>0.60486111111111107</v>
      </c>
      <c r="M1324" s="64">
        <v>0.625</v>
      </c>
      <c r="N1324" s="65" t="str">
        <f t="shared" si="328"/>
        <v>00:29:00</v>
      </c>
      <c r="O1324" s="66"/>
      <c r="P1324" s="124"/>
      <c r="Q1324" s="67"/>
      <c r="R1324" s="68"/>
      <c r="S1324" s="68"/>
      <c r="T1324" s="69"/>
      <c r="U1324" s="61" t="s">
        <v>234</v>
      </c>
      <c r="V1324" s="83"/>
      <c r="W1324" s="61"/>
      <c r="X1324" s="171">
        <v>46263.292361111111</v>
      </c>
      <c r="Y1324" s="171">
        <v>46263.897222222222</v>
      </c>
      <c r="Z1324" s="168">
        <f t="shared" si="323"/>
        <v>0.60486111111094942</v>
      </c>
      <c r="AA1324" s="169">
        <f t="shared" si="324"/>
        <v>0.625</v>
      </c>
      <c r="AB1324" s="170" t="str">
        <f t="shared" si="325"/>
        <v>00:29:00</v>
      </c>
      <c r="AC1324" s="170" t="b">
        <f t="shared" si="326"/>
        <v>1</v>
      </c>
    </row>
    <row r="1325" spans="1:29" s="128" customFormat="1" ht="9.75" hidden="1" customHeight="1" x14ac:dyDescent="0.3">
      <c r="A1325" s="99">
        <v>46263</v>
      </c>
      <c r="B1325" s="59">
        <v>8210985</v>
      </c>
      <c r="C1325" s="60" t="s">
        <v>42</v>
      </c>
      <c r="D1325" s="60" t="s">
        <v>181</v>
      </c>
      <c r="E1325" s="61">
        <v>0.3125</v>
      </c>
      <c r="F1325" s="60" t="s">
        <v>13</v>
      </c>
      <c r="G1325" s="71" t="s">
        <v>55</v>
      </c>
      <c r="H1325" s="62">
        <v>0.31944444444444442</v>
      </c>
      <c r="I1325" s="113" t="str">
        <f t="shared" si="322"/>
        <v>29-08-2026T07:40:00</v>
      </c>
      <c r="J1325" s="62">
        <v>0.37847222222222221</v>
      </c>
      <c r="K1325" s="62"/>
      <c r="L1325" s="63">
        <f t="shared" si="327"/>
        <v>5.902777777777779E-2</v>
      </c>
      <c r="M1325" s="64">
        <v>6.25E-2</v>
      </c>
      <c r="N1325" s="65" t="str">
        <f t="shared" si="328"/>
        <v>00:05:00</v>
      </c>
      <c r="O1325" s="66"/>
      <c r="P1325" s="124"/>
      <c r="Q1325" s="67"/>
      <c r="R1325" s="68"/>
      <c r="S1325" s="68"/>
      <c r="T1325" s="69"/>
      <c r="U1325" s="61" t="s">
        <v>234</v>
      </c>
      <c r="V1325" s="83"/>
      <c r="W1325" s="61"/>
      <c r="X1325" s="171">
        <v>46263.319444444445</v>
      </c>
      <c r="Y1325" s="171">
        <v>46263.378472222219</v>
      </c>
      <c r="Z1325" s="168">
        <f t="shared" si="323"/>
        <v>5.9027777773735579E-2</v>
      </c>
      <c r="AA1325" s="169">
        <f t="shared" si="324"/>
        <v>6.25E-2</v>
      </c>
      <c r="AB1325" s="170" t="str">
        <f t="shared" si="325"/>
        <v>00:05:00</v>
      </c>
      <c r="AC1325" s="170" t="b">
        <f t="shared" si="326"/>
        <v>1</v>
      </c>
    </row>
    <row r="1326" spans="1:29" s="128" customFormat="1" ht="9.75" hidden="1" customHeight="1" x14ac:dyDescent="0.3">
      <c r="A1326" s="99">
        <v>46263</v>
      </c>
      <c r="B1326" s="59">
        <v>8211097</v>
      </c>
      <c r="C1326" s="60" t="s">
        <v>50</v>
      </c>
      <c r="D1326" s="60" t="s">
        <v>329</v>
      </c>
      <c r="E1326" s="61">
        <v>0.375</v>
      </c>
      <c r="F1326" s="60" t="s">
        <v>13</v>
      </c>
      <c r="G1326" s="71" t="s">
        <v>31</v>
      </c>
      <c r="H1326" s="62">
        <v>46263.372916666667</v>
      </c>
      <c r="I1326" s="113" t="str">
        <f t="shared" si="322"/>
        <v>29-08-2026T08:57:00</v>
      </c>
      <c r="J1326" s="62">
        <v>46264.118750000001</v>
      </c>
      <c r="K1326" s="62"/>
      <c r="L1326" s="63">
        <f t="shared" si="327"/>
        <v>0.74583333333430346</v>
      </c>
      <c r="M1326" s="64">
        <v>0.75</v>
      </c>
      <c r="N1326" s="65" t="str">
        <f t="shared" si="328"/>
        <v>00:06:00</v>
      </c>
      <c r="O1326" s="66"/>
      <c r="P1326" s="124" t="s">
        <v>567</v>
      </c>
      <c r="Q1326" s="67" t="s">
        <v>45</v>
      </c>
      <c r="R1326" s="68">
        <v>0.9</v>
      </c>
      <c r="S1326" s="68">
        <v>0.99930555555555556</v>
      </c>
      <c r="T1326" s="69">
        <f t="shared" ref="T1326:T1329" si="339">S1326-R1326</f>
        <v>9.9305555555555536E-2</v>
      </c>
      <c r="U1326" s="61"/>
      <c r="V1326" s="83">
        <v>8.3333333333333329E-2</v>
      </c>
      <c r="W1326" s="61">
        <f t="shared" ref="W1326:W1330" si="340">T1326-V1326</f>
        <v>1.5972222222222207E-2</v>
      </c>
      <c r="X1326" s="172">
        <v>46263.372916666667</v>
      </c>
      <c r="Y1326" s="172">
        <v>46264.118750000001</v>
      </c>
      <c r="Z1326" s="173">
        <f t="shared" si="323"/>
        <v>0.74583333333430346</v>
      </c>
      <c r="AA1326" s="174">
        <f t="shared" si="324"/>
        <v>0.75</v>
      </c>
      <c r="AB1326" s="175" t="str">
        <f t="shared" si="325"/>
        <v>00:06:00</v>
      </c>
      <c r="AC1326" s="175" t="b">
        <f t="shared" si="326"/>
        <v>1</v>
      </c>
    </row>
    <row r="1327" spans="1:29" ht="9.75" hidden="1" customHeight="1" x14ac:dyDescent="0.3">
      <c r="A1327" s="149">
        <v>46260</v>
      </c>
      <c r="B1327" s="150" t="s">
        <v>687</v>
      </c>
      <c r="C1327" s="151" t="s">
        <v>175</v>
      </c>
      <c r="D1327" s="151" t="s">
        <v>306</v>
      </c>
      <c r="E1327" s="152">
        <v>0</v>
      </c>
      <c r="F1327" s="151"/>
      <c r="G1327" s="153"/>
      <c r="H1327" s="154">
        <v>0</v>
      </c>
      <c r="I1327" s="113" t="str">
        <f t="shared" si="322"/>
        <v>26-08-2026T00:00:00</v>
      </c>
      <c r="J1327" s="154">
        <v>0</v>
      </c>
      <c r="K1327" s="154"/>
      <c r="L1327" s="155">
        <v>0</v>
      </c>
      <c r="M1327" s="160">
        <v>0</v>
      </c>
      <c r="N1327" s="156">
        <v>0</v>
      </c>
      <c r="O1327" s="157"/>
      <c r="P1327" s="158" t="s">
        <v>480</v>
      </c>
      <c r="Q1327" s="159" t="s">
        <v>480</v>
      </c>
      <c r="R1327" s="148" t="s">
        <v>480</v>
      </c>
      <c r="S1327" s="148" t="s">
        <v>480</v>
      </c>
      <c r="T1327" s="161" t="s">
        <v>480</v>
      </c>
      <c r="U1327" s="152" t="s">
        <v>480</v>
      </c>
      <c r="V1327" s="146" t="s">
        <v>480</v>
      </c>
      <c r="W1327" s="152" t="s">
        <v>480</v>
      </c>
      <c r="X1327" s="171" t="s">
        <v>668</v>
      </c>
      <c r="Y1327" s="171" t="s">
        <v>668</v>
      </c>
      <c r="Z1327" s="168" t="e">
        <f t="shared" si="323"/>
        <v>#VALUE!</v>
      </c>
      <c r="AA1327" s="169">
        <f t="shared" si="324"/>
        <v>0</v>
      </c>
      <c r="AB1327" s="170" t="e">
        <f t="shared" si="325"/>
        <v>#VALUE!</v>
      </c>
      <c r="AC1327" s="170" t="e">
        <f t="shared" si="326"/>
        <v>#VALUE!</v>
      </c>
    </row>
    <row r="1328" spans="1:29" s="128" customFormat="1" ht="9.75" hidden="1" customHeight="1" x14ac:dyDescent="0.3">
      <c r="A1328" s="99">
        <v>46263</v>
      </c>
      <c r="B1328" s="59">
        <v>8211102</v>
      </c>
      <c r="C1328" s="60" t="s">
        <v>175</v>
      </c>
      <c r="D1328" s="60" t="s">
        <v>306</v>
      </c>
      <c r="E1328" s="61">
        <v>0.375</v>
      </c>
      <c r="F1328" s="60" t="s">
        <v>13</v>
      </c>
      <c r="G1328" s="71" t="s">
        <v>47</v>
      </c>
      <c r="H1328" s="62">
        <v>46263.373611111114</v>
      </c>
      <c r="I1328" s="113" t="str">
        <f t="shared" si="322"/>
        <v>29-08-2026T08:58:00</v>
      </c>
      <c r="J1328" s="62">
        <v>46265.247916666667</v>
      </c>
      <c r="K1328" s="62"/>
      <c r="L1328" s="63">
        <f t="shared" si="327"/>
        <v>1.8743055555532919</v>
      </c>
      <c r="M1328" s="64">
        <v>1.9166666666666667</v>
      </c>
      <c r="N1328" s="65" t="str">
        <f t="shared" si="328"/>
        <v>01:01:00</v>
      </c>
      <c r="O1328" s="66"/>
      <c r="P1328" s="124"/>
      <c r="Q1328" s="67" t="s">
        <v>96</v>
      </c>
      <c r="R1328" s="68">
        <v>46265.022222222222</v>
      </c>
      <c r="S1328" s="68">
        <v>46265.097916666666</v>
      </c>
      <c r="T1328" s="69">
        <f t="shared" si="339"/>
        <v>7.5694444443797693E-2</v>
      </c>
      <c r="U1328" s="61"/>
      <c r="V1328" s="83">
        <v>8.3333333333333329E-2</v>
      </c>
      <c r="W1328" s="61">
        <f t="shared" si="340"/>
        <v>-7.6388888895356361E-3</v>
      </c>
      <c r="X1328" s="171">
        <v>46263.373611111114</v>
      </c>
      <c r="Y1328" s="171">
        <v>46265.247916666667</v>
      </c>
      <c r="Z1328" s="168">
        <f t="shared" si="323"/>
        <v>1.8743055555532919</v>
      </c>
      <c r="AA1328" s="169">
        <f t="shared" si="324"/>
        <v>1.9166666666666667</v>
      </c>
      <c r="AB1328" s="170" t="str">
        <f t="shared" si="325"/>
        <v>01:01:00</v>
      </c>
      <c r="AC1328" s="170" t="b">
        <f t="shared" si="326"/>
        <v>1</v>
      </c>
    </row>
    <row r="1329" spans="1:29" s="128" customFormat="1" ht="9.75" hidden="1" customHeight="1" x14ac:dyDescent="0.3">
      <c r="A1329" s="99">
        <v>46263</v>
      </c>
      <c r="B1329" s="59">
        <v>8211124</v>
      </c>
      <c r="C1329" s="60" t="s">
        <v>51</v>
      </c>
      <c r="D1329" s="60" t="s">
        <v>295</v>
      </c>
      <c r="E1329" s="61">
        <v>0.375</v>
      </c>
      <c r="F1329" s="60" t="s">
        <v>49</v>
      </c>
      <c r="G1329" s="71" t="s">
        <v>13</v>
      </c>
      <c r="H1329" s="62">
        <v>0.37916666666666665</v>
      </c>
      <c r="I1329" s="113" t="str">
        <f t="shared" si="322"/>
        <v>29-08-2026T09:06:00</v>
      </c>
      <c r="J1329" s="62">
        <v>0.95972222222222225</v>
      </c>
      <c r="K1329" s="62"/>
      <c r="L1329" s="63">
        <f t="shared" si="327"/>
        <v>0.5805555555555556</v>
      </c>
      <c r="M1329" s="64">
        <v>0.58333333333333337</v>
      </c>
      <c r="N1329" s="65" t="str">
        <f t="shared" si="328"/>
        <v>00:04:00</v>
      </c>
      <c r="O1329" s="66"/>
      <c r="P1329" s="124"/>
      <c r="Q1329" s="67" t="s">
        <v>13</v>
      </c>
      <c r="R1329" s="68">
        <v>0.8618055555555556</v>
      </c>
      <c r="S1329" s="68">
        <v>0.95486111111111116</v>
      </c>
      <c r="T1329" s="47">
        <f t="shared" si="339"/>
        <v>9.3055555555555558E-2</v>
      </c>
      <c r="U1329" s="61"/>
      <c r="V1329" s="83">
        <v>8.3333333333333329E-2</v>
      </c>
      <c r="W1329" s="61">
        <f t="shared" si="340"/>
        <v>9.7222222222222293E-3</v>
      </c>
      <c r="X1329" s="171">
        <v>46263.379166666666</v>
      </c>
      <c r="Y1329" s="171">
        <v>46263.959722222222</v>
      </c>
      <c r="Z1329" s="168">
        <f t="shared" si="323"/>
        <v>0.58055555555620231</v>
      </c>
      <c r="AA1329" s="169">
        <f t="shared" si="324"/>
        <v>0.58333333333333337</v>
      </c>
      <c r="AB1329" s="170" t="str">
        <f t="shared" si="325"/>
        <v>00:04:00</v>
      </c>
      <c r="AC1329" s="170" t="b">
        <f t="shared" si="326"/>
        <v>1</v>
      </c>
    </row>
    <row r="1330" spans="1:29" s="128" customFormat="1" ht="9.75" hidden="1" customHeight="1" x14ac:dyDescent="0.3">
      <c r="A1330" s="99">
        <v>46263</v>
      </c>
      <c r="B1330" s="59">
        <v>8211179</v>
      </c>
      <c r="C1330" s="60" t="s">
        <v>40</v>
      </c>
      <c r="D1330" s="60" t="s">
        <v>460</v>
      </c>
      <c r="E1330" s="61">
        <v>0.41666666666666669</v>
      </c>
      <c r="F1330" s="60" t="s">
        <v>31</v>
      </c>
      <c r="G1330" s="71" t="s">
        <v>13</v>
      </c>
      <c r="H1330" s="62">
        <v>46263.417361111111</v>
      </c>
      <c r="I1330" s="113" t="str">
        <f t="shared" si="322"/>
        <v>29-08-2026T10:01:00</v>
      </c>
      <c r="J1330" s="62">
        <v>46264.109722222223</v>
      </c>
      <c r="K1330" s="62"/>
      <c r="L1330" s="63">
        <f t="shared" si="327"/>
        <v>0.69236111111240461</v>
      </c>
      <c r="M1330" s="64">
        <v>0.75</v>
      </c>
      <c r="N1330" s="65" t="str">
        <f t="shared" si="328"/>
        <v>01:23:00</v>
      </c>
      <c r="O1330" s="66"/>
      <c r="P1330" s="124"/>
      <c r="Q1330" s="67" t="s">
        <v>45</v>
      </c>
      <c r="R1330" s="68">
        <v>0.54791666666666672</v>
      </c>
      <c r="S1330" s="68">
        <v>0.56319444444444444</v>
      </c>
      <c r="T1330" s="69">
        <f t="shared" ref="T1330" si="341">S1330-R1330</f>
        <v>1.5277777777777724E-2</v>
      </c>
      <c r="U1330" s="61"/>
      <c r="V1330" s="83">
        <v>8.3333333333333329E-2</v>
      </c>
      <c r="W1330" s="61">
        <f t="shared" si="340"/>
        <v>-6.8055555555555605E-2</v>
      </c>
      <c r="X1330" s="172">
        <v>46263.417361111111</v>
      </c>
      <c r="Y1330" s="172">
        <v>46264.109722222223</v>
      </c>
      <c r="Z1330" s="173">
        <f t="shared" si="323"/>
        <v>0.69236111111240461</v>
      </c>
      <c r="AA1330" s="174">
        <f t="shared" si="324"/>
        <v>0.75</v>
      </c>
      <c r="AB1330" s="175" t="str">
        <f t="shared" si="325"/>
        <v>01:23:00</v>
      </c>
      <c r="AC1330" s="175" t="b">
        <f t="shared" si="326"/>
        <v>1</v>
      </c>
    </row>
    <row r="1331" spans="1:29" s="128" customFormat="1" ht="9.75" hidden="1" customHeight="1" x14ac:dyDescent="0.3">
      <c r="A1331" s="99">
        <v>46263</v>
      </c>
      <c r="B1331" s="59">
        <v>8211187</v>
      </c>
      <c r="C1331" s="60" t="s">
        <v>48</v>
      </c>
      <c r="D1331" s="60" t="s">
        <v>183</v>
      </c>
      <c r="E1331" s="61">
        <v>0.41666666666666669</v>
      </c>
      <c r="F1331" s="60" t="s">
        <v>13</v>
      </c>
      <c r="G1331" s="71" t="s">
        <v>49</v>
      </c>
      <c r="H1331" s="62">
        <v>0.42222222222222222</v>
      </c>
      <c r="I1331" s="113" t="str">
        <f t="shared" si="322"/>
        <v>29-08-2026T10:08:00</v>
      </c>
      <c r="J1331" s="62">
        <v>0.91111111111111109</v>
      </c>
      <c r="K1331" s="62"/>
      <c r="L1331" s="63">
        <f t="shared" si="327"/>
        <v>0.48888888888888887</v>
      </c>
      <c r="M1331" s="64">
        <v>0.5</v>
      </c>
      <c r="N1331" s="65" t="str">
        <f t="shared" si="328"/>
        <v>00:16:00</v>
      </c>
      <c r="O1331" s="66"/>
      <c r="P1331" s="124"/>
      <c r="Q1331" s="67"/>
      <c r="R1331" s="68"/>
      <c r="S1331" s="68"/>
      <c r="T1331" s="69"/>
      <c r="U1331" s="61" t="s">
        <v>234</v>
      </c>
      <c r="V1331" s="83"/>
      <c r="W1331" s="61"/>
      <c r="X1331" s="171">
        <v>46263.422222222223</v>
      </c>
      <c r="Y1331" s="171">
        <v>46263.911111111112</v>
      </c>
      <c r="Z1331" s="168">
        <f t="shared" si="323"/>
        <v>0.48888888888905058</v>
      </c>
      <c r="AA1331" s="169">
        <f t="shared" si="324"/>
        <v>0.5</v>
      </c>
      <c r="AB1331" s="170" t="str">
        <f t="shared" si="325"/>
        <v>00:16:00</v>
      </c>
      <c r="AC1331" s="170" t="b">
        <f t="shared" si="326"/>
        <v>1</v>
      </c>
    </row>
    <row r="1332" spans="1:29" s="127" customFormat="1" ht="9.75" hidden="1" customHeight="1" x14ac:dyDescent="0.3">
      <c r="A1332" s="98">
        <v>46262</v>
      </c>
      <c r="B1332" s="48">
        <v>8208459</v>
      </c>
      <c r="C1332" s="49" t="s">
        <v>90</v>
      </c>
      <c r="D1332" s="49" t="s">
        <v>290</v>
      </c>
      <c r="E1332" s="50">
        <v>0.4375</v>
      </c>
      <c r="F1332" s="49" t="s">
        <v>15</v>
      </c>
      <c r="G1332" s="70" t="s">
        <v>13</v>
      </c>
      <c r="H1332" s="51">
        <v>0.43472222222222223</v>
      </c>
      <c r="I1332" s="113" t="str">
        <f t="shared" si="322"/>
        <v>28-08-2026T10:26:00</v>
      </c>
      <c r="J1332" s="51">
        <v>0.64722222222222225</v>
      </c>
      <c r="K1332" s="113" t="str">
        <f t="shared" ref="K1332:K1334" si="342">TEXT(A1332,"dd-mm-yyyy")&amp;"T"&amp;TEXT(J1332,"hh:mm:ss")</f>
        <v>28-08-2026T15:32:00</v>
      </c>
      <c r="L1332" s="52">
        <f t="shared" si="327"/>
        <v>0.21250000000000002</v>
      </c>
      <c r="M1332" s="53">
        <v>0.20833333333333334</v>
      </c>
      <c r="N1332" s="54" t="str">
        <f t="shared" si="328"/>
        <v>-00:06:00</v>
      </c>
      <c r="O1332" s="55">
        <v>200</v>
      </c>
      <c r="P1332" s="147" t="s">
        <v>610</v>
      </c>
      <c r="Q1332" s="56"/>
      <c r="R1332" s="57"/>
      <c r="S1332" s="57"/>
      <c r="T1332" s="58">
        <f t="shared" ref="T1332" si="343">S1332-R1332</f>
        <v>0</v>
      </c>
      <c r="U1332" s="50"/>
      <c r="V1332" s="74">
        <v>0</v>
      </c>
      <c r="W1332" s="50">
        <f t="shared" ref="W1332" si="344">T1332-V1332</f>
        <v>0</v>
      </c>
      <c r="X1332" s="171">
        <v>46262.43472222222</v>
      </c>
      <c r="Y1332" s="171">
        <v>46262.647222222222</v>
      </c>
      <c r="Z1332" s="168">
        <f t="shared" ref="Z1332" si="345">Y1332-X1332</f>
        <v>0.21250000000145519</v>
      </c>
      <c r="AA1332" s="169">
        <f t="shared" ref="AA1332" si="346">M1332</f>
        <v>0.20833333333333334</v>
      </c>
      <c r="AB1332" s="170" t="str">
        <f t="shared" ref="AB1332" si="347">IF(AA1332-Z1332&gt;0,TEXT(AA1332-Z1332,"HH:MM:SS"),TEXT(ABS(AA1332-Z1332),"-HH:MM:SS"))</f>
        <v>-00:06:00</v>
      </c>
      <c r="AC1332" s="170" t="b">
        <f t="shared" ref="AC1332" si="348">AB1332=N1332</f>
        <v>1</v>
      </c>
    </row>
    <row r="1333" spans="1:29" s="127" customFormat="1" ht="9.75" customHeight="1" x14ac:dyDescent="0.3">
      <c r="A1333" s="98">
        <v>46263</v>
      </c>
      <c r="B1333" s="48">
        <v>8210073</v>
      </c>
      <c r="C1333" s="49" t="s">
        <v>90</v>
      </c>
      <c r="D1333" s="49" t="s">
        <v>290</v>
      </c>
      <c r="E1333" s="50">
        <v>0.99930555555555556</v>
      </c>
      <c r="F1333" s="49" t="s">
        <v>13</v>
      </c>
      <c r="G1333" s="70" t="s">
        <v>15</v>
      </c>
      <c r="H1333" s="51">
        <v>1.3888888888888889E-3</v>
      </c>
      <c r="I1333" s="113" t="str">
        <f t="shared" si="322"/>
        <v>29-08-2026T00:02:00</v>
      </c>
      <c r="J1333" s="51">
        <v>0.28819444444444442</v>
      </c>
      <c r="K1333" s="113" t="str">
        <f t="shared" si="342"/>
        <v>29-08-2026T06:55:00</v>
      </c>
      <c r="L1333" s="52">
        <f>J1333-H1333</f>
        <v>0.28680555555555554</v>
      </c>
      <c r="M1333" s="53">
        <v>0.27083333333333331</v>
      </c>
      <c r="N1333" s="54" t="str">
        <f>IF(M1333-L1333&gt;0,TEXT(M1333-L1333,"HH:MM:SS"),TEXT(ABS(M1333-L1333),"-HH:MM:SS"))</f>
        <v>-00:23:00</v>
      </c>
      <c r="O1333" s="55">
        <v>200</v>
      </c>
      <c r="P1333" s="147" t="s">
        <v>610</v>
      </c>
      <c r="Q1333" s="56" t="s">
        <v>13</v>
      </c>
      <c r="R1333" s="57">
        <v>4.4444444444444446E-2</v>
      </c>
      <c r="S1333" s="57">
        <v>8.4722222222222227E-2</v>
      </c>
      <c r="T1333" s="58">
        <f>S1333-R1333</f>
        <v>4.027777777777778E-2</v>
      </c>
      <c r="U1333" s="50" t="s">
        <v>234</v>
      </c>
      <c r="V1333" s="74">
        <v>8.3333333333333329E-2</v>
      </c>
      <c r="W1333" s="50">
        <f>T1333-V1333</f>
        <v>-4.3055555555555548E-2</v>
      </c>
      <c r="X1333" s="171">
        <v>46263.001388888886</v>
      </c>
      <c r="Y1333" s="171">
        <v>46263.288194444445</v>
      </c>
      <c r="Z1333" s="168">
        <f>Y1333-X1333</f>
        <v>0.28680555555911269</v>
      </c>
      <c r="AA1333" s="169">
        <f>M1333</f>
        <v>0.27083333333333331</v>
      </c>
      <c r="AB1333" s="170" t="str">
        <f>IF(AA1333-Z1333&gt;0,TEXT(AA1333-Z1333,"HH:MM:SS"),TEXT(ABS(AA1333-Z1333),"-HH:MM:SS"))</f>
        <v>-00:23:00</v>
      </c>
      <c r="AC1333" s="170" t="b">
        <f>AB1333=N1333</f>
        <v>1</v>
      </c>
    </row>
    <row r="1334" spans="1:29" s="128" customFormat="1" ht="9.75" hidden="1" customHeight="1" x14ac:dyDescent="0.3">
      <c r="A1334" s="99">
        <v>46263</v>
      </c>
      <c r="B1334" s="59">
        <v>8211213</v>
      </c>
      <c r="C1334" s="60" t="s">
        <v>90</v>
      </c>
      <c r="D1334" s="60" t="s">
        <v>290</v>
      </c>
      <c r="E1334" s="61">
        <v>0.4375</v>
      </c>
      <c r="F1334" s="60" t="s">
        <v>15</v>
      </c>
      <c r="G1334" s="71" t="s">
        <v>13</v>
      </c>
      <c r="H1334" s="62">
        <v>0.43541666666666667</v>
      </c>
      <c r="I1334" s="113" t="str">
        <f t="shared" si="322"/>
        <v>29-08-2026T10:27:00</v>
      </c>
      <c r="J1334" s="62">
        <v>0.63888888888888884</v>
      </c>
      <c r="K1334" s="113" t="str">
        <f t="shared" si="342"/>
        <v>29-08-2026T15:20:00</v>
      </c>
      <c r="L1334" s="63">
        <f t="shared" si="327"/>
        <v>0.20347222222222217</v>
      </c>
      <c r="M1334" s="64">
        <v>0.20833333333333334</v>
      </c>
      <c r="N1334" s="65" t="str">
        <f t="shared" si="328"/>
        <v>00:07:00</v>
      </c>
      <c r="O1334" s="66"/>
      <c r="P1334" s="124"/>
      <c r="Q1334" s="67"/>
      <c r="R1334" s="68"/>
      <c r="S1334" s="68"/>
      <c r="T1334" s="69"/>
      <c r="U1334" s="61"/>
      <c r="V1334" s="83"/>
      <c r="W1334" s="61"/>
      <c r="X1334" s="171">
        <v>46263.435416666667</v>
      </c>
      <c r="Y1334" s="171">
        <v>46263.638888888891</v>
      </c>
      <c r="Z1334" s="168">
        <f t="shared" si="323"/>
        <v>0.20347222222335404</v>
      </c>
      <c r="AA1334" s="169">
        <f t="shared" si="324"/>
        <v>0.20833333333333334</v>
      </c>
      <c r="AB1334" s="170" t="str">
        <f t="shared" si="325"/>
        <v>00:07:00</v>
      </c>
      <c r="AC1334" s="170" t="b">
        <f t="shared" si="326"/>
        <v>1</v>
      </c>
    </row>
    <row r="1335" spans="1:29" s="128" customFormat="1" ht="9.75" hidden="1" customHeight="1" x14ac:dyDescent="0.3">
      <c r="A1335" s="99">
        <v>46263</v>
      </c>
      <c r="B1335" s="59">
        <v>8211295</v>
      </c>
      <c r="C1335" s="60" t="s">
        <v>54</v>
      </c>
      <c r="D1335" s="60" t="s">
        <v>288</v>
      </c>
      <c r="E1335" s="61">
        <v>0.45833333333333331</v>
      </c>
      <c r="F1335" s="60" t="s">
        <v>13</v>
      </c>
      <c r="G1335" s="71" t="s">
        <v>24</v>
      </c>
      <c r="H1335" s="62">
        <v>0.46597222222222223</v>
      </c>
      <c r="I1335" s="113" t="str">
        <f t="shared" si="322"/>
        <v>29-08-2026T11:11:00</v>
      </c>
      <c r="J1335" s="62">
        <v>0.53125</v>
      </c>
      <c r="K1335" s="62"/>
      <c r="L1335" s="63">
        <f t="shared" si="327"/>
        <v>6.5277777777777768E-2</v>
      </c>
      <c r="M1335" s="64">
        <v>8.3333333333333329E-2</v>
      </c>
      <c r="N1335" s="65" t="str">
        <f t="shared" si="328"/>
        <v>00:26:00</v>
      </c>
      <c r="O1335" s="66"/>
      <c r="P1335" s="124"/>
      <c r="Q1335" s="67"/>
      <c r="R1335" s="68"/>
      <c r="S1335" s="68"/>
      <c r="T1335" s="69"/>
      <c r="U1335" s="61" t="s">
        <v>234</v>
      </c>
      <c r="V1335" s="83"/>
      <c r="W1335" s="61"/>
      <c r="X1335" s="171">
        <v>46263.46597222222</v>
      </c>
      <c r="Y1335" s="171">
        <v>46263.53125</v>
      </c>
      <c r="Z1335" s="168">
        <f t="shared" si="323"/>
        <v>6.5277777779556345E-2</v>
      </c>
      <c r="AA1335" s="169">
        <f t="shared" si="324"/>
        <v>8.3333333333333329E-2</v>
      </c>
      <c r="AB1335" s="170" t="str">
        <f t="shared" si="325"/>
        <v>00:26:00</v>
      </c>
      <c r="AC1335" s="170" t="b">
        <f t="shared" si="326"/>
        <v>1</v>
      </c>
    </row>
    <row r="1336" spans="1:29" s="128" customFormat="1" ht="9.75" hidden="1" customHeight="1" x14ac:dyDescent="0.3">
      <c r="A1336" s="99">
        <v>46263</v>
      </c>
      <c r="B1336" s="59">
        <v>8211446</v>
      </c>
      <c r="C1336" s="60" t="s">
        <v>20</v>
      </c>
      <c r="D1336" s="60" t="s">
        <v>232</v>
      </c>
      <c r="E1336" s="61">
        <v>0.5</v>
      </c>
      <c r="F1336" s="60" t="s">
        <v>13</v>
      </c>
      <c r="G1336" s="71" t="s">
        <v>21</v>
      </c>
      <c r="H1336" s="62">
        <v>0.51249999999999996</v>
      </c>
      <c r="I1336" s="113" t="str">
        <f t="shared" si="322"/>
        <v>29-08-2026T12:18:00</v>
      </c>
      <c r="J1336" s="62">
        <v>0.75694444444444442</v>
      </c>
      <c r="K1336" s="62"/>
      <c r="L1336" s="63">
        <f t="shared" si="327"/>
        <v>0.24444444444444446</v>
      </c>
      <c r="M1336" s="64">
        <v>0.25</v>
      </c>
      <c r="N1336" s="65" t="str">
        <f t="shared" si="328"/>
        <v>00:08:00</v>
      </c>
      <c r="O1336" s="66"/>
      <c r="P1336" s="124"/>
      <c r="Q1336" s="67"/>
      <c r="R1336" s="68"/>
      <c r="S1336" s="68"/>
      <c r="T1336" s="69"/>
      <c r="U1336" s="61"/>
      <c r="V1336" s="83"/>
      <c r="W1336" s="61"/>
      <c r="X1336" s="171">
        <v>46263.512499999997</v>
      </c>
      <c r="Y1336" s="171">
        <v>46263.756944444445</v>
      </c>
      <c r="Z1336" s="168">
        <f t="shared" si="323"/>
        <v>0.24444444444816327</v>
      </c>
      <c r="AA1336" s="169">
        <f t="shared" si="324"/>
        <v>0.25</v>
      </c>
      <c r="AB1336" s="170" t="str">
        <f t="shared" si="325"/>
        <v>00:08:00</v>
      </c>
      <c r="AC1336" s="170" t="b">
        <f t="shared" si="326"/>
        <v>1</v>
      </c>
    </row>
    <row r="1337" spans="1:29" s="128" customFormat="1" ht="9.75" hidden="1" customHeight="1" x14ac:dyDescent="0.3">
      <c r="A1337" s="99">
        <v>46263</v>
      </c>
      <c r="B1337" s="59">
        <v>8211524</v>
      </c>
      <c r="C1337" s="60" t="s">
        <v>52</v>
      </c>
      <c r="D1337" s="60" t="s">
        <v>616</v>
      </c>
      <c r="E1337" s="61">
        <v>0.54166666666666663</v>
      </c>
      <c r="F1337" s="60" t="s">
        <v>13</v>
      </c>
      <c r="G1337" s="71" t="s">
        <v>15</v>
      </c>
      <c r="H1337" s="62">
        <v>0.5444444444444444</v>
      </c>
      <c r="I1337" s="113" t="str">
        <f t="shared" si="322"/>
        <v>29-08-2026T13:04:00</v>
      </c>
      <c r="J1337" s="62">
        <v>0.74444444444444446</v>
      </c>
      <c r="K1337" s="62"/>
      <c r="L1337" s="63">
        <f t="shared" ref="L1337:L1378" si="349">J1337-H1337</f>
        <v>0.20000000000000007</v>
      </c>
      <c r="M1337" s="64">
        <v>0.20833333333333334</v>
      </c>
      <c r="N1337" s="65" t="str">
        <f t="shared" ref="N1337:N1378" si="350">IF(M1337-L1337&gt;0,TEXT(M1337-L1337,"HH:MM:SS"),TEXT(ABS(M1337-L1337),"-HH:MM:SS"))</f>
        <v>00:12:00</v>
      </c>
      <c r="O1337" s="66"/>
      <c r="P1337" s="124"/>
      <c r="Q1337" s="67"/>
      <c r="R1337" s="68"/>
      <c r="S1337" s="68"/>
      <c r="T1337" s="69"/>
      <c r="U1337" s="61" t="s">
        <v>234</v>
      </c>
      <c r="V1337" s="83"/>
      <c r="W1337" s="61"/>
      <c r="X1337" s="171">
        <v>46263.544444444444</v>
      </c>
      <c r="Y1337" s="171">
        <v>46263.744444444441</v>
      </c>
      <c r="Z1337" s="168">
        <f t="shared" si="323"/>
        <v>0.19999999999708962</v>
      </c>
      <c r="AA1337" s="169">
        <f t="shared" si="324"/>
        <v>0.20833333333333334</v>
      </c>
      <c r="AB1337" s="170" t="str">
        <f t="shared" si="325"/>
        <v>00:12:00</v>
      </c>
      <c r="AC1337" s="170" t="b">
        <f t="shared" si="326"/>
        <v>1</v>
      </c>
    </row>
    <row r="1338" spans="1:29" s="127" customFormat="1" ht="9.75" hidden="1" customHeight="1" x14ac:dyDescent="0.3">
      <c r="A1338" s="98">
        <v>46263</v>
      </c>
      <c r="B1338" s="48">
        <v>8211789</v>
      </c>
      <c r="C1338" s="49" t="s">
        <v>100</v>
      </c>
      <c r="D1338" s="49" t="s">
        <v>389</v>
      </c>
      <c r="E1338" s="50">
        <v>0.64583333333333337</v>
      </c>
      <c r="F1338" s="49" t="s">
        <v>19</v>
      </c>
      <c r="G1338" s="70" t="s">
        <v>13</v>
      </c>
      <c r="H1338" s="51">
        <v>0.65</v>
      </c>
      <c r="I1338" s="113" t="str">
        <f t="shared" si="322"/>
        <v>29-08-2026T15:36:00</v>
      </c>
      <c r="J1338" s="51">
        <v>46264.113194444442</v>
      </c>
      <c r="K1338" s="51"/>
      <c r="L1338" s="52">
        <f t="shared" si="349"/>
        <v>46263.463194444441</v>
      </c>
      <c r="M1338" s="53">
        <v>0.4375</v>
      </c>
      <c r="N1338" s="54" t="str">
        <f t="shared" si="350"/>
        <v>-00:37:00</v>
      </c>
      <c r="O1338" s="55">
        <v>200</v>
      </c>
      <c r="P1338" s="147" t="s">
        <v>610</v>
      </c>
      <c r="Q1338" s="56" t="s">
        <v>305</v>
      </c>
      <c r="R1338" s="57">
        <v>0.76388888888888884</v>
      </c>
      <c r="S1338" s="57">
        <v>0.80555555555555558</v>
      </c>
      <c r="T1338" s="58">
        <f t="shared" ref="T1338:T1339" si="351">S1338-R1338</f>
        <v>4.1666666666666741E-2</v>
      </c>
      <c r="U1338" s="50"/>
      <c r="V1338" s="74">
        <v>8.3333333333333329E-2</v>
      </c>
      <c r="W1338" s="50">
        <f t="shared" ref="W1338:W1339" si="352">T1338-V1338</f>
        <v>-4.1666666666666588E-2</v>
      </c>
      <c r="X1338" s="171">
        <v>46263.65</v>
      </c>
      <c r="Y1338" s="171">
        <v>46264.113194444442</v>
      </c>
      <c r="Z1338" s="168">
        <f t="shared" si="323"/>
        <v>0.46319444444088731</v>
      </c>
      <c r="AA1338" s="169">
        <f t="shared" si="324"/>
        <v>0.4375</v>
      </c>
      <c r="AB1338" s="170" t="str">
        <f t="shared" si="325"/>
        <v>-00:37:00</v>
      </c>
      <c r="AC1338" s="170" t="b">
        <f t="shared" si="326"/>
        <v>1</v>
      </c>
    </row>
    <row r="1339" spans="1:29" s="128" customFormat="1" ht="9.75" hidden="1" customHeight="1" x14ac:dyDescent="0.3">
      <c r="A1339" s="99">
        <v>46263</v>
      </c>
      <c r="B1339" s="59">
        <v>8212033</v>
      </c>
      <c r="C1339" s="60" t="s">
        <v>84</v>
      </c>
      <c r="D1339" s="60" t="s">
        <v>301</v>
      </c>
      <c r="E1339" s="61">
        <v>0.70833333333333337</v>
      </c>
      <c r="F1339" s="60" t="s">
        <v>85</v>
      </c>
      <c r="G1339" s="71" t="s">
        <v>13</v>
      </c>
      <c r="H1339" s="62">
        <v>46263.729166666664</v>
      </c>
      <c r="I1339" s="113" t="str">
        <f t="shared" si="322"/>
        <v>29-08-2026T17:30:00</v>
      </c>
      <c r="J1339" s="62">
        <v>46264.054861111108</v>
      </c>
      <c r="K1339" s="62"/>
      <c r="L1339" s="63">
        <f t="shared" si="349"/>
        <v>0.32569444444379769</v>
      </c>
      <c r="M1339" s="64">
        <v>0.33333333333333331</v>
      </c>
      <c r="N1339" s="65" t="str">
        <f t="shared" si="350"/>
        <v>00:11:00</v>
      </c>
      <c r="O1339" s="66"/>
      <c r="P1339" s="124"/>
      <c r="Q1339" s="67" t="s">
        <v>174</v>
      </c>
      <c r="R1339" s="68">
        <v>0.80208333333333337</v>
      </c>
      <c r="S1339" s="68">
        <v>0.81388888888888888</v>
      </c>
      <c r="T1339" s="69">
        <f t="shared" si="351"/>
        <v>1.1805555555555514E-2</v>
      </c>
      <c r="U1339" s="61"/>
      <c r="V1339" s="83">
        <v>4.1666666666666664E-2</v>
      </c>
      <c r="W1339" s="61">
        <f t="shared" si="352"/>
        <v>-2.9861111111111151E-2</v>
      </c>
      <c r="X1339" s="171">
        <v>46263.729166666664</v>
      </c>
      <c r="Y1339" s="171">
        <v>46264.054861111108</v>
      </c>
      <c r="Z1339" s="168">
        <f t="shared" si="323"/>
        <v>0.32569444444379769</v>
      </c>
      <c r="AA1339" s="169">
        <f t="shared" si="324"/>
        <v>0.33333333333333331</v>
      </c>
      <c r="AB1339" s="170" t="str">
        <f t="shared" si="325"/>
        <v>00:11:00</v>
      </c>
      <c r="AC1339" s="170" t="b">
        <f t="shared" si="326"/>
        <v>1</v>
      </c>
    </row>
    <row r="1340" spans="1:29" s="127" customFormat="1" ht="9.75" hidden="1" customHeight="1" x14ac:dyDescent="0.3">
      <c r="A1340" s="98">
        <v>46263</v>
      </c>
      <c r="B1340" s="48">
        <v>8211976</v>
      </c>
      <c r="C1340" s="49" t="s">
        <v>97</v>
      </c>
      <c r="D1340" s="49" t="s">
        <v>468</v>
      </c>
      <c r="E1340" s="50">
        <v>0.70833333333333337</v>
      </c>
      <c r="F1340" s="49" t="s">
        <v>13</v>
      </c>
      <c r="G1340" s="70" t="s">
        <v>23</v>
      </c>
      <c r="H1340" s="51">
        <v>46263.708333333336</v>
      </c>
      <c r="I1340" s="113" t="str">
        <f t="shared" si="322"/>
        <v>29-08-2026T17:00:00</v>
      </c>
      <c r="J1340" s="51">
        <v>46264.710416666669</v>
      </c>
      <c r="K1340" s="51"/>
      <c r="L1340" s="52">
        <f t="shared" si="349"/>
        <v>1.0020833333328483</v>
      </c>
      <c r="M1340" s="53">
        <v>1</v>
      </c>
      <c r="N1340" s="54" t="str">
        <f t="shared" si="350"/>
        <v>-00:03:00</v>
      </c>
      <c r="O1340" s="55">
        <v>200</v>
      </c>
      <c r="P1340" s="147" t="s">
        <v>610</v>
      </c>
      <c r="Q1340" s="56"/>
      <c r="R1340" s="57"/>
      <c r="S1340" s="57"/>
      <c r="T1340" s="58"/>
      <c r="U1340" s="50"/>
      <c r="V1340" s="74"/>
      <c r="W1340" s="50"/>
      <c r="X1340" s="171">
        <v>46263.708333333336</v>
      </c>
      <c r="Y1340" s="171">
        <v>46264.710416666669</v>
      </c>
      <c r="Z1340" s="168">
        <f t="shared" si="323"/>
        <v>1.0020833333328483</v>
      </c>
      <c r="AA1340" s="169">
        <f t="shared" si="324"/>
        <v>1</v>
      </c>
      <c r="AB1340" s="170" t="str">
        <f t="shared" si="325"/>
        <v>-00:03:00</v>
      </c>
      <c r="AC1340" s="170" t="b">
        <f t="shared" si="326"/>
        <v>1</v>
      </c>
    </row>
    <row r="1341" spans="1:29" s="128" customFormat="1" ht="9.75" hidden="1" customHeight="1" x14ac:dyDescent="0.3">
      <c r="A1341" s="99">
        <v>46263</v>
      </c>
      <c r="B1341" s="59">
        <v>8211992</v>
      </c>
      <c r="C1341" s="60" t="s">
        <v>27</v>
      </c>
      <c r="D1341" s="60" t="s">
        <v>378</v>
      </c>
      <c r="E1341" s="61">
        <v>0.70833333333333337</v>
      </c>
      <c r="F1341" s="60" t="s">
        <v>28</v>
      </c>
      <c r="G1341" s="71" t="s">
        <v>13</v>
      </c>
      <c r="H1341" s="62">
        <v>0.71180555555555558</v>
      </c>
      <c r="I1341" s="113" t="str">
        <f t="shared" si="322"/>
        <v>29-08-2026T17:05:00</v>
      </c>
      <c r="J1341" s="62">
        <v>0.87777777777777777</v>
      </c>
      <c r="K1341" s="62"/>
      <c r="L1341" s="63">
        <f t="shared" si="349"/>
        <v>0.16597222222222219</v>
      </c>
      <c r="M1341" s="64">
        <v>0.16666666666666666</v>
      </c>
      <c r="N1341" s="65" t="str">
        <f t="shared" si="350"/>
        <v>00:01:00</v>
      </c>
      <c r="O1341" s="66"/>
      <c r="P1341" s="124"/>
      <c r="Q1341" s="67"/>
      <c r="R1341" s="68"/>
      <c r="S1341" s="68"/>
      <c r="T1341" s="69"/>
      <c r="U1341" s="61"/>
      <c r="V1341" s="83"/>
      <c r="W1341" s="61"/>
      <c r="X1341" s="171">
        <v>46263.711805555555</v>
      </c>
      <c r="Y1341" s="171">
        <v>46263.87777777778</v>
      </c>
      <c r="Z1341" s="168">
        <f t="shared" si="323"/>
        <v>0.16597222222480923</v>
      </c>
      <c r="AA1341" s="169">
        <f t="shared" si="324"/>
        <v>0.16666666666666666</v>
      </c>
      <c r="AB1341" s="170" t="str">
        <f t="shared" si="325"/>
        <v>00:01:00</v>
      </c>
      <c r="AC1341" s="170" t="b">
        <f t="shared" si="326"/>
        <v>1</v>
      </c>
    </row>
    <row r="1342" spans="1:29" s="128" customFormat="1" ht="9.75" hidden="1" customHeight="1" x14ac:dyDescent="0.3">
      <c r="A1342" s="99">
        <v>46263</v>
      </c>
      <c r="B1342" s="59">
        <v>8212034</v>
      </c>
      <c r="C1342" s="60" t="s">
        <v>89</v>
      </c>
      <c r="D1342" s="60" t="s">
        <v>294</v>
      </c>
      <c r="E1342" s="61">
        <v>0.75</v>
      </c>
      <c r="F1342" s="60" t="s">
        <v>35</v>
      </c>
      <c r="G1342" s="71" t="s">
        <v>13</v>
      </c>
      <c r="H1342" s="62">
        <v>0.72986111111111107</v>
      </c>
      <c r="I1342" s="113" t="str">
        <f t="shared" si="322"/>
        <v>29-08-2026T17:31:00</v>
      </c>
      <c r="J1342" s="62">
        <v>0.76180555555555551</v>
      </c>
      <c r="K1342" s="62"/>
      <c r="L1342" s="63">
        <f t="shared" si="349"/>
        <v>3.1944444444444442E-2</v>
      </c>
      <c r="M1342" s="64">
        <v>4.1666666666666664E-2</v>
      </c>
      <c r="N1342" s="65" t="str">
        <f t="shared" si="350"/>
        <v>00:14:00</v>
      </c>
      <c r="O1342" s="66"/>
      <c r="P1342" s="124"/>
      <c r="Q1342" s="67"/>
      <c r="R1342" s="68"/>
      <c r="S1342" s="68"/>
      <c r="T1342" s="69"/>
      <c r="U1342" s="61"/>
      <c r="V1342" s="83"/>
      <c r="W1342" s="61"/>
      <c r="X1342" s="171">
        <v>46263.729861111111</v>
      </c>
      <c r="Y1342" s="171">
        <v>46263.761805555558</v>
      </c>
      <c r="Z1342" s="168">
        <f t="shared" si="323"/>
        <v>3.1944444446708076E-2</v>
      </c>
      <c r="AA1342" s="169">
        <f t="shared" si="324"/>
        <v>4.1666666666666664E-2</v>
      </c>
      <c r="AB1342" s="170" t="str">
        <f t="shared" si="325"/>
        <v>00:14:00</v>
      </c>
      <c r="AC1342" s="170" t="b">
        <f t="shared" si="326"/>
        <v>1</v>
      </c>
    </row>
    <row r="1343" spans="1:29" s="128" customFormat="1" ht="9.75" hidden="1" customHeight="1" x14ac:dyDescent="0.3">
      <c r="A1343" s="99">
        <v>46263</v>
      </c>
      <c r="B1343" s="59">
        <v>8212373</v>
      </c>
      <c r="C1343" s="60" t="s">
        <v>32</v>
      </c>
      <c r="D1343" s="60" t="s">
        <v>734</v>
      </c>
      <c r="E1343" s="61">
        <v>0.83333333333333337</v>
      </c>
      <c r="F1343" s="60" t="s">
        <v>287</v>
      </c>
      <c r="G1343" s="71" t="s">
        <v>13</v>
      </c>
      <c r="H1343" s="62">
        <v>0.83611111111111114</v>
      </c>
      <c r="I1343" s="113" t="str">
        <f t="shared" si="322"/>
        <v>29-08-2026T20:04:00</v>
      </c>
      <c r="J1343" s="62">
        <v>0.96180555555555558</v>
      </c>
      <c r="K1343" s="62"/>
      <c r="L1343" s="63">
        <f t="shared" si="349"/>
        <v>0.12569444444444444</v>
      </c>
      <c r="M1343" s="64">
        <v>0.14583333333333334</v>
      </c>
      <c r="N1343" s="65" t="str">
        <f t="shared" si="350"/>
        <v>00:29:00</v>
      </c>
      <c r="O1343" s="66"/>
      <c r="P1343" s="124"/>
      <c r="Q1343" s="67"/>
      <c r="R1343" s="68"/>
      <c r="S1343" s="68"/>
      <c r="T1343" s="69">
        <f t="shared" ref="T1343" si="353">S1343-R1343</f>
        <v>0</v>
      </c>
      <c r="U1343" s="61"/>
      <c r="V1343" s="83">
        <v>0</v>
      </c>
      <c r="W1343" s="61">
        <f t="shared" ref="W1343" si="354">T1343-V1343</f>
        <v>0</v>
      </c>
      <c r="X1343" s="171">
        <v>46263.836111111108</v>
      </c>
      <c r="Y1343" s="171">
        <v>46263.961805555555</v>
      </c>
      <c r="Z1343" s="168">
        <f t="shared" si="323"/>
        <v>0.12569444444670808</v>
      </c>
      <c r="AA1343" s="169">
        <f t="shared" si="324"/>
        <v>0.14583333333333334</v>
      </c>
      <c r="AB1343" s="170" t="str">
        <f t="shared" si="325"/>
        <v>00:29:00</v>
      </c>
      <c r="AC1343" s="170" t="b">
        <f t="shared" si="326"/>
        <v>1</v>
      </c>
    </row>
    <row r="1344" spans="1:29" s="128" customFormat="1" ht="9.75" hidden="1" customHeight="1" x14ac:dyDescent="0.3">
      <c r="A1344" s="99">
        <v>46263</v>
      </c>
      <c r="B1344" s="59">
        <v>8212466</v>
      </c>
      <c r="C1344" s="60" t="s">
        <v>56</v>
      </c>
      <c r="D1344" s="60" t="s">
        <v>735</v>
      </c>
      <c r="E1344" s="61">
        <v>0.875</v>
      </c>
      <c r="F1344" s="60" t="s">
        <v>13</v>
      </c>
      <c r="G1344" s="71" t="s">
        <v>15</v>
      </c>
      <c r="H1344" s="62">
        <v>46263.865972222222</v>
      </c>
      <c r="I1344" s="113" t="str">
        <f t="shared" si="322"/>
        <v>29-08-2026T20:47:00</v>
      </c>
      <c r="J1344" s="62">
        <v>46264.067361111112</v>
      </c>
      <c r="K1344" s="62"/>
      <c r="L1344" s="63">
        <f t="shared" si="349"/>
        <v>0.20138888889050577</v>
      </c>
      <c r="M1344" s="64">
        <v>0.20833333333333334</v>
      </c>
      <c r="N1344" s="65" t="str">
        <f t="shared" si="350"/>
        <v>00:10:00</v>
      </c>
      <c r="O1344" s="66"/>
      <c r="P1344" s="124"/>
      <c r="Q1344" s="67"/>
      <c r="R1344" s="68"/>
      <c r="S1344" s="68"/>
      <c r="T1344" s="69"/>
      <c r="U1344" s="61"/>
      <c r="V1344" s="83"/>
      <c r="W1344" s="61"/>
      <c r="X1344" s="171">
        <v>46263.865972222222</v>
      </c>
      <c r="Y1344" s="171">
        <v>46264.067361111112</v>
      </c>
      <c r="Z1344" s="168">
        <f t="shared" si="323"/>
        <v>0.20138888889050577</v>
      </c>
      <c r="AA1344" s="169">
        <f t="shared" si="324"/>
        <v>0.20833333333333334</v>
      </c>
      <c r="AB1344" s="170" t="str">
        <f t="shared" si="325"/>
        <v>00:10:00</v>
      </c>
      <c r="AC1344" s="170" t="b">
        <f t="shared" si="326"/>
        <v>1</v>
      </c>
    </row>
    <row r="1345" spans="1:29" s="128" customFormat="1" ht="9.75" hidden="1" customHeight="1" x14ac:dyDescent="0.3">
      <c r="A1345" s="99">
        <v>46263</v>
      </c>
      <c r="B1345" s="59">
        <v>8212441</v>
      </c>
      <c r="C1345" s="60" t="s">
        <v>42</v>
      </c>
      <c r="D1345" s="60" t="s">
        <v>181</v>
      </c>
      <c r="E1345" s="61">
        <v>0.875</v>
      </c>
      <c r="F1345" s="60" t="s">
        <v>55</v>
      </c>
      <c r="G1345" s="71" t="s">
        <v>13</v>
      </c>
      <c r="H1345" s="62">
        <v>0.86111111111111116</v>
      </c>
      <c r="I1345" s="113" t="str">
        <f t="shared" si="322"/>
        <v>29-08-2026T20:40:00</v>
      </c>
      <c r="J1345" s="62">
        <v>0.91874999999999996</v>
      </c>
      <c r="K1345" s="62"/>
      <c r="L1345" s="63">
        <f t="shared" si="349"/>
        <v>5.7638888888888795E-2</v>
      </c>
      <c r="M1345" s="64">
        <v>6.25E-2</v>
      </c>
      <c r="N1345" s="65" t="str">
        <f t="shared" si="350"/>
        <v>00:07:00</v>
      </c>
      <c r="O1345" s="66"/>
      <c r="P1345" s="124"/>
      <c r="Q1345" s="67"/>
      <c r="R1345" s="68"/>
      <c r="S1345" s="68"/>
      <c r="T1345" s="69"/>
      <c r="U1345" s="61"/>
      <c r="V1345" s="83"/>
      <c r="W1345" s="61"/>
      <c r="X1345" s="171">
        <v>46263.861111111109</v>
      </c>
      <c r="Y1345" s="171">
        <v>46263.918749999997</v>
      </c>
      <c r="Z1345" s="168">
        <f t="shared" si="323"/>
        <v>5.7638888887595385E-2</v>
      </c>
      <c r="AA1345" s="169">
        <f t="shared" si="324"/>
        <v>6.25E-2</v>
      </c>
      <c r="AB1345" s="170" t="str">
        <f t="shared" si="325"/>
        <v>00:07:00</v>
      </c>
      <c r="AC1345" s="170" t="b">
        <f t="shared" si="326"/>
        <v>1</v>
      </c>
    </row>
    <row r="1346" spans="1:29" s="128" customFormat="1" ht="9.75" hidden="1" customHeight="1" x14ac:dyDescent="0.3">
      <c r="A1346" s="99">
        <v>46263</v>
      </c>
      <c r="B1346" s="59">
        <v>8212695</v>
      </c>
      <c r="C1346" s="60" t="s">
        <v>41</v>
      </c>
      <c r="D1346" s="60" t="s">
        <v>299</v>
      </c>
      <c r="E1346" s="61">
        <v>0.875</v>
      </c>
      <c r="F1346" s="60" t="s">
        <v>24</v>
      </c>
      <c r="G1346" s="71" t="s">
        <v>13</v>
      </c>
      <c r="H1346" s="62">
        <v>46263.936111111114</v>
      </c>
      <c r="I1346" s="113" t="str">
        <f t="shared" si="322"/>
        <v>29-08-2026T22:28:00</v>
      </c>
      <c r="J1346" s="62">
        <v>46264.013194444444</v>
      </c>
      <c r="K1346" s="62"/>
      <c r="L1346" s="63">
        <f t="shared" si="349"/>
        <v>7.7083333329937886E-2</v>
      </c>
      <c r="M1346" s="64">
        <v>8.3333333333333329E-2</v>
      </c>
      <c r="N1346" s="65" t="str">
        <f t="shared" si="350"/>
        <v>00:09:00</v>
      </c>
      <c r="O1346" s="66"/>
      <c r="P1346" s="124"/>
      <c r="Q1346" s="67"/>
      <c r="R1346" s="68"/>
      <c r="S1346" s="68"/>
      <c r="T1346" s="69"/>
      <c r="U1346" s="61"/>
      <c r="V1346" s="83"/>
      <c r="W1346" s="61"/>
      <c r="X1346" s="171">
        <v>46263.936111111114</v>
      </c>
      <c r="Y1346" s="171">
        <v>46264.013194444444</v>
      </c>
      <c r="Z1346" s="168">
        <f t="shared" si="323"/>
        <v>7.7083333329937886E-2</v>
      </c>
      <c r="AA1346" s="169">
        <f t="shared" si="324"/>
        <v>8.3333333333333329E-2</v>
      </c>
      <c r="AB1346" s="170" t="str">
        <f t="shared" si="325"/>
        <v>00:09:00</v>
      </c>
      <c r="AC1346" s="170" t="b">
        <f t="shared" si="326"/>
        <v>1</v>
      </c>
    </row>
    <row r="1347" spans="1:29" s="128" customFormat="1" ht="9.75" hidden="1" customHeight="1" x14ac:dyDescent="0.3">
      <c r="A1347" s="99">
        <v>46263</v>
      </c>
      <c r="B1347" s="59">
        <v>8212501</v>
      </c>
      <c r="C1347" s="60" t="s">
        <v>57</v>
      </c>
      <c r="D1347" s="60" t="s">
        <v>370</v>
      </c>
      <c r="E1347" s="61">
        <v>0.875</v>
      </c>
      <c r="F1347" s="60" t="s">
        <v>13</v>
      </c>
      <c r="G1347" s="71" t="s">
        <v>24</v>
      </c>
      <c r="H1347" s="62">
        <v>0.87291666666666667</v>
      </c>
      <c r="I1347" s="113" t="str">
        <f t="shared" si="322"/>
        <v>29-08-2026T20:57:00</v>
      </c>
      <c r="J1347" s="62">
        <v>0.95347222222222228</v>
      </c>
      <c r="K1347" s="62"/>
      <c r="L1347" s="63">
        <f t="shared" si="349"/>
        <v>8.0555555555555602E-2</v>
      </c>
      <c r="M1347" s="64">
        <v>8.3333333333333329E-2</v>
      </c>
      <c r="N1347" s="65" t="str">
        <f t="shared" si="350"/>
        <v>00:04:00</v>
      </c>
      <c r="O1347" s="66"/>
      <c r="P1347" s="124"/>
      <c r="Q1347" s="67"/>
      <c r="R1347" s="68"/>
      <c r="S1347" s="68"/>
      <c r="T1347" s="69"/>
      <c r="U1347" s="61" t="s">
        <v>234</v>
      </c>
      <c r="V1347" s="83"/>
      <c r="W1347" s="61"/>
      <c r="X1347" s="171">
        <v>46263.872916666667</v>
      </c>
      <c r="Y1347" s="171">
        <v>46263.953472222223</v>
      </c>
      <c r="Z1347" s="168">
        <f t="shared" si="323"/>
        <v>8.0555555556202307E-2</v>
      </c>
      <c r="AA1347" s="169">
        <f t="shared" si="324"/>
        <v>8.3333333333333329E-2</v>
      </c>
      <c r="AB1347" s="170" t="str">
        <f t="shared" si="325"/>
        <v>00:04:00</v>
      </c>
      <c r="AC1347" s="170" t="b">
        <f t="shared" si="326"/>
        <v>1</v>
      </c>
    </row>
    <row r="1348" spans="1:29" s="128" customFormat="1" ht="9.75" hidden="1" customHeight="1" x14ac:dyDescent="0.3">
      <c r="A1348" s="99">
        <v>46263</v>
      </c>
      <c r="B1348" s="59">
        <v>8212730</v>
      </c>
      <c r="C1348" s="60" t="s">
        <v>104</v>
      </c>
      <c r="D1348" s="60" t="s">
        <v>382</v>
      </c>
      <c r="E1348" s="61">
        <v>0.95833333333333337</v>
      </c>
      <c r="F1348" s="60" t="s">
        <v>173</v>
      </c>
      <c r="G1348" s="71" t="s">
        <v>13</v>
      </c>
      <c r="H1348" s="62">
        <v>46263.952777777777</v>
      </c>
      <c r="I1348" s="113" t="str">
        <f t="shared" ref="I1348:I1411" si="355">TEXT(A1348,"dd-mm-yyyy")&amp;"T"&amp;TEXT(H1348,"hh:mm:ss")</f>
        <v>29-08-2026T22:52:00</v>
      </c>
      <c r="J1348" s="62">
        <v>46265.76458333333</v>
      </c>
      <c r="K1348" s="62"/>
      <c r="L1348" s="63">
        <f t="shared" si="349"/>
        <v>1.8118055555532919</v>
      </c>
      <c r="M1348" s="64">
        <v>1.9166666666666667</v>
      </c>
      <c r="N1348" s="65" t="str">
        <f t="shared" si="350"/>
        <v>02:31:00</v>
      </c>
      <c r="O1348" s="66"/>
      <c r="P1348" s="124"/>
      <c r="Q1348" s="67" t="s">
        <v>96</v>
      </c>
      <c r="R1348" s="68">
        <v>46264.116666666669</v>
      </c>
      <c r="S1348" s="68">
        <v>46264.198611111111</v>
      </c>
      <c r="T1348" s="69">
        <f t="shared" ref="T1348" si="356">S1348-R1348</f>
        <v>8.1944444442342501E-2</v>
      </c>
      <c r="U1348" s="61"/>
      <c r="V1348" s="83">
        <v>8.3333333333333329E-2</v>
      </c>
      <c r="W1348" s="61">
        <f t="shared" ref="W1348" si="357">T1348-V1348</f>
        <v>-1.3888888909908276E-3</v>
      </c>
      <c r="X1348" s="171">
        <v>46263.952777777777</v>
      </c>
      <c r="Y1348" s="171">
        <v>46265.76458333333</v>
      </c>
      <c r="Z1348" s="168">
        <f t="shared" si="323"/>
        <v>1.8118055555532919</v>
      </c>
      <c r="AA1348" s="169">
        <f t="shared" si="324"/>
        <v>1.9166666666666667</v>
      </c>
      <c r="AB1348" s="170" t="str">
        <f t="shared" si="325"/>
        <v>02:31:00</v>
      </c>
      <c r="AC1348" s="170" t="b">
        <f t="shared" si="326"/>
        <v>1</v>
      </c>
    </row>
    <row r="1349" spans="1:29" s="128" customFormat="1" ht="9.75" hidden="1" customHeight="1" x14ac:dyDescent="0.3">
      <c r="A1349" s="99">
        <v>46263</v>
      </c>
      <c r="B1349" s="59">
        <v>8212838</v>
      </c>
      <c r="C1349" s="60" t="s">
        <v>54</v>
      </c>
      <c r="D1349" s="60" t="s">
        <v>288</v>
      </c>
      <c r="E1349" s="61">
        <v>0.99930555555555556</v>
      </c>
      <c r="F1349" s="60" t="s">
        <v>24</v>
      </c>
      <c r="G1349" s="71" t="s">
        <v>13</v>
      </c>
      <c r="H1349" s="62">
        <v>46263.995138888888</v>
      </c>
      <c r="I1349" s="113" t="str">
        <f t="shared" si="355"/>
        <v>29-08-2026T23:53:00</v>
      </c>
      <c r="J1349" s="62">
        <v>46264.076388888891</v>
      </c>
      <c r="K1349" s="62"/>
      <c r="L1349" s="63">
        <f t="shared" si="349"/>
        <v>8.1250000002910383E-2</v>
      </c>
      <c r="M1349" s="64">
        <v>8.3333333333333329E-2</v>
      </c>
      <c r="N1349" s="65" t="str">
        <f t="shared" si="350"/>
        <v>00:03:00</v>
      </c>
      <c r="O1349" s="66"/>
      <c r="P1349" s="124"/>
      <c r="Q1349" s="67"/>
      <c r="R1349" s="68"/>
      <c r="S1349" s="68"/>
      <c r="T1349" s="69"/>
      <c r="U1349" s="61"/>
      <c r="V1349" s="83"/>
      <c r="W1349" s="61"/>
      <c r="X1349" s="171">
        <v>46263.995138888888</v>
      </c>
      <c r="Y1349" s="171">
        <v>46264.076388888891</v>
      </c>
      <c r="Z1349" s="168">
        <f t="shared" si="323"/>
        <v>8.1250000002910383E-2</v>
      </c>
      <c r="AA1349" s="169">
        <f t="shared" si="324"/>
        <v>8.3333333333333329E-2</v>
      </c>
      <c r="AB1349" s="170" t="str">
        <f t="shared" si="325"/>
        <v>00:03:00</v>
      </c>
      <c r="AC1349" s="170" t="b">
        <f t="shared" si="326"/>
        <v>1</v>
      </c>
    </row>
    <row r="1350" spans="1:29" s="128" customFormat="1" ht="9.75" hidden="1" customHeight="1" x14ac:dyDescent="0.3">
      <c r="A1350" s="99">
        <v>46263</v>
      </c>
      <c r="B1350" s="59">
        <v>8212854</v>
      </c>
      <c r="C1350" s="60" t="s">
        <v>52</v>
      </c>
      <c r="D1350" s="60" t="s">
        <v>616</v>
      </c>
      <c r="E1350" s="61">
        <v>0.99930555555555556</v>
      </c>
      <c r="F1350" s="60" t="s">
        <v>15</v>
      </c>
      <c r="G1350" s="71" t="s">
        <v>13</v>
      </c>
      <c r="H1350" s="62">
        <v>46263.998611111114</v>
      </c>
      <c r="I1350" s="113" t="str">
        <f t="shared" si="355"/>
        <v>29-08-2026T23:58:00</v>
      </c>
      <c r="J1350" s="62">
        <v>46264.199305555558</v>
      </c>
      <c r="K1350" s="62"/>
      <c r="L1350" s="63">
        <f t="shared" si="349"/>
        <v>0.20069444444379769</v>
      </c>
      <c r="M1350" s="64">
        <v>0.20833333333333334</v>
      </c>
      <c r="N1350" s="65" t="str">
        <f t="shared" si="350"/>
        <v>00:11:00</v>
      </c>
      <c r="O1350" s="66"/>
      <c r="P1350" s="124"/>
      <c r="Q1350" s="67"/>
      <c r="R1350" s="68"/>
      <c r="S1350" s="68"/>
      <c r="T1350" s="69"/>
      <c r="U1350" s="61" t="s">
        <v>234</v>
      </c>
      <c r="V1350" s="83"/>
      <c r="W1350" s="61"/>
      <c r="X1350" s="171">
        <v>46263.998611111114</v>
      </c>
      <c r="Y1350" s="171">
        <v>46264.199305555558</v>
      </c>
      <c r="Z1350" s="168">
        <f t="shared" si="323"/>
        <v>0.20069444444379769</v>
      </c>
      <c r="AA1350" s="169">
        <f t="shared" si="324"/>
        <v>0.20833333333333334</v>
      </c>
      <c r="AB1350" s="170" t="str">
        <f t="shared" si="325"/>
        <v>00:11:00</v>
      </c>
      <c r="AC1350" s="170" t="b">
        <f t="shared" si="326"/>
        <v>1</v>
      </c>
    </row>
    <row r="1351" spans="1:29" s="128" customFormat="1" ht="9.75" hidden="1" customHeight="1" x14ac:dyDescent="0.3">
      <c r="A1351" s="99">
        <v>46263</v>
      </c>
      <c r="B1351" s="59">
        <v>8211791</v>
      </c>
      <c r="C1351" s="60" t="s">
        <v>105</v>
      </c>
      <c r="D1351" s="60" t="s">
        <v>386</v>
      </c>
      <c r="E1351" s="61" t="s">
        <v>184</v>
      </c>
      <c r="F1351" s="71" t="s">
        <v>103</v>
      </c>
      <c r="G1351" s="60" t="s">
        <v>13</v>
      </c>
      <c r="H1351" s="62">
        <v>46263.65</v>
      </c>
      <c r="I1351" s="113" t="str">
        <f t="shared" si="355"/>
        <v>29-08-2026T15:36:00</v>
      </c>
      <c r="J1351" s="62">
        <v>46264.243750000001</v>
      </c>
      <c r="K1351" s="62"/>
      <c r="L1351" s="63">
        <f t="shared" si="349"/>
        <v>0.59375</v>
      </c>
      <c r="M1351" s="64">
        <v>0.75</v>
      </c>
      <c r="N1351" s="65" t="str">
        <f t="shared" si="350"/>
        <v>03:45:00</v>
      </c>
      <c r="O1351" s="66"/>
      <c r="P1351" s="124"/>
      <c r="Q1351" s="67" t="s">
        <v>13</v>
      </c>
      <c r="R1351" s="68">
        <v>46264.181250000001</v>
      </c>
      <c r="S1351" s="68">
        <v>46264.234722222223</v>
      </c>
      <c r="T1351" s="69">
        <f t="shared" ref="T1351" si="358">S1351-R1351</f>
        <v>5.3472222221898846E-2</v>
      </c>
      <c r="U1351" s="61" t="s">
        <v>234</v>
      </c>
      <c r="V1351" s="83">
        <v>8.3333333333333329E-2</v>
      </c>
      <c r="W1351" s="61">
        <f t="shared" ref="W1351" si="359">T1351-V1351</f>
        <v>-2.9861111111434482E-2</v>
      </c>
      <c r="X1351" s="171">
        <v>46263.65</v>
      </c>
      <c r="Y1351" s="171">
        <v>46264.243750000001</v>
      </c>
      <c r="Z1351" s="168">
        <f t="shared" si="323"/>
        <v>0.59375</v>
      </c>
      <c r="AA1351" s="169">
        <f t="shared" si="324"/>
        <v>0.75</v>
      </c>
      <c r="AB1351" s="170" t="str">
        <f t="shared" si="325"/>
        <v>03:45:00</v>
      </c>
      <c r="AC1351" s="170" t="b">
        <f t="shared" si="326"/>
        <v>1</v>
      </c>
    </row>
    <row r="1352" spans="1:29" s="144" customFormat="1" ht="9.75" hidden="1" customHeight="1" x14ac:dyDescent="0.3">
      <c r="A1352" s="129">
        <v>46264</v>
      </c>
      <c r="B1352" s="130">
        <v>8212964</v>
      </c>
      <c r="C1352" s="131" t="s">
        <v>25</v>
      </c>
      <c r="D1352" s="131" t="s">
        <v>718</v>
      </c>
      <c r="E1352" s="132">
        <v>6.25E-2</v>
      </c>
      <c r="F1352" s="131" t="s">
        <v>13</v>
      </c>
      <c r="G1352" s="133" t="s">
        <v>26</v>
      </c>
      <c r="H1352" s="134">
        <v>8.0555555555555561E-2</v>
      </c>
      <c r="I1352" s="113" t="str">
        <f t="shared" si="355"/>
        <v>30-08-2026T01:56:00</v>
      </c>
      <c r="J1352" s="134">
        <v>0.58333333333333337</v>
      </c>
      <c r="K1352" s="134"/>
      <c r="L1352" s="135">
        <f t="shared" si="349"/>
        <v>0.50277777777777777</v>
      </c>
      <c r="M1352" s="136">
        <v>0.41666666666666669</v>
      </c>
      <c r="N1352" s="137" t="str">
        <f t="shared" si="350"/>
        <v>-02:04:00</v>
      </c>
      <c r="O1352" s="138"/>
      <c r="P1352" s="145" t="s">
        <v>738</v>
      </c>
      <c r="Q1352" s="140" t="s">
        <v>179</v>
      </c>
      <c r="R1352" s="141">
        <v>0.25</v>
      </c>
      <c r="S1352" s="141">
        <v>0.42222222222222222</v>
      </c>
      <c r="T1352" s="142">
        <f t="shared" ref="T1352:T1353" si="360">S1352-R1352</f>
        <v>0.17222222222222222</v>
      </c>
      <c r="U1352" s="132"/>
      <c r="V1352" s="143">
        <v>4.1666666666666664E-2</v>
      </c>
      <c r="W1352" s="132">
        <f t="shared" ref="W1352" si="361">T1352-V1352</f>
        <v>0.13055555555555556</v>
      </c>
      <c r="X1352" s="171">
        <v>46264.080555555556</v>
      </c>
      <c r="Y1352" s="171">
        <v>46264.583333333336</v>
      </c>
      <c r="Z1352" s="168">
        <f t="shared" si="323"/>
        <v>0.50277777777955635</v>
      </c>
      <c r="AA1352" s="169">
        <f t="shared" si="324"/>
        <v>0.41666666666666669</v>
      </c>
      <c r="AB1352" s="170" t="str">
        <f t="shared" si="325"/>
        <v>-02:04:00</v>
      </c>
      <c r="AC1352" s="170" t="b">
        <f t="shared" si="326"/>
        <v>1</v>
      </c>
    </row>
    <row r="1353" spans="1:29" s="127" customFormat="1" ht="9.75" hidden="1" customHeight="1" x14ac:dyDescent="0.3">
      <c r="A1353" s="98">
        <v>46264</v>
      </c>
      <c r="B1353" s="48">
        <v>8212979</v>
      </c>
      <c r="C1353" s="49" t="s">
        <v>53</v>
      </c>
      <c r="D1353" s="49" t="s">
        <v>298</v>
      </c>
      <c r="E1353" s="50">
        <v>8.3333333333333329E-2</v>
      </c>
      <c r="F1353" s="49" t="s">
        <v>13</v>
      </c>
      <c r="G1353" s="70" t="s">
        <v>19</v>
      </c>
      <c r="H1353" s="51">
        <v>8.3333333333333329E-2</v>
      </c>
      <c r="I1353" s="113" t="str">
        <f t="shared" si="355"/>
        <v>30-08-2026T02:00:00</v>
      </c>
      <c r="J1353" s="51">
        <v>0.69444444444444442</v>
      </c>
      <c r="K1353" s="51"/>
      <c r="L1353" s="52">
        <f t="shared" si="349"/>
        <v>0.61111111111111105</v>
      </c>
      <c r="M1353" s="53">
        <v>0.41666666666666669</v>
      </c>
      <c r="N1353" s="54" t="str">
        <f t="shared" si="350"/>
        <v>-04:40:00</v>
      </c>
      <c r="O1353" s="55">
        <v>1000</v>
      </c>
      <c r="P1353" s="147" t="s">
        <v>739</v>
      </c>
      <c r="Q1353" s="56" t="s">
        <v>229</v>
      </c>
      <c r="R1353" s="57">
        <v>0.54166666666666663</v>
      </c>
      <c r="S1353" s="57">
        <v>0.58333333333333337</v>
      </c>
      <c r="T1353" s="58">
        <f t="shared" si="360"/>
        <v>4.1666666666666741E-2</v>
      </c>
      <c r="U1353" s="50"/>
      <c r="V1353" s="74">
        <v>6.25E-2</v>
      </c>
      <c r="W1353" s="50">
        <f t="shared" ref="W1353" si="362">T1353-V1353</f>
        <v>-2.0833333333333259E-2</v>
      </c>
      <c r="X1353" s="171">
        <v>46264.083333333336</v>
      </c>
      <c r="Y1353" s="171">
        <v>46264.694444444445</v>
      </c>
      <c r="Z1353" s="168">
        <f t="shared" si="323"/>
        <v>0.61111111110949423</v>
      </c>
      <c r="AA1353" s="169">
        <f t="shared" si="324"/>
        <v>0.41666666666666669</v>
      </c>
      <c r="AB1353" s="170" t="str">
        <f t="shared" si="325"/>
        <v>-04:40:00</v>
      </c>
      <c r="AC1353" s="170" t="b">
        <f t="shared" si="326"/>
        <v>1</v>
      </c>
    </row>
    <row r="1354" spans="1:29" s="128" customFormat="1" ht="9.75" hidden="1" customHeight="1" x14ac:dyDescent="0.3">
      <c r="A1354" s="99">
        <v>46264</v>
      </c>
      <c r="B1354" s="59">
        <v>8212976</v>
      </c>
      <c r="C1354" s="60" t="s">
        <v>29</v>
      </c>
      <c r="D1354" s="60" t="s">
        <v>373</v>
      </c>
      <c r="E1354" s="61">
        <v>8.3333333333333329E-2</v>
      </c>
      <c r="F1354" s="60" t="s">
        <v>15</v>
      </c>
      <c r="G1354" s="71" t="s">
        <v>17</v>
      </c>
      <c r="H1354" s="62">
        <v>8.3333333333333329E-2</v>
      </c>
      <c r="I1354" s="113" t="str">
        <f t="shared" si="355"/>
        <v>30-08-2026T02:00:00</v>
      </c>
      <c r="J1354" s="62">
        <v>0.49513888888888891</v>
      </c>
      <c r="K1354" s="62"/>
      <c r="L1354" s="63">
        <f t="shared" si="349"/>
        <v>0.41180555555555559</v>
      </c>
      <c r="M1354" s="64">
        <v>0.41666666666666669</v>
      </c>
      <c r="N1354" s="65" t="str">
        <f t="shared" si="350"/>
        <v>00:07:00</v>
      </c>
      <c r="O1354" s="66"/>
      <c r="P1354" s="124"/>
      <c r="Q1354" s="67"/>
      <c r="R1354" s="68"/>
      <c r="S1354" s="68"/>
      <c r="T1354" s="69"/>
      <c r="U1354" s="61" t="s">
        <v>234</v>
      </c>
      <c r="V1354" s="83"/>
      <c r="W1354" s="61"/>
      <c r="X1354" s="171">
        <v>8.3333333333333329E-2</v>
      </c>
      <c r="Y1354" s="171">
        <v>0.49513888888888891</v>
      </c>
      <c r="Z1354" s="168">
        <f t="shared" si="323"/>
        <v>0.41180555555555559</v>
      </c>
      <c r="AA1354" s="169">
        <f t="shared" si="324"/>
        <v>0.41666666666666669</v>
      </c>
      <c r="AB1354" s="170" t="str">
        <f t="shared" si="325"/>
        <v>00:07:00</v>
      </c>
      <c r="AC1354" s="170" t="b">
        <f t="shared" si="326"/>
        <v>1</v>
      </c>
    </row>
    <row r="1355" spans="1:29" ht="9.75" hidden="1" customHeight="1" x14ac:dyDescent="0.3">
      <c r="A1355" s="149">
        <v>46263</v>
      </c>
      <c r="B1355" s="150" t="s">
        <v>667</v>
      </c>
      <c r="C1355" s="151" t="s">
        <v>46</v>
      </c>
      <c r="D1355" s="151" t="s">
        <v>374</v>
      </c>
      <c r="E1355" s="152">
        <v>0</v>
      </c>
      <c r="F1355" s="151"/>
      <c r="G1355" s="153"/>
      <c r="H1355" s="154">
        <v>0</v>
      </c>
      <c r="I1355" s="113" t="str">
        <f t="shared" si="355"/>
        <v>29-08-2026T00:00:00</v>
      </c>
      <c r="J1355" s="154">
        <v>0</v>
      </c>
      <c r="K1355" s="154"/>
      <c r="L1355" s="155">
        <v>0</v>
      </c>
      <c r="M1355" s="160">
        <v>0</v>
      </c>
      <c r="N1355" s="156">
        <v>0</v>
      </c>
      <c r="O1355" s="157"/>
      <c r="P1355" s="158" t="s">
        <v>480</v>
      </c>
      <c r="Q1355" s="159" t="s">
        <v>480</v>
      </c>
      <c r="R1355" s="148" t="s">
        <v>480</v>
      </c>
      <c r="S1355" s="148" t="s">
        <v>480</v>
      </c>
      <c r="T1355" s="161" t="s">
        <v>480</v>
      </c>
      <c r="U1355" s="152" t="s">
        <v>480</v>
      </c>
      <c r="V1355" s="146" t="s">
        <v>480</v>
      </c>
      <c r="W1355" s="152" t="s">
        <v>480</v>
      </c>
      <c r="X1355" s="171" t="s">
        <v>668</v>
      </c>
      <c r="Y1355" s="171" t="s">
        <v>668</v>
      </c>
      <c r="Z1355" s="168" t="e">
        <f t="shared" si="323"/>
        <v>#VALUE!</v>
      </c>
      <c r="AA1355" s="169">
        <f t="shared" si="324"/>
        <v>0</v>
      </c>
      <c r="AB1355" s="170" t="e">
        <f t="shared" si="325"/>
        <v>#VALUE!</v>
      </c>
      <c r="AC1355" s="170" t="e">
        <f t="shared" si="326"/>
        <v>#VALUE!</v>
      </c>
    </row>
    <row r="1356" spans="1:29" s="127" customFormat="1" ht="9.75" hidden="1" customHeight="1" x14ac:dyDescent="0.3">
      <c r="A1356" s="98">
        <v>46264</v>
      </c>
      <c r="B1356" s="48">
        <v>8213085</v>
      </c>
      <c r="C1356" s="49" t="s">
        <v>46</v>
      </c>
      <c r="D1356" s="49" t="s">
        <v>740</v>
      </c>
      <c r="E1356" s="50">
        <v>0.125</v>
      </c>
      <c r="F1356" s="49" t="s">
        <v>23</v>
      </c>
      <c r="G1356" s="70" t="s">
        <v>13</v>
      </c>
      <c r="H1356" s="51">
        <v>46263.131944444445</v>
      </c>
      <c r="I1356" s="113" t="str">
        <f t="shared" si="355"/>
        <v>30-08-2026T03:10:00</v>
      </c>
      <c r="J1356" s="51">
        <v>46265.23333333333</v>
      </c>
      <c r="K1356" s="51"/>
      <c r="L1356" s="52">
        <f t="shared" si="349"/>
        <v>2.101388888884685</v>
      </c>
      <c r="M1356" s="53">
        <v>1.0833333333333333</v>
      </c>
      <c r="N1356" s="54" t="str">
        <f t="shared" si="350"/>
        <v>-00:26:00</v>
      </c>
      <c r="O1356" s="55">
        <v>200</v>
      </c>
      <c r="P1356" s="147" t="s">
        <v>598</v>
      </c>
      <c r="Q1356" s="56" t="s">
        <v>13</v>
      </c>
      <c r="R1356" s="57">
        <v>46265.2</v>
      </c>
      <c r="S1356" s="57">
        <v>46265.232638888891</v>
      </c>
      <c r="T1356" s="58">
        <f t="shared" ref="T1356" si="363">S1356-R1356</f>
        <v>3.2638888893416151E-2</v>
      </c>
      <c r="U1356" s="50"/>
      <c r="V1356" s="74">
        <v>8.3333333333333329E-2</v>
      </c>
      <c r="W1356" s="50">
        <f t="shared" ref="W1356" si="364">T1356-V1356</f>
        <v>-5.0694444439917177E-2</v>
      </c>
      <c r="X1356" s="171">
        <v>46264.131944444445</v>
      </c>
      <c r="Y1356" s="171">
        <v>46265.35833333333</v>
      </c>
      <c r="Z1356" s="168">
        <f t="shared" si="323"/>
        <v>1.226388888884685</v>
      </c>
      <c r="AA1356" s="169">
        <f t="shared" si="324"/>
        <v>1.0833333333333333</v>
      </c>
      <c r="AB1356" s="170" t="str">
        <f t="shared" si="325"/>
        <v>-03:26:00</v>
      </c>
      <c r="AC1356" s="170" t="b">
        <f t="shared" si="326"/>
        <v>0</v>
      </c>
    </row>
    <row r="1357" spans="1:29" s="128" customFormat="1" ht="9.75" hidden="1" customHeight="1" x14ac:dyDescent="0.3">
      <c r="A1357" s="99">
        <v>46264</v>
      </c>
      <c r="B1357" s="59">
        <v>8213043</v>
      </c>
      <c r="C1357" s="60" t="s">
        <v>57</v>
      </c>
      <c r="D1357" s="60" t="s">
        <v>370</v>
      </c>
      <c r="E1357" s="61">
        <v>0.125</v>
      </c>
      <c r="F1357" s="60" t="s">
        <v>24</v>
      </c>
      <c r="G1357" s="71" t="s">
        <v>13</v>
      </c>
      <c r="H1357" s="62">
        <v>0.12013888888888889</v>
      </c>
      <c r="I1357" s="113" t="str">
        <f t="shared" si="355"/>
        <v>30-08-2026T02:53:00</v>
      </c>
      <c r="J1357" s="62">
        <v>0.19513888888888889</v>
      </c>
      <c r="K1357" s="62"/>
      <c r="L1357" s="63">
        <f t="shared" si="349"/>
        <v>7.4999999999999997E-2</v>
      </c>
      <c r="M1357" s="64">
        <v>8.3333333333333329E-2</v>
      </c>
      <c r="N1357" s="65" t="str">
        <f t="shared" si="350"/>
        <v>00:12:00</v>
      </c>
      <c r="O1357" s="66"/>
      <c r="P1357" s="124"/>
      <c r="Q1357" s="67"/>
      <c r="R1357" s="68"/>
      <c r="S1357" s="68"/>
      <c r="T1357" s="69"/>
      <c r="U1357" s="61" t="s">
        <v>234</v>
      </c>
      <c r="V1357" s="83"/>
      <c r="W1357" s="61"/>
      <c r="X1357" s="171">
        <v>46264.120138888888</v>
      </c>
      <c r="Y1357" s="171">
        <v>46264.195138888892</v>
      </c>
      <c r="Z1357" s="168">
        <f t="shared" si="323"/>
        <v>7.5000000004365575E-2</v>
      </c>
      <c r="AA1357" s="169">
        <f t="shared" si="324"/>
        <v>8.3333333333333329E-2</v>
      </c>
      <c r="AB1357" s="170" t="str">
        <f t="shared" si="325"/>
        <v>00:12:00</v>
      </c>
      <c r="AC1357" s="170" t="b">
        <f t="shared" si="326"/>
        <v>1</v>
      </c>
    </row>
    <row r="1358" spans="1:29" s="128" customFormat="1" ht="9.75" hidden="1" customHeight="1" x14ac:dyDescent="0.3">
      <c r="A1358" s="99">
        <v>46264</v>
      </c>
      <c r="B1358" s="59">
        <v>8213079</v>
      </c>
      <c r="C1358" s="60" t="s">
        <v>87</v>
      </c>
      <c r="D1358" s="60" t="s">
        <v>367</v>
      </c>
      <c r="E1358" s="61">
        <v>0.125</v>
      </c>
      <c r="F1358" s="60" t="s">
        <v>13</v>
      </c>
      <c r="G1358" s="71" t="s">
        <v>284</v>
      </c>
      <c r="H1358" s="62">
        <v>0.13125000000000001</v>
      </c>
      <c r="I1358" s="113" t="str">
        <f t="shared" si="355"/>
        <v>30-08-2026T03:09:00</v>
      </c>
      <c r="J1358" s="62">
        <v>0.48125000000000001</v>
      </c>
      <c r="K1358" s="62"/>
      <c r="L1358" s="63">
        <f t="shared" si="349"/>
        <v>0.35</v>
      </c>
      <c r="M1358" s="64">
        <v>0.35416666666666669</v>
      </c>
      <c r="N1358" s="65" t="str">
        <f t="shared" si="350"/>
        <v>00:06:00</v>
      </c>
      <c r="O1358" s="66"/>
      <c r="P1358" s="124"/>
      <c r="Q1358" s="67" t="s">
        <v>174</v>
      </c>
      <c r="R1358" s="68">
        <v>0.40138888888888891</v>
      </c>
      <c r="S1358" s="68">
        <v>0.44791666666666669</v>
      </c>
      <c r="T1358" s="69">
        <f t="shared" ref="T1358" si="365">S1358-R1358</f>
        <v>4.6527777777777779E-2</v>
      </c>
      <c r="U1358" s="61" t="s">
        <v>234</v>
      </c>
      <c r="V1358" s="83">
        <v>6.25E-2</v>
      </c>
      <c r="W1358" s="61">
        <f t="shared" ref="W1358" si="366">T1358-V1358</f>
        <v>-1.5972222222222221E-2</v>
      </c>
      <c r="X1358" s="171">
        <v>46264.131249999999</v>
      </c>
      <c r="Y1358" s="171">
        <v>46264.481249999997</v>
      </c>
      <c r="Z1358" s="168">
        <f t="shared" ref="Z1358:Z1394" si="367">Y1358-X1358</f>
        <v>0.34999999999854481</v>
      </c>
      <c r="AA1358" s="169">
        <f t="shared" ref="AA1358:AA1394" si="368">M1358</f>
        <v>0.35416666666666669</v>
      </c>
      <c r="AB1358" s="170" t="str">
        <f t="shared" ref="AB1358:AB1394" si="369">IF(AA1358-Z1358&gt;0,TEXT(AA1358-Z1358,"HH:MM:SS"),TEXT(ABS(AA1358-Z1358),"-HH:MM:SS"))</f>
        <v>00:06:00</v>
      </c>
      <c r="AC1358" s="170" t="b">
        <f t="shared" ref="AC1358:AC1394" si="370">AB1358=N1358</f>
        <v>1</v>
      </c>
    </row>
    <row r="1359" spans="1:29" s="128" customFormat="1" ht="9.75" hidden="1" customHeight="1" x14ac:dyDescent="0.3">
      <c r="A1359" s="99">
        <v>46264</v>
      </c>
      <c r="B1359" s="59">
        <v>8213954</v>
      </c>
      <c r="C1359" s="60" t="s">
        <v>41</v>
      </c>
      <c r="D1359" s="60" t="s">
        <v>299</v>
      </c>
      <c r="E1359" s="61">
        <v>0.16666666666666666</v>
      </c>
      <c r="F1359" s="60" t="s">
        <v>13</v>
      </c>
      <c r="G1359" s="71" t="s">
        <v>24</v>
      </c>
      <c r="H1359" s="62">
        <v>0.43888888888888888</v>
      </c>
      <c r="I1359" s="113" t="str">
        <f t="shared" si="355"/>
        <v>30-08-2026T10:32:00</v>
      </c>
      <c r="J1359" s="62">
        <v>0.51041666666666663</v>
      </c>
      <c r="K1359" s="62"/>
      <c r="L1359" s="63">
        <f t="shared" si="349"/>
        <v>7.1527777777777746E-2</v>
      </c>
      <c r="M1359" s="64">
        <v>8.3333333333333329E-2</v>
      </c>
      <c r="N1359" s="65" t="str">
        <f t="shared" si="350"/>
        <v>00:17:00</v>
      </c>
      <c r="O1359" s="66"/>
      <c r="P1359" s="124"/>
      <c r="Q1359" s="67"/>
      <c r="R1359" s="68"/>
      <c r="S1359" s="68"/>
      <c r="T1359" s="69"/>
      <c r="U1359" s="61" t="s">
        <v>234</v>
      </c>
      <c r="V1359" s="83"/>
      <c r="W1359" s="61"/>
      <c r="X1359" s="171">
        <v>46264.438888888886</v>
      </c>
      <c r="Y1359" s="171">
        <v>46264.510416666664</v>
      </c>
      <c r="Z1359" s="168">
        <f t="shared" si="367"/>
        <v>7.1527777778101154E-2</v>
      </c>
      <c r="AA1359" s="169">
        <f t="shared" si="368"/>
        <v>8.3333333333333329E-2</v>
      </c>
      <c r="AB1359" s="170" t="str">
        <f t="shared" si="369"/>
        <v>00:17:00</v>
      </c>
      <c r="AC1359" s="170" t="b">
        <f t="shared" si="370"/>
        <v>1</v>
      </c>
    </row>
    <row r="1360" spans="1:29" s="127" customFormat="1" ht="9.75" hidden="1" customHeight="1" x14ac:dyDescent="0.3">
      <c r="A1360" s="98">
        <v>46264</v>
      </c>
      <c r="B1360" s="48">
        <v>8213141</v>
      </c>
      <c r="C1360" s="49" t="s">
        <v>83</v>
      </c>
      <c r="D1360" s="49" t="s">
        <v>454</v>
      </c>
      <c r="E1360" s="50">
        <v>0.16666666666666666</v>
      </c>
      <c r="F1360" s="49" t="s">
        <v>13</v>
      </c>
      <c r="G1360" s="70" t="s">
        <v>14</v>
      </c>
      <c r="H1360" s="51">
        <v>0.15763888888888888</v>
      </c>
      <c r="I1360" s="113" t="str">
        <f t="shared" si="355"/>
        <v>30-08-2026T03:47:00</v>
      </c>
      <c r="J1360" s="51">
        <v>0.72777777777777775</v>
      </c>
      <c r="K1360" s="51"/>
      <c r="L1360" s="52">
        <f t="shared" si="349"/>
        <v>0.57013888888888886</v>
      </c>
      <c r="M1360" s="53">
        <v>0.54166666666666663</v>
      </c>
      <c r="N1360" s="54" t="str">
        <f t="shared" si="350"/>
        <v>-00:41:00</v>
      </c>
      <c r="O1360" s="55">
        <v>200</v>
      </c>
      <c r="P1360" s="147" t="s">
        <v>741</v>
      </c>
      <c r="Q1360" s="56"/>
      <c r="R1360" s="57"/>
      <c r="S1360" s="57"/>
      <c r="T1360" s="58"/>
      <c r="U1360" s="50"/>
      <c r="V1360" s="74"/>
      <c r="W1360" s="50"/>
      <c r="X1360" s="171">
        <v>46264.157638888886</v>
      </c>
      <c r="Y1360" s="171">
        <v>46264.727777777778</v>
      </c>
      <c r="Z1360" s="168">
        <f t="shared" si="367"/>
        <v>0.57013888889196096</v>
      </c>
      <c r="AA1360" s="169">
        <f t="shared" si="368"/>
        <v>0.54166666666666663</v>
      </c>
      <c r="AB1360" s="170" t="str">
        <f t="shared" si="369"/>
        <v>-00:41:00</v>
      </c>
      <c r="AC1360" s="170" t="b">
        <f t="shared" si="370"/>
        <v>1</v>
      </c>
    </row>
    <row r="1361" spans="1:29" s="128" customFormat="1" ht="9.75" hidden="1" customHeight="1" x14ac:dyDescent="0.3">
      <c r="A1361" s="99">
        <v>46264</v>
      </c>
      <c r="B1361" s="59">
        <v>8213244</v>
      </c>
      <c r="C1361" s="60" t="s">
        <v>16</v>
      </c>
      <c r="D1361" s="60" t="s">
        <v>285</v>
      </c>
      <c r="E1361" s="61">
        <v>0.16666666666666666</v>
      </c>
      <c r="F1361" s="60" t="s">
        <v>17</v>
      </c>
      <c r="G1361" s="71" t="s">
        <v>15</v>
      </c>
      <c r="H1361" s="62">
        <v>0.18680555555555556</v>
      </c>
      <c r="I1361" s="113" t="str">
        <f t="shared" si="355"/>
        <v>30-08-2026T04:29:00</v>
      </c>
      <c r="J1361" s="62">
        <v>0.67291666666666672</v>
      </c>
      <c r="K1361" s="62"/>
      <c r="L1361" s="63">
        <f t="shared" si="349"/>
        <v>0.48611111111111116</v>
      </c>
      <c r="M1361" s="64">
        <v>0.5</v>
      </c>
      <c r="N1361" s="65" t="str">
        <f t="shared" si="350"/>
        <v>00:20:00</v>
      </c>
      <c r="O1361" s="66"/>
      <c r="P1361" s="124"/>
      <c r="Q1361" s="67" t="s">
        <v>98</v>
      </c>
      <c r="R1361" s="68">
        <v>0.40972222222222221</v>
      </c>
      <c r="S1361" s="68">
        <v>0.46180555555555558</v>
      </c>
      <c r="T1361" s="69">
        <f t="shared" ref="T1361" si="371">S1361-R1361</f>
        <v>5.208333333333337E-2</v>
      </c>
      <c r="U1361" s="61" t="s">
        <v>234</v>
      </c>
      <c r="V1361" s="83">
        <v>8.3333333333333329E-2</v>
      </c>
      <c r="W1361" s="61">
        <f t="shared" ref="W1361" si="372">T1361-V1361</f>
        <v>-3.1249999999999958E-2</v>
      </c>
      <c r="X1361" s="171">
        <v>0.18680555555555556</v>
      </c>
      <c r="Y1361" s="171">
        <v>0.67291666666666672</v>
      </c>
      <c r="Z1361" s="168">
        <f t="shared" si="367"/>
        <v>0.48611111111111116</v>
      </c>
      <c r="AA1361" s="169">
        <f t="shared" si="368"/>
        <v>0.5</v>
      </c>
      <c r="AB1361" s="170" t="str">
        <f t="shared" si="369"/>
        <v>00:20:00</v>
      </c>
      <c r="AC1361" s="170" t="b">
        <f t="shared" si="370"/>
        <v>1</v>
      </c>
    </row>
    <row r="1362" spans="1:29" s="127" customFormat="1" ht="9.75" hidden="1" customHeight="1" x14ac:dyDescent="0.3">
      <c r="A1362" s="98">
        <v>46264</v>
      </c>
      <c r="B1362" s="48">
        <v>8213922</v>
      </c>
      <c r="C1362" s="49" t="s">
        <v>50</v>
      </c>
      <c r="D1362" s="49" t="s">
        <v>329</v>
      </c>
      <c r="E1362" s="50">
        <v>0.16666666666666666</v>
      </c>
      <c r="F1362" s="49" t="s">
        <v>31</v>
      </c>
      <c r="G1362" s="70" t="s">
        <v>13</v>
      </c>
      <c r="H1362" s="51">
        <v>46264.423611111109</v>
      </c>
      <c r="I1362" s="113" t="str">
        <f t="shared" si="355"/>
        <v>30-08-2026T10:10:00</v>
      </c>
      <c r="J1362" s="51">
        <v>46265.213194444441</v>
      </c>
      <c r="K1362" s="51"/>
      <c r="L1362" s="52">
        <f t="shared" si="349"/>
        <v>0.78958333333139308</v>
      </c>
      <c r="M1362" s="53">
        <v>0.75</v>
      </c>
      <c r="N1362" s="54" t="str">
        <f t="shared" si="350"/>
        <v>-00:57:00</v>
      </c>
      <c r="O1362" s="55">
        <v>400</v>
      </c>
      <c r="P1362" s="147" t="s">
        <v>706</v>
      </c>
      <c r="Q1362" s="56" t="s">
        <v>45</v>
      </c>
      <c r="R1362" s="57">
        <v>0.57916666666666672</v>
      </c>
      <c r="S1362" s="57">
        <v>0.64930555555555558</v>
      </c>
      <c r="T1362" s="58">
        <f t="shared" ref="T1362" si="373">S1362-R1362</f>
        <v>7.0138888888888862E-2</v>
      </c>
      <c r="U1362" s="50"/>
      <c r="V1362" s="74">
        <v>8.3333333333333329E-2</v>
      </c>
      <c r="W1362" s="50">
        <f t="shared" ref="W1362" si="374">T1362-V1362</f>
        <v>-1.3194444444444467E-2</v>
      </c>
      <c r="X1362" s="171">
        <v>46264.423611111109</v>
      </c>
      <c r="Y1362" s="171">
        <v>46265.213194444441</v>
      </c>
      <c r="Z1362" s="168">
        <f t="shared" si="367"/>
        <v>0.78958333333139308</v>
      </c>
      <c r="AA1362" s="169">
        <f t="shared" si="368"/>
        <v>0.75</v>
      </c>
      <c r="AB1362" s="170" t="str">
        <f t="shared" si="369"/>
        <v>-00:57:00</v>
      </c>
      <c r="AC1362" s="170" t="b">
        <f t="shared" si="370"/>
        <v>1</v>
      </c>
    </row>
    <row r="1363" spans="1:29" s="128" customFormat="1" ht="9.75" hidden="1" customHeight="1" x14ac:dyDescent="0.3">
      <c r="A1363" s="99">
        <v>46264</v>
      </c>
      <c r="B1363" s="59">
        <v>8213201</v>
      </c>
      <c r="C1363" s="60" t="s">
        <v>27</v>
      </c>
      <c r="D1363" s="60" t="s">
        <v>378</v>
      </c>
      <c r="E1363" s="61">
        <v>0.16666666666666666</v>
      </c>
      <c r="F1363" s="60" t="s">
        <v>13</v>
      </c>
      <c r="G1363" s="71" t="s">
        <v>28</v>
      </c>
      <c r="H1363" s="62">
        <v>0.16944444444444445</v>
      </c>
      <c r="I1363" s="113" t="str">
        <f t="shared" si="355"/>
        <v>30-08-2026T04:04:00</v>
      </c>
      <c r="J1363" s="62">
        <v>0.33333333333333331</v>
      </c>
      <c r="K1363" s="62"/>
      <c r="L1363" s="63">
        <f t="shared" si="349"/>
        <v>0.16388888888888886</v>
      </c>
      <c r="M1363" s="64">
        <v>0.16666666666666666</v>
      </c>
      <c r="N1363" s="65" t="str">
        <f t="shared" si="350"/>
        <v>00:04:00</v>
      </c>
      <c r="O1363" s="66"/>
      <c r="P1363" s="124"/>
      <c r="Q1363" s="67"/>
      <c r="R1363" s="68"/>
      <c r="S1363" s="68"/>
      <c r="T1363" s="69"/>
      <c r="U1363" s="61"/>
      <c r="V1363" s="83"/>
      <c r="W1363" s="61"/>
      <c r="X1363" s="171">
        <v>46264.169444444444</v>
      </c>
      <c r="Y1363" s="171">
        <v>46264.333333333336</v>
      </c>
      <c r="Z1363" s="168">
        <f t="shared" si="367"/>
        <v>0.16388888889196096</v>
      </c>
      <c r="AA1363" s="169">
        <f t="shared" si="368"/>
        <v>0.16666666666666666</v>
      </c>
      <c r="AB1363" s="170" t="str">
        <f t="shared" si="369"/>
        <v>00:04:00</v>
      </c>
      <c r="AC1363" s="170" t="b">
        <f t="shared" si="370"/>
        <v>1</v>
      </c>
    </row>
    <row r="1364" spans="1:29" s="144" customFormat="1" ht="9.75" hidden="1" customHeight="1" x14ac:dyDescent="0.3">
      <c r="A1364" s="129">
        <v>46264</v>
      </c>
      <c r="B1364" s="130">
        <v>8213264</v>
      </c>
      <c r="C1364" s="131" t="s">
        <v>82</v>
      </c>
      <c r="D1364" s="131" t="s">
        <v>333</v>
      </c>
      <c r="E1364" s="132">
        <v>0.20833333333333334</v>
      </c>
      <c r="F1364" s="131" t="s">
        <v>26</v>
      </c>
      <c r="G1364" s="133" t="s">
        <v>13</v>
      </c>
      <c r="H1364" s="134">
        <v>0.19236111111111112</v>
      </c>
      <c r="I1364" s="113" t="str">
        <f t="shared" si="355"/>
        <v>30-08-2026T04:37:00</v>
      </c>
      <c r="J1364" s="134">
        <v>0.67847222222222225</v>
      </c>
      <c r="K1364" s="134"/>
      <c r="L1364" s="135">
        <f t="shared" si="349"/>
        <v>0.48611111111111116</v>
      </c>
      <c r="M1364" s="136">
        <v>0.45833333333333331</v>
      </c>
      <c r="N1364" s="137" t="str">
        <f t="shared" si="350"/>
        <v>-00:40:00</v>
      </c>
      <c r="O1364" s="138"/>
      <c r="P1364" s="145" t="s">
        <v>567</v>
      </c>
      <c r="Q1364" s="140" t="s">
        <v>13</v>
      </c>
      <c r="R1364" s="141">
        <v>0.54166666666666663</v>
      </c>
      <c r="S1364" s="141">
        <v>0.66666666666666663</v>
      </c>
      <c r="T1364" s="142">
        <f t="shared" ref="T1364" si="375">S1364-R1364</f>
        <v>0.125</v>
      </c>
      <c r="U1364" s="132"/>
      <c r="V1364" s="143">
        <v>8.3333333333333329E-2</v>
      </c>
      <c r="W1364" s="132">
        <f t="shared" ref="W1364" si="376">T1364-V1364</f>
        <v>4.1666666666666671E-2</v>
      </c>
      <c r="X1364" s="171">
        <v>46264.192361111112</v>
      </c>
      <c r="Y1364" s="171">
        <v>46264.678472222222</v>
      </c>
      <c r="Z1364" s="168">
        <f t="shared" si="367"/>
        <v>0.48611111110949423</v>
      </c>
      <c r="AA1364" s="169">
        <f t="shared" si="368"/>
        <v>0.45833333333333331</v>
      </c>
      <c r="AB1364" s="170" t="str">
        <f t="shared" si="369"/>
        <v>-00:40:00</v>
      </c>
      <c r="AC1364" s="170" t="b">
        <f t="shared" si="370"/>
        <v>1</v>
      </c>
    </row>
    <row r="1365" spans="1:29" s="127" customFormat="1" ht="9.75" hidden="1" customHeight="1" x14ac:dyDescent="0.3">
      <c r="A1365" s="98">
        <v>46264</v>
      </c>
      <c r="B1365" s="48">
        <v>8213522</v>
      </c>
      <c r="C1365" s="49" t="s">
        <v>38</v>
      </c>
      <c r="D1365" s="49" t="s">
        <v>289</v>
      </c>
      <c r="E1365" s="50">
        <v>0.25</v>
      </c>
      <c r="F1365" s="49" t="s">
        <v>14</v>
      </c>
      <c r="G1365" s="70" t="s">
        <v>13</v>
      </c>
      <c r="H1365" s="51">
        <v>0.24930555555555556</v>
      </c>
      <c r="I1365" s="113" t="str">
        <f t="shared" si="355"/>
        <v>30-08-2026T05:59:00</v>
      </c>
      <c r="J1365" s="51">
        <v>0.80277777777777781</v>
      </c>
      <c r="K1365" s="51"/>
      <c r="L1365" s="52">
        <f t="shared" si="349"/>
        <v>0.55347222222222225</v>
      </c>
      <c r="M1365" s="53">
        <v>0.54166666666666663</v>
      </c>
      <c r="N1365" s="54" t="str">
        <f t="shared" si="350"/>
        <v>-00:17:00</v>
      </c>
      <c r="O1365" s="55">
        <v>250</v>
      </c>
      <c r="P1365" s="147" t="s">
        <v>742</v>
      </c>
      <c r="Q1365" s="56"/>
      <c r="R1365" s="57"/>
      <c r="S1365" s="57"/>
      <c r="T1365" s="58"/>
      <c r="U1365" s="50"/>
      <c r="V1365" s="74"/>
      <c r="W1365" s="50"/>
      <c r="X1365" s="171">
        <v>46264.249305555553</v>
      </c>
      <c r="Y1365" s="171">
        <v>46264.802777777775</v>
      </c>
      <c r="Z1365" s="168">
        <f t="shared" si="367"/>
        <v>0.55347222222189885</v>
      </c>
      <c r="AA1365" s="169">
        <f t="shared" si="368"/>
        <v>0.54166666666666663</v>
      </c>
      <c r="AB1365" s="170" t="str">
        <f t="shared" si="369"/>
        <v>-00:17:00</v>
      </c>
      <c r="AC1365" s="170" t="b">
        <f t="shared" si="370"/>
        <v>1</v>
      </c>
    </row>
    <row r="1366" spans="1:29" s="128" customFormat="1" ht="9.75" hidden="1" customHeight="1" x14ac:dyDescent="0.3">
      <c r="A1366" s="99">
        <v>46264</v>
      </c>
      <c r="B1366" s="59">
        <v>8213531</v>
      </c>
      <c r="C1366" s="60" t="s">
        <v>89</v>
      </c>
      <c r="D1366" s="60" t="s">
        <v>294</v>
      </c>
      <c r="E1366" s="61">
        <v>0.25</v>
      </c>
      <c r="F1366" s="60" t="s">
        <v>13</v>
      </c>
      <c r="G1366" s="71" t="s">
        <v>35</v>
      </c>
      <c r="H1366" s="62">
        <v>0.25</v>
      </c>
      <c r="I1366" s="113" t="str">
        <f t="shared" si="355"/>
        <v>30-08-2026T06:00:00</v>
      </c>
      <c r="J1366" s="62">
        <v>0.28472222222222221</v>
      </c>
      <c r="K1366" s="62"/>
      <c r="L1366" s="63">
        <f t="shared" si="349"/>
        <v>3.472222222222221E-2</v>
      </c>
      <c r="M1366" s="64">
        <v>4.1666666666666664E-2</v>
      </c>
      <c r="N1366" s="65" t="str">
        <f t="shared" si="350"/>
        <v>00:10:00</v>
      </c>
      <c r="O1366" s="66"/>
      <c r="P1366" s="124"/>
      <c r="Q1366" s="67"/>
      <c r="R1366" s="68"/>
      <c r="S1366" s="68"/>
      <c r="T1366" s="69"/>
      <c r="U1366" s="61"/>
      <c r="V1366" s="83"/>
      <c r="W1366" s="61"/>
      <c r="X1366" s="171">
        <v>46264.25</v>
      </c>
      <c r="Y1366" s="171">
        <v>46264.284722222219</v>
      </c>
      <c r="Z1366" s="168">
        <f t="shared" si="367"/>
        <v>3.4722222218988463E-2</v>
      </c>
      <c r="AA1366" s="169">
        <f t="shared" si="368"/>
        <v>4.1666666666666664E-2</v>
      </c>
      <c r="AB1366" s="170" t="str">
        <f t="shared" si="369"/>
        <v>00:10:00</v>
      </c>
      <c r="AC1366" s="170" t="b">
        <f t="shared" si="370"/>
        <v>1</v>
      </c>
    </row>
    <row r="1367" spans="1:29" s="128" customFormat="1" ht="9.75" hidden="1" customHeight="1" x14ac:dyDescent="0.3">
      <c r="A1367" s="99">
        <v>46264</v>
      </c>
      <c r="B1367" s="59">
        <v>8213749</v>
      </c>
      <c r="C1367" s="60" t="s">
        <v>36</v>
      </c>
      <c r="D1367" s="60" t="s">
        <v>300</v>
      </c>
      <c r="E1367" s="61">
        <v>0.27083333333333331</v>
      </c>
      <c r="F1367" s="60" t="s">
        <v>13</v>
      </c>
      <c r="G1367" s="71" t="s">
        <v>14</v>
      </c>
      <c r="H1367" s="62">
        <v>0.32708333333333334</v>
      </c>
      <c r="I1367" s="113" t="str">
        <f t="shared" si="355"/>
        <v>30-08-2026T07:51:00</v>
      </c>
      <c r="J1367" s="62">
        <v>0.91527777777777775</v>
      </c>
      <c r="K1367" s="62"/>
      <c r="L1367" s="63">
        <f t="shared" si="349"/>
        <v>0.58819444444444446</v>
      </c>
      <c r="M1367" s="64">
        <v>0.625</v>
      </c>
      <c r="N1367" s="65" t="str">
        <f t="shared" si="350"/>
        <v>00:53:00</v>
      </c>
      <c r="O1367" s="66"/>
      <c r="P1367" s="124"/>
      <c r="Q1367" s="67" t="s">
        <v>15</v>
      </c>
      <c r="R1367" s="68">
        <v>0.56388888888888888</v>
      </c>
      <c r="S1367" s="68">
        <v>0.57777777777777772</v>
      </c>
      <c r="T1367" s="69">
        <f t="shared" ref="T1367" si="377">S1367-R1367</f>
        <v>1.388888888888884E-2</v>
      </c>
      <c r="U1367" s="61" t="s">
        <v>234</v>
      </c>
      <c r="V1367" s="83">
        <v>8.3333333333333329E-2</v>
      </c>
      <c r="W1367" s="61">
        <f t="shared" ref="W1367:W1369" si="378">T1367-V1367</f>
        <v>-6.9444444444444489E-2</v>
      </c>
      <c r="X1367" s="171">
        <v>46264.32708333333</v>
      </c>
      <c r="Y1367" s="171">
        <v>46264.915277777778</v>
      </c>
      <c r="Z1367" s="168">
        <f t="shared" si="367"/>
        <v>0.58819444444816327</v>
      </c>
      <c r="AA1367" s="169">
        <f t="shared" si="368"/>
        <v>0.625</v>
      </c>
      <c r="AB1367" s="170" t="str">
        <f t="shared" si="369"/>
        <v>00:53:00</v>
      </c>
      <c r="AC1367" s="170" t="b">
        <f t="shared" si="370"/>
        <v>1</v>
      </c>
    </row>
    <row r="1368" spans="1:29" s="128" customFormat="1" ht="9.75" hidden="1" customHeight="1" x14ac:dyDescent="0.3">
      <c r="A1368" s="99">
        <v>46264</v>
      </c>
      <c r="B1368" s="59">
        <v>8213608</v>
      </c>
      <c r="C1368" s="60" t="s">
        <v>99</v>
      </c>
      <c r="D1368" s="60" t="s">
        <v>375</v>
      </c>
      <c r="E1368" s="61">
        <v>0.27083333333333331</v>
      </c>
      <c r="F1368" s="60" t="s">
        <v>103</v>
      </c>
      <c r="G1368" s="71" t="s">
        <v>13</v>
      </c>
      <c r="H1368" s="62">
        <v>0.27083333333333331</v>
      </c>
      <c r="I1368" s="113" t="str">
        <f t="shared" si="355"/>
        <v>30-08-2026T06:30:00</v>
      </c>
      <c r="J1368" s="62">
        <v>0.84444444444444444</v>
      </c>
      <c r="K1368" s="62"/>
      <c r="L1368" s="63">
        <f t="shared" si="349"/>
        <v>0.57361111111111107</v>
      </c>
      <c r="M1368" s="64">
        <v>0.70833333333333337</v>
      </c>
      <c r="N1368" s="65" t="str">
        <f t="shared" si="350"/>
        <v>03:14:00</v>
      </c>
      <c r="O1368" s="66"/>
      <c r="P1368" s="124"/>
      <c r="Q1368" s="67" t="s">
        <v>13</v>
      </c>
      <c r="R1368" s="68">
        <v>0.83680555555555558</v>
      </c>
      <c r="S1368" s="68">
        <v>0.84444444444444444</v>
      </c>
      <c r="T1368" s="69">
        <f t="shared" ref="T1368:T1369" si="379">S1368-R1368</f>
        <v>7.6388888888888618E-3</v>
      </c>
      <c r="U1368" s="61" t="s">
        <v>234</v>
      </c>
      <c r="V1368" s="83">
        <v>8.3333333333333329E-2</v>
      </c>
      <c r="W1368" s="61">
        <f t="shared" si="378"/>
        <v>-7.5694444444444467E-2</v>
      </c>
      <c r="X1368" s="171">
        <v>46264.270833333336</v>
      </c>
      <c r="Y1368" s="171">
        <v>46264.844444444447</v>
      </c>
      <c r="Z1368" s="168">
        <f t="shared" si="367"/>
        <v>0.57361111111094942</v>
      </c>
      <c r="AA1368" s="169">
        <f t="shared" si="368"/>
        <v>0.70833333333333337</v>
      </c>
      <c r="AB1368" s="170" t="str">
        <f t="shared" si="369"/>
        <v>03:14:00</v>
      </c>
      <c r="AC1368" s="170" t="b">
        <f t="shared" si="370"/>
        <v>1</v>
      </c>
    </row>
    <row r="1369" spans="1:29" s="127" customFormat="1" ht="9.75" hidden="1" customHeight="1" x14ac:dyDescent="0.3">
      <c r="A1369" s="98">
        <v>46264</v>
      </c>
      <c r="B1369" s="48">
        <v>8213712</v>
      </c>
      <c r="C1369" s="49" t="s">
        <v>56</v>
      </c>
      <c r="D1369" s="49" t="s">
        <v>735</v>
      </c>
      <c r="E1369" s="50">
        <v>0.3125</v>
      </c>
      <c r="F1369" s="49" t="s">
        <v>15</v>
      </c>
      <c r="G1369" s="70" t="s">
        <v>13</v>
      </c>
      <c r="H1369" s="51">
        <v>0.30694444444444446</v>
      </c>
      <c r="I1369" s="113" t="str">
        <f t="shared" si="355"/>
        <v>30-08-2026T07:22:00</v>
      </c>
      <c r="J1369" s="51">
        <v>0.74305555555555558</v>
      </c>
      <c r="K1369" s="51"/>
      <c r="L1369" s="52">
        <f t="shared" si="349"/>
        <v>0.43611111111111112</v>
      </c>
      <c r="M1369" s="53">
        <v>0.25</v>
      </c>
      <c r="N1369" s="54" t="str">
        <f t="shared" si="350"/>
        <v>-04:28:00</v>
      </c>
      <c r="O1369" s="55">
        <v>750</v>
      </c>
      <c r="P1369" s="147" t="s">
        <v>770</v>
      </c>
      <c r="Q1369" s="56" t="s">
        <v>205</v>
      </c>
      <c r="R1369" s="57">
        <v>0.49861111111111112</v>
      </c>
      <c r="S1369" s="57">
        <v>0.60416666666666663</v>
      </c>
      <c r="T1369" s="47">
        <f t="shared" si="379"/>
        <v>0.10555555555555551</v>
      </c>
      <c r="U1369" s="50"/>
      <c r="V1369" s="74">
        <v>4.1666666666666664E-2</v>
      </c>
      <c r="W1369" s="50">
        <f t="shared" si="378"/>
        <v>6.3888888888888856E-2</v>
      </c>
      <c r="X1369" s="171">
        <v>46264.306944444441</v>
      </c>
      <c r="Y1369" s="171">
        <v>46264.743055555555</v>
      </c>
      <c r="Z1369" s="168">
        <f t="shared" si="367"/>
        <v>0.43611111111385981</v>
      </c>
      <c r="AA1369" s="169">
        <f t="shared" si="368"/>
        <v>0.25</v>
      </c>
      <c r="AB1369" s="170" t="str">
        <f t="shared" si="369"/>
        <v>-04:28:00</v>
      </c>
      <c r="AC1369" s="170" t="b">
        <f t="shared" si="370"/>
        <v>1</v>
      </c>
    </row>
    <row r="1370" spans="1:29" s="128" customFormat="1" ht="9.75" hidden="1" customHeight="1" x14ac:dyDescent="0.3">
      <c r="A1370" s="99">
        <v>46264</v>
      </c>
      <c r="B1370" s="59">
        <v>8213729</v>
      </c>
      <c r="C1370" s="60" t="s">
        <v>42</v>
      </c>
      <c r="D1370" s="60" t="s">
        <v>181</v>
      </c>
      <c r="E1370" s="61">
        <v>0.29166666666666669</v>
      </c>
      <c r="F1370" s="60" t="s">
        <v>13</v>
      </c>
      <c r="G1370" s="71" t="s">
        <v>55</v>
      </c>
      <c r="H1370" s="62">
        <v>0.31388888888888888</v>
      </c>
      <c r="I1370" s="113" t="str">
        <f t="shared" si="355"/>
        <v>30-08-2026T07:32:00</v>
      </c>
      <c r="J1370" s="62">
        <v>0.37361111111111112</v>
      </c>
      <c r="K1370" s="62"/>
      <c r="L1370" s="63">
        <f t="shared" si="349"/>
        <v>5.9722222222222232E-2</v>
      </c>
      <c r="M1370" s="64">
        <v>6.25E-2</v>
      </c>
      <c r="N1370" s="65" t="str">
        <f t="shared" si="350"/>
        <v>00:04:00</v>
      </c>
      <c r="O1370" s="66"/>
      <c r="P1370" s="124"/>
      <c r="Q1370" s="67"/>
      <c r="R1370" s="68"/>
      <c r="S1370" s="68"/>
      <c r="T1370" s="69"/>
      <c r="U1370" s="61" t="s">
        <v>234</v>
      </c>
      <c r="V1370" s="83"/>
      <c r="W1370" s="61"/>
      <c r="X1370" s="171">
        <v>46264.313888888886</v>
      </c>
      <c r="Y1370" s="171">
        <v>46264.373611111114</v>
      </c>
      <c r="Z1370" s="168">
        <f t="shared" si="367"/>
        <v>5.9722222227719612E-2</v>
      </c>
      <c r="AA1370" s="169">
        <f t="shared" si="368"/>
        <v>6.25E-2</v>
      </c>
      <c r="AB1370" s="170" t="str">
        <f t="shared" si="369"/>
        <v>00:04:00</v>
      </c>
      <c r="AC1370" s="170" t="b">
        <f t="shared" si="370"/>
        <v>1</v>
      </c>
    </row>
    <row r="1371" spans="1:29" ht="9.75" hidden="1" customHeight="1" x14ac:dyDescent="0.3">
      <c r="A1371" s="149">
        <v>46261</v>
      </c>
      <c r="B1371" s="150" t="s">
        <v>687</v>
      </c>
      <c r="C1371" s="151" t="s">
        <v>86</v>
      </c>
      <c r="D1371" s="151" t="s">
        <v>182</v>
      </c>
      <c r="E1371" s="152">
        <v>0</v>
      </c>
      <c r="F1371" s="151"/>
      <c r="G1371" s="153"/>
      <c r="H1371" s="154">
        <v>0</v>
      </c>
      <c r="I1371" s="113" t="str">
        <f t="shared" si="355"/>
        <v>27-08-2026T00:00:00</v>
      </c>
      <c r="J1371" s="154">
        <v>0</v>
      </c>
      <c r="K1371" s="154"/>
      <c r="L1371" s="155">
        <v>0</v>
      </c>
      <c r="M1371" s="160">
        <v>0</v>
      </c>
      <c r="N1371" s="156">
        <v>0</v>
      </c>
      <c r="O1371" s="157"/>
      <c r="P1371" s="158" t="s">
        <v>480</v>
      </c>
      <c r="Q1371" s="159" t="s">
        <v>480</v>
      </c>
      <c r="R1371" s="148" t="s">
        <v>480</v>
      </c>
      <c r="S1371" s="148" t="s">
        <v>480</v>
      </c>
      <c r="T1371" s="161" t="s">
        <v>480</v>
      </c>
      <c r="U1371" s="152" t="s">
        <v>480</v>
      </c>
      <c r="V1371" s="146" t="s">
        <v>480</v>
      </c>
      <c r="W1371" s="152" t="s">
        <v>480</v>
      </c>
      <c r="X1371" s="171" t="s">
        <v>668</v>
      </c>
      <c r="Y1371" s="171" t="s">
        <v>668</v>
      </c>
      <c r="Z1371" s="168" t="e">
        <f t="shared" si="367"/>
        <v>#VALUE!</v>
      </c>
      <c r="AA1371" s="169">
        <f t="shared" si="368"/>
        <v>0</v>
      </c>
      <c r="AB1371" s="170" t="e">
        <f t="shared" si="369"/>
        <v>#VALUE!</v>
      </c>
      <c r="AC1371" s="170" t="e">
        <f t="shared" si="370"/>
        <v>#VALUE!</v>
      </c>
    </row>
    <row r="1372" spans="1:29" s="127" customFormat="1" ht="9.75" hidden="1" customHeight="1" x14ac:dyDescent="0.3">
      <c r="A1372" s="98">
        <v>46264</v>
      </c>
      <c r="B1372" s="48">
        <v>8213702</v>
      </c>
      <c r="C1372" s="49" t="s">
        <v>86</v>
      </c>
      <c r="D1372" s="49" t="s">
        <v>182</v>
      </c>
      <c r="E1372" s="50">
        <v>0.29166666666666669</v>
      </c>
      <c r="F1372" s="49" t="s">
        <v>13</v>
      </c>
      <c r="G1372" s="70" t="s">
        <v>31</v>
      </c>
      <c r="H1372" s="51">
        <v>46264.302083333336</v>
      </c>
      <c r="I1372" s="113" t="str">
        <f t="shared" si="355"/>
        <v>30-08-2026T07:15:00</v>
      </c>
      <c r="J1372" s="51">
        <v>46265.020138888889</v>
      </c>
      <c r="K1372" s="51"/>
      <c r="L1372" s="52">
        <f t="shared" si="349"/>
        <v>0.71805555555329192</v>
      </c>
      <c r="M1372" s="53">
        <v>0.625</v>
      </c>
      <c r="N1372" s="54" t="str">
        <f t="shared" si="350"/>
        <v>-02:14:00</v>
      </c>
      <c r="O1372" s="55">
        <v>600</v>
      </c>
      <c r="P1372" s="147" t="s">
        <v>714</v>
      </c>
      <c r="Q1372" s="56"/>
      <c r="R1372" s="57"/>
      <c r="S1372" s="57"/>
      <c r="T1372" s="58">
        <f t="shared" ref="T1372:T1374" si="380">S1372-R1372</f>
        <v>0</v>
      </c>
      <c r="U1372" s="50"/>
      <c r="V1372" s="74">
        <v>0</v>
      </c>
      <c r="W1372" s="50">
        <f t="shared" ref="W1372:W1374" si="381">T1372-V1372</f>
        <v>0</v>
      </c>
      <c r="X1372" s="171">
        <v>46264.302083333336</v>
      </c>
      <c r="Y1372" s="171">
        <v>46265.020138888889</v>
      </c>
      <c r="Z1372" s="168">
        <f t="shared" si="367"/>
        <v>0.71805555555329192</v>
      </c>
      <c r="AA1372" s="169">
        <f t="shared" si="368"/>
        <v>0.625</v>
      </c>
      <c r="AB1372" s="170" t="str">
        <f t="shared" si="369"/>
        <v>-02:14:00</v>
      </c>
      <c r="AC1372" s="170" t="b">
        <f t="shared" si="370"/>
        <v>1</v>
      </c>
    </row>
    <row r="1373" spans="1:29" s="127" customFormat="1" ht="9.75" hidden="1" customHeight="1" x14ac:dyDescent="0.3">
      <c r="A1373" s="98">
        <v>46264</v>
      </c>
      <c r="B1373" s="48">
        <v>8213864</v>
      </c>
      <c r="C1373" s="49" t="s">
        <v>30</v>
      </c>
      <c r="D1373" s="49" t="s">
        <v>286</v>
      </c>
      <c r="E1373" s="50">
        <v>0.375</v>
      </c>
      <c r="F1373" s="49" t="s">
        <v>13</v>
      </c>
      <c r="G1373" s="70" t="s">
        <v>31</v>
      </c>
      <c r="H1373" s="51">
        <v>46264.381249999999</v>
      </c>
      <c r="I1373" s="113" t="str">
        <f t="shared" si="355"/>
        <v>30-08-2026T09:09:00</v>
      </c>
      <c r="J1373" s="51">
        <v>46265.490972222222</v>
      </c>
      <c r="K1373" s="51"/>
      <c r="L1373" s="52">
        <f t="shared" si="349"/>
        <v>1.109722222223354</v>
      </c>
      <c r="M1373" s="53">
        <v>0.75</v>
      </c>
      <c r="N1373" s="54" t="str">
        <f t="shared" si="350"/>
        <v>-08:38:00</v>
      </c>
      <c r="O1373" s="55">
        <v>1800</v>
      </c>
      <c r="P1373" s="147" t="s">
        <v>749</v>
      </c>
      <c r="Q1373" s="56" t="s">
        <v>45</v>
      </c>
      <c r="R1373" s="57">
        <v>46265.229166666664</v>
      </c>
      <c r="S1373" s="57">
        <v>46265.267361111109</v>
      </c>
      <c r="T1373" s="58">
        <f t="shared" si="380"/>
        <v>3.8194444445252884E-2</v>
      </c>
      <c r="U1373" s="50"/>
      <c r="V1373" s="74">
        <v>8.3333333333333329E-2</v>
      </c>
      <c r="W1373" s="50">
        <f t="shared" si="381"/>
        <v>-4.5138888888080445E-2</v>
      </c>
      <c r="X1373" s="171">
        <v>46264.381249999999</v>
      </c>
      <c r="Y1373" s="171">
        <v>46265.490972222222</v>
      </c>
      <c r="Z1373" s="168">
        <f t="shared" si="367"/>
        <v>1.109722222223354</v>
      </c>
      <c r="AA1373" s="169">
        <f t="shared" si="368"/>
        <v>0.75</v>
      </c>
      <c r="AB1373" s="170" t="str">
        <f t="shared" si="369"/>
        <v>-08:38:00</v>
      </c>
      <c r="AC1373" s="170" t="b">
        <f t="shared" si="370"/>
        <v>1</v>
      </c>
    </row>
    <row r="1374" spans="1:29" s="128" customFormat="1" ht="9.75" hidden="1" customHeight="1" x14ac:dyDescent="0.3">
      <c r="A1374" s="99">
        <v>46264</v>
      </c>
      <c r="B1374" s="59">
        <v>8213846</v>
      </c>
      <c r="C1374" s="60" t="s">
        <v>48</v>
      </c>
      <c r="D1374" s="60" t="s">
        <v>183</v>
      </c>
      <c r="E1374" s="61">
        <v>0.375</v>
      </c>
      <c r="F1374" s="60" t="s">
        <v>49</v>
      </c>
      <c r="G1374" s="71" t="s">
        <v>13</v>
      </c>
      <c r="H1374" s="62">
        <v>0.37430555555555556</v>
      </c>
      <c r="I1374" s="113" t="str">
        <f t="shared" si="355"/>
        <v>30-08-2026T08:59:00</v>
      </c>
      <c r="J1374" s="62">
        <v>0.92222222222222228</v>
      </c>
      <c r="K1374" s="62"/>
      <c r="L1374" s="63">
        <f t="shared" si="349"/>
        <v>0.54791666666666672</v>
      </c>
      <c r="M1374" s="64">
        <v>0.58333333333333337</v>
      </c>
      <c r="N1374" s="65" t="str">
        <f t="shared" si="350"/>
        <v>00:51:00</v>
      </c>
      <c r="O1374" s="66"/>
      <c r="P1374" s="124"/>
      <c r="Q1374" s="67" t="s">
        <v>13</v>
      </c>
      <c r="R1374" s="68">
        <v>0.86111111111111116</v>
      </c>
      <c r="S1374" s="68">
        <v>0.91388888888888886</v>
      </c>
      <c r="T1374" s="69">
        <f t="shared" si="380"/>
        <v>5.2777777777777701E-2</v>
      </c>
      <c r="U1374" s="61"/>
      <c r="V1374" s="83">
        <v>8.3333333333333329E-2</v>
      </c>
      <c r="W1374" s="61">
        <f t="shared" si="381"/>
        <v>-3.0555555555555627E-2</v>
      </c>
      <c r="X1374" s="171">
        <v>46264.374305555553</v>
      </c>
      <c r="Y1374" s="171">
        <v>46264.922222222223</v>
      </c>
      <c r="Z1374" s="168">
        <f t="shared" si="367"/>
        <v>0.54791666667006211</v>
      </c>
      <c r="AA1374" s="169">
        <f t="shared" si="368"/>
        <v>0.58333333333333337</v>
      </c>
      <c r="AB1374" s="170" t="str">
        <f t="shared" si="369"/>
        <v>00:51:00</v>
      </c>
      <c r="AC1374" s="170" t="b">
        <f t="shared" si="370"/>
        <v>1</v>
      </c>
    </row>
    <row r="1375" spans="1:29" s="128" customFormat="1" ht="9.75" hidden="1" customHeight="1" x14ac:dyDescent="0.3">
      <c r="A1375" s="99">
        <v>46264</v>
      </c>
      <c r="B1375" s="59">
        <v>8213918</v>
      </c>
      <c r="C1375" s="60" t="s">
        <v>51</v>
      </c>
      <c r="D1375" s="60" t="s">
        <v>295</v>
      </c>
      <c r="E1375" s="61">
        <v>0.41666666666666669</v>
      </c>
      <c r="F1375" s="60" t="s">
        <v>13</v>
      </c>
      <c r="G1375" s="71" t="s">
        <v>49</v>
      </c>
      <c r="H1375" s="62">
        <v>0.42083333333333334</v>
      </c>
      <c r="I1375" s="113" t="str">
        <f t="shared" si="355"/>
        <v>30-08-2026T10:06:00</v>
      </c>
      <c r="J1375" s="62">
        <v>0.89583333333333337</v>
      </c>
      <c r="K1375" s="62"/>
      <c r="L1375" s="63">
        <f t="shared" si="349"/>
        <v>0.47500000000000003</v>
      </c>
      <c r="M1375" s="64">
        <v>0.5</v>
      </c>
      <c r="N1375" s="65" t="str">
        <f t="shared" si="350"/>
        <v>00:36:00</v>
      </c>
      <c r="O1375" s="66"/>
      <c r="P1375" s="124"/>
      <c r="Q1375" s="67"/>
      <c r="R1375" s="68"/>
      <c r="S1375" s="68"/>
      <c r="T1375" s="69"/>
      <c r="U1375" s="61"/>
      <c r="V1375" s="83"/>
      <c r="W1375" s="61"/>
      <c r="X1375" s="171">
        <v>46264.42083333333</v>
      </c>
      <c r="Y1375" s="171">
        <v>46264.895833333336</v>
      </c>
      <c r="Z1375" s="168">
        <f t="shared" si="367"/>
        <v>0.47500000000582077</v>
      </c>
      <c r="AA1375" s="169">
        <f t="shared" si="368"/>
        <v>0.5</v>
      </c>
      <c r="AB1375" s="170" t="str">
        <f t="shared" si="369"/>
        <v>00:36:00</v>
      </c>
      <c r="AC1375" s="170" t="b">
        <f t="shared" si="370"/>
        <v>1</v>
      </c>
    </row>
    <row r="1376" spans="1:29" s="128" customFormat="1" ht="9.75" customHeight="1" x14ac:dyDescent="0.3">
      <c r="A1376" s="99">
        <v>46264</v>
      </c>
      <c r="B1376" s="59">
        <v>8212867</v>
      </c>
      <c r="C1376" s="60" t="s">
        <v>90</v>
      </c>
      <c r="D1376" s="60" t="s">
        <v>290</v>
      </c>
      <c r="E1376" s="61">
        <v>0.99930555555555556</v>
      </c>
      <c r="F1376" s="60" t="s">
        <v>13</v>
      </c>
      <c r="G1376" s="71" t="s">
        <v>15</v>
      </c>
      <c r="H1376" s="62">
        <v>1.5972222222222221E-2</v>
      </c>
      <c r="I1376" s="113" t="str">
        <f t="shared" si="355"/>
        <v>30-08-2026T00:23:00</v>
      </c>
      <c r="J1376" s="62">
        <v>0.26597222222222222</v>
      </c>
      <c r="K1376" s="113" t="str">
        <f t="shared" ref="K1376:K1377" si="382">TEXT(A1376,"dd-mm-yyyy")&amp;"T"&amp;TEXT(J1376,"hh:mm:ss")</f>
        <v>30-08-2026T06:23:00</v>
      </c>
      <c r="L1376" s="63">
        <f>J1376-H1376</f>
        <v>0.25</v>
      </c>
      <c r="M1376" s="64">
        <v>0.27083333333333331</v>
      </c>
      <c r="N1376" s="65" t="str">
        <f>IF(M1376-L1376&gt;0,TEXT(M1376-L1376,"HH:MM:SS"),TEXT(ABS(M1376-L1376),"-HH:MM:SS"))</f>
        <v>00:30:00</v>
      </c>
      <c r="O1376" s="66"/>
      <c r="P1376" s="124"/>
      <c r="Q1376" s="67" t="s">
        <v>13</v>
      </c>
      <c r="R1376" s="68">
        <v>2.361111111111111E-2</v>
      </c>
      <c r="S1376" s="68">
        <v>8.1250000000000003E-2</v>
      </c>
      <c r="T1376" s="69">
        <f>S1376-R1376</f>
        <v>5.7638888888888892E-2</v>
      </c>
      <c r="U1376" s="61" t="s">
        <v>234</v>
      </c>
      <c r="V1376" s="83">
        <v>8.3333333333333329E-2</v>
      </c>
      <c r="W1376" s="61">
        <f>T1376-V1376</f>
        <v>-2.5694444444444436E-2</v>
      </c>
      <c r="X1376" s="171">
        <v>46264.015972222223</v>
      </c>
      <c r="Y1376" s="171">
        <v>46264.265972222223</v>
      </c>
      <c r="Z1376" s="168">
        <f>Y1376-X1376</f>
        <v>0.25</v>
      </c>
      <c r="AA1376" s="169">
        <f>M1376</f>
        <v>0.27083333333333331</v>
      </c>
      <c r="AB1376" s="170" t="str">
        <f>IF(AA1376-Z1376&gt;0,TEXT(AA1376-Z1376,"HH:MM:SS"),TEXT(ABS(AA1376-Z1376),"-HH:MM:SS"))</f>
        <v>00:30:00</v>
      </c>
      <c r="AC1376" s="170" t="b">
        <f>AB1376=N1376</f>
        <v>1</v>
      </c>
    </row>
    <row r="1377" spans="1:29" s="127" customFormat="1" ht="9.75" hidden="1" customHeight="1" x14ac:dyDescent="0.3">
      <c r="A1377" s="98">
        <v>46264</v>
      </c>
      <c r="B1377" s="48">
        <v>8213941</v>
      </c>
      <c r="C1377" s="49" t="s">
        <v>90</v>
      </c>
      <c r="D1377" s="49" t="s">
        <v>290</v>
      </c>
      <c r="E1377" s="50">
        <v>0.4375</v>
      </c>
      <c r="F1377" s="49" t="s">
        <v>15</v>
      </c>
      <c r="G1377" s="70" t="s">
        <v>13</v>
      </c>
      <c r="H1377" s="51">
        <v>0.43402777777777779</v>
      </c>
      <c r="I1377" s="113" t="str">
        <f t="shared" si="355"/>
        <v>30-08-2026T10:25:00</v>
      </c>
      <c r="J1377" s="51">
        <v>0.65138888888888891</v>
      </c>
      <c r="K1377" s="113" t="str">
        <f t="shared" si="382"/>
        <v>30-08-2026T15:38:00</v>
      </c>
      <c r="L1377" s="52">
        <f t="shared" si="349"/>
        <v>0.21736111111111112</v>
      </c>
      <c r="M1377" s="53">
        <v>0.20833333333333334</v>
      </c>
      <c r="N1377" s="54" t="str">
        <f t="shared" si="350"/>
        <v>-00:13:00</v>
      </c>
      <c r="O1377" s="55">
        <v>200</v>
      </c>
      <c r="P1377" s="147" t="s">
        <v>743</v>
      </c>
      <c r="Q1377" s="56"/>
      <c r="R1377" s="57"/>
      <c r="S1377" s="57"/>
      <c r="T1377" s="58"/>
      <c r="U1377" s="50"/>
      <c r="V1377" s="74"/>
      <c r="W1377" s="50"/>
      <c r="X1377" s="171">
        <v>46264.434027777781</v>
      </c>
      <c r="Y1377" s="171">
        <v>46264.651388888888</v>
      </c>
      <c r="Z1377" s="168">
        <f t="shared" si="367"/>
        <v>0.21736111110658385</v>
      </c>
      <c r="AA1377" s="169">
        <f t="shared" si="368"/>
        <v>0.20833333333333334</v>
      </c>
      <c r="AB1377" s="170" t="str">
        <f t="shared" si="369"/>
        <v>-00:13:00</v>
      </c>
      <c r="AC1377" s="170" t="b">
        <f t="shared" si="370"/>
        <v>1</v>
      </c>
    </row>
    <row r="1378" spans="1:29" s="128" customFormat="1" ht="9.75" hidden="1" customHeight="1" x14ac:dyDescent="0.3">
      <c r="A1378" s="99">
        <v>46264</v>
      </c>
      <c r="B1378" s="59">
        <v>8214041</v>
      </c>
      <c r="C1378" s="60" t="s">
        <v>54</v>
      </c>
      <c r="D1378" s="60" t="s">
        <v>288</v>
      </c>
      <c r="E1378" s="61">
        <v>0.45833333333333331</v>
      </c>
      <c r="F1378" s="60" t="s">
        <v>13</v>
      </c>
      <c r="G1378" s="71" t="s">
        <v>24</v>
      </c>
      <c r="H1378" s="62">
        <v>0.47152777777777777</v>
      </c>
      <c r="I1378" s="113" t="str">
        <f t="shared" si="355"/>
        <v>30-08-2026T11:19:00</v>
      </c>
      <c r="J1378" s="62">
        <v>0.55208333333333337</v>
      </c>
      <c r="K1378" s="62"/>
      <c r="L1378" s="63">
        <f t="shared" si="349"/>
        <v>8.0555555555555602E-2</v>
      </c>
      <c r="M1378" s="64">
        <v>8.3333333333333329E-2</v>
      </c>
      <c r="N1378" s="65" t="str">
        <f t="shared" si="350"/>
        <v>00:04:00</v>
      </c>
      <c r="O1378" s="66"/>
      <c r="P1378" s="124"/>
      <c r="Q1378" s="67"/>
      <c r="R1378" s="68"/>
      <c r="S1378" s="68"/>
      <c r="T1378" s="69"/>
      <c r="U1378" s="61"/>
      <c r="V1378" s="83"/>
      <c r="W1378" s="61"/>
      <c r="X1378" s="171">
        <v>46264.47152777778</v>
      </c>
      <c r="Y1378" s="171">
        <v>46264.552083333336</v>
      </c>
      <c r="Z1378" s="168">
        <f t="shared" si="367"/>
        <v>8.0555555556202307E-2</v>
      </c>
      <c r="AA1378" s="169">
        <f t="shared" si="368"/>
        <v>8.3333333333333329E-2</v>
      </c>
      <c r="AB1378" s="170" t="str">
        <f t="shared" si="369"/>
        <v>00:04:00</v>
      </c>
      <c r="AC1378" s="170" t="b">
        <f t="shared" si="370"/>
        <v>1</v>
      </c>
    </row>
    <row r="1379" spans="1:29" s="127" customFormat="1" ht="9.75" hidden="1" customHeight="1" x14ac:dyDescent="0.3">
      <c r="A1379" s="98">
        <v>46264</v>
      </c>
      <c r="B1379" s="48">
        <v>8214205</v>
      </c>
      <c r="C1379" s="49" t="s">
        <v>34</v>
      </c>
      <c r="D1379" s="49" t="s">
        <v>654</v>
      </c>
      <c r="E1379" s="50">
        <v>0.5</v>
      </c>
      <c r="F1379" s="49" t="s">
        <v>13</v>
      </c>
      <c r="G1379" s="70" t="s">
        <v>103</v>
      </c>
      <c r="H1379" s="51">
        <v>46264.521527777775</v>
      </c>
      <c r="I1379" s="113" t="str">
        <f t="shared" si="355"/>
        <v>30-08-2026T12:31:00</v>
      </c>
      <c r="J1379" s="51">
        <v>46265.684027777781</v>
      </c>
      <c r="K1379" s="51"/>
      <c r="L1379" s="52">
        <f t="shared" ref="L1379:L1431" si="383">J1379-H1379</f>
        <v>1.1625000000058208</v>
      </c>
      <c r="M1379" s="53">
        <v>0.625</v>
      </c>
      <c r="N1379" s="54" t="str">
        <f t="shared" ref="N1379:N1431" si="384">IF(M1379-L1379&gt;0,TEXT(M1379-L1379,"HH:MM:SS"),TEXT(ABS(M1379-L1379),"-HH:MM:SS"))</f>
        <v>-12:54:00</v>
      </c>
      <c r="O1379" s="55">
        <f>250*13</f>
        <v>3250</v>
      </c>
      <c r="P1379" s="147" t="s">
        <v>746</v>
      </c>
      <c r="Q1379" s="56"/>
      <c r="R1379" s="57"/>
      <c r="S1379" s="57"/>
      <c r="T1379" s="58">
        <f t="shared" ref="T1379:T1381" si="385">S1379-R1379</f>
        <v>0</v>
      </c>
      <c r="U1379" s="50"/>
      <c r="V1379" s="74">
        <v>0</v>
      </c>
      <c r="W1379" s="50">
        <f t="shared" ref="W1379:W1381" si="386">T1379-V1379</f>
        <v>0</v>
      </c>
      <c r="X1379" s="171">
        <v>46264.521527777775</v>
      </c>
      <c r="Y1379" s="171">
        <v>46265.684027777781</v>
      </c>
      <c r="Z1379" s="168">
        <f t="shared" si="367"/>
        <v>1.1625000000058208</v>
      </c>
      <c r="AA1379" s="169">
        <f t="shared" si="368"/>
        <v>0.625</v>
      </c>
      <c r="AB1379" s="170" t="str">
        <f t="shared" si="369"/>
        <v>-12:54:00</v>
      </c>
      <c r="AC1379" s="170" t="b">
        <f t="shared" si="370"/>
        <v>1</v>
      </c>
    </row>
    <row r="1380" spans="1:29" s="128" customFormat="1" ht="9.75" hidden="1" customHeight="1" x14ac:dyDescent="0.3">
      <c r="A1380" s="99">
        <v>46264</v>
      </c>
      <c r="B1380" s="59">
        <v>8213281</v>
      </c>
      <c r="C1380" s="60" t="s">
        <v>20</v>
      </c>
      <c r="D1380" s="60" t="s">
        <v>232</v>
      </c>
      <c r="E1380" s="61">
        <v>0.95833333333333337</v>
      </c>
      <c r="F1380" s="60" t="s">
        <v>21</v>
      </c>
      <c r="G1380" s="71" t="s">
        <v>13</v>
      </c>
      <c r="H1380" s="62">
        <v>0.19722222222222222</v>
      </c>
      <c r="I1380" s="113" t="str">
        <f t="shared" si="355"/>
        <v>30-08-2026T04:44:00</v>
      </c>
      <c r="J1380" s="62">
        <v>0.44444444444444442</v>
      </c>
      <c r="K1380" s="62"/>
      <c r="L1380" s="63">
        <f>J1380-H1380</f>
        <v>0.2472222222222222</v>
      </c>
      <c r="M1380" s="64">
        <v>0.25</v>
      </c>
      <c r="N1380" s="65" t="str">
        <f>IF(M1380-L1380&gt;0,TEXT(M1380-L1380,"HH:MM:SS"),TEXT(ABS(M1380-L1380),"-HH:MM:SS"))</f>
        <v>00:04:00</v>
      </c>
      <c r="O1380" s="66"/>
      <c r="P1380" s="124"/>
      <c r="Q1380" s="67"/>
      <c r="R1380" s="68"/>
      <c r="S1380" s="68"/>
      <c r="T1380" s="69"/>
      <c r="U1380" s="61" t="s">
        <v>234</v>
      </c>
      <c r="V1380" s="83"/>
      <c r="W1380" s="61"/>
      <c r="X1380" s="171">
        <v>46264.197222222225</v>
      </c>
      <c r="Y1380" s="171">
        <v>46264.444444444445</v>
      </c>
      <c r="Z1380" s="168">
        <f>Y1380-X1380</f>
        <v>0.24722222222044365</v>
      </c>
      <c r="AA1380" s="169">
        <f>M1380</f>
        <v>0.25</v>
      </c>
      <c r="AB1380" s="170" t="str">
        <f>IF(AA1380-Z1380&gt;0,TEXT(AA1380-Z1380,"HH:MM:SS"),TEXT(ABS(AA1380-Z1380),"-HH:MM:SS"))</f>
        <v>00:04:00</v>
      </c>
      <c r="AC1380" s="170" t="b">
        <f>AB1380=N1380</f>
        <v>1</v>
      </c>
    </row>
    <row r="1381" spans="1:29" s="128" customFormat="1" ht="9.75" hidden="1" customHeight="1" x14ac:dyDescent="0.3">
      <c r="A1381" s="99">
        <v>46264</v>
      </c>
      <c r="B1381" s="59">
        <v>8214779</v>
      </c>
      <c r="C1381" s="60" t="s">
        <v>20</v>
      </c>
      <c r="D1381" s="60" t="s">
        <v>232</v>
      </c>
      <c r="E1381" s="61">
        <v>0.5</v>
      </c>
      <c r="F1381" s="60" t="s">
        <v>13</v>
      </c>
      <c r="G1381" s="71" t="s">
        <v>21</v>
      </c>
      <c r="H1381" s="62">
        <v>0.71180555555555558</v>
      </c>
      <c r="I1381" s="113" t="str">
        <f t="shared" si="355"/>
        <v>30-08-2026T17:05:00</v>
      </c>
      <c r="J1381" s="62">
        <v>0.95833333333333337</v>
      </c>
      <c r="K1381" s="62"/>
      <c r="L1381" s="63">
        <f t="shared" si="383"/>
        <v>0.24652777777777779</v>
      </c>
      <c r="M1381" s="64">
        <v>0.25</v>
      </c>
      <c r="N1381" s="65" t="str">
        <f t="shared" si="384"/>
        <v>00:05:00</v>
      </c>
      <c r="O1381" s="66"/>
      <c r="P1381" s="124"/>
      <c r="Q1381" s="67"/>
      <c r="R1381" s="68"/>
      <c r="S1381" s="68"/>
      <c r="T1381" s="69">
        <f t="shared" si="385"/>
        <v>0</v>
      </c>
      <c r="U1381" s="61"/>
      <c r="V1381" s="83">
        <v>0</v>
      </c>
      <c r="W1381" s="61">
        <f t="shared" si="386"/>
        <v>0</v>
      </c>
      <c r="X1381" s="171">
        <v>46264.711805555555</v>
      </c>
      <c r="Y1381" s="171">
        <v>46264.958333333336</v>
      </c>
      <c r="Z1381" s="168">
        <f t="shared" si="367"/>
        <v>0.24652777778101154</v>
      </c>
      <c r="AA1381" s="169">
        <f t="shared" si="368"/>
        <v>0.25</v>
      </c>
      <c r="AB1381" s="170" t="str">
        <f t="shared" si="369"/>
        <v>00:05:00</v>
      </c>
      <c r="AC1381" s="170" t="b">
        <f t="shared" si="370"/>
        <v>1</v>
      </c>
    </row>
    <row r="1382" spans="1:29" s="128" customFormat="1" ht="9.75" hidden="1" customHeight="1" x14ac:dyDescent="0.3">
      <c r="A1382" s="99">
        <v>46264</v>
      </c>
      <c r="B1382" s="59">
        <v>8214261</v>
      </c>
      <c r="C1382" s="60" t="s">
        <v>52</v>
      </c>
      <c r="D1382" s="60" t="s">
        <v>616</v>
      </c>
      <c r="E1382" s="61">
        <v>0.54166666666666663</v>
      </c>
      <c r="F1382" s="60" t="s">
        <v>13</v>
      </c>
      <c r="G1382" s="71" t="s">
        <v>15</v>
      </c>
      <c r="H1382" s="62">
        <v>0.53888888888888886</v>
      </c>
      <c r="I1382" s="113" t="str">
        <f t="shared" si="355"/>
        <v>30-08-2026T12:56:00</v>
      </c>
      <c r="J1382" s="62">
        <v>0.74583333333333335</v>
      </c>
      <c r="K1382" s="62"/>
      <c r="L1382" s="63">
        <f t="shared" si="383"/>
        <v>0.20694444444444449</v>
      </c>
      <c r="M1382" s="64">
        <v>0.20833333333333334</v>
      </c>
      <c r="N1382" s="65" t="str">
        <f t="shared" si="384"/>
        <v>00:02:00</v>
      </c>
      <c r="O1382" s="66"/>
      <c r="P1382" s="124"/>
      <c r="Q1382" s="67"/>
      <c r="R1382" s="68"/>
      <c r="S1382" s="68"/>
      <c r="T1382" s="69"/>
      <c r="U1382" s="61" t="s">
        <v>234</v>
      </c>
      <c r="V1382" s="83"/>
      <c r="W1382" s="61"/>
      <c r="X1382" s="171">
        <v>46264.538888888892</v>
      </c>
      <c r="Y1382" s="171">
        <v>46264.745833333334</v>
      </c>
      <c r="Z1382" s="168">
        <f t="shared" si="367"/>
        <v>0.2069444444423425</v>
      </c>
      <c r="AA1382" s="169">
        <f t="shared" si="368"/>
        <v>0.20833333333333334</v>
      </c>
      <c r="AB1382" s="170" t="str">
        <f t="shared" si="369"/>
        <v>00:02:00</v>
      </c>
      <c r="AC1382" s="170" t="b">
        <f t="shared" si="370"/>
        <v>1</v>
      </c>
    </row>
    <row r="1383" spans="1:29" s="127" customFormat="1" ht="9.75" hidden="1" customHeight="1" x14ac:dyDescent="0.3">
      <c r="A1383" s="98">
        <v>46264</v>
      </c>
      <c r="B1383" s="48">
        <v>8214926</v>
      </c>
      <c r="C1383" s="49" t="s">
        <v>53</v>
      </c>
      <c r="D1383" s="49" t="s">
        <v>298</v>
      </c>
      <c r="E1383" s="50">
        <v>0.64583333333333337</v>
      </c>
      <c r="F1383" s="49" t="s">
        <v>19</v>
      </c>
      <c r="G1383" s="70" t="s">
        <v>13</v>
      </c>
      <c r="H1383" s="51">
        <v>46264.761805555558</v>
      </c>
      <c r="I1383" s="113" t="str">
        <f t="shared" si="355"/>
        <v>30-08-2026T18:17:00</v>
      </c>
      <c r="J1383" s="51">
        <v>46265.703472222223</v>
      </c>
      <c r="K1383" s="51"/>
      <c r="L1383" s="52">
        <f t="shared" si="383"/>
        <v>0.94166666666569654</v>
      </c>
      <c r="M1383" s="53">
        <v>0.4375</v>
      </c>
      <c r="N1383" s="54" t="str">
        <f t="shared" si="384"/>
        <v>-12:06:00</v>
      </c>
      <c r="O1383" s="55">
        <v>400</v>
      </c>
      <c r="P1383" s="147" t="s">
        <v>747</v>
      </c>
      <c r="Q1383" s="56" t="s">
        <v>229</v>
      </c>
      <c r="R1383" s="57">
        <v>46264.854166666664</v>
      </c>
      <c r="S1383" s="57">
        <v>46265.416666666664</v>
      </c>
      <c r="T1383" s="164" t="str">
        <f t="shared" ref="T1383" si="387">IF(S1383-R1383&gt;0,TEXT(S1383-R1383,"HH:MM:SS"),TEXT(ABS(S1383-R1383),"-HH:MM:SS"))</f>
        <v>13:30:00</v>
      </c>
      <c r="U1383" s="50"/>
      <c r="V1383" s="74">
        <v>8.3333333333333329E-2</v>
      </c>
      <c r="W1383" s="50">
        <f t="shared" ref="W1383" si="388">T1383-V1383</f>
        <v>0.47916666666666669</v>
      </c>
      <c r="X1383" s="171">
        <v>46264.761805555558</v>
      </c>
      <c r="Y1383" s="171">
        <v>46265.703472222223</v>
      </c>
      <c r="Z1383" s="168">
        <f t="shared" si="367"/>
        <v>0.94166666666569654</v>
      </c>
      <c r="AA1383" s="169">
        <f t="shared" si="368"/>
        <v>0.4375</v>
      </c>
      <c r="AB1383" s="170" t="str">
        <f t="shared" si="369"/>
        <v>-12:06:00</v>
      </c>
      <c r="AC1383" s="170" t="b">
        <f t="shared" si="370"/>
        <v>1</v>
      </c>
    </row>
    <row r="1384" spans="1:29" s="128" customFormat="1" ht="9.75" hidden="1" customHeight="1" x14ac:dyDescent="0.3">
      <c r="A1384" s="99">
        <v>46264</v>
      </c>
      <c r="B1384" s="59">
        <v>8214782</v>
      </c>
      <c r="C1384" s="60" t="s">
        <v>57</v>
      </c>
      <c r="D1384" s="60" t="s">
        <v>370</v>
      </c>
      <c r="E1384" s="61">
        <v>0.70833333333333337</v>
      </c>
      <c r="F1384" s="60" t="s">
        <v>13</v>
      </c>
      <c r="G1384" s="71" t="s">
        <v>24</v>
      </c>
      <c r="H1384" s="62">
        <v>0.71250000000000002</v>
      </c>
      <c r="I1384" s="113" t="str">
        <f t="shared" si="355"/>
        <v>30-08-2026T17:06:00</v>
      </c>
      <c r="J1384" s="62">
        <v>0.79166666666666663</v>
      </c>
      <c r="K1384" s="62"/>
      <c r="L1384" s="63">
        <f t="shared" si="383"/>
        <v>7.9166666666666607E-2</v>
      </c>
      <c r="M1384" s="64">
        <v>8.3333333333333329E-2</v>
      </c>
      <c r="N1384" s="65" t="str">
        <f t="shared" si="384"/>
        <v>00:06:00</v>
      </c>
      <c r="O1384" s="66"/>
      <c r="P1384" s="124"/>
      <c r="Q1384" s="67"/>
      <c r="R1384" s="68"/>
      <c r="S1384" s="68"/>
      <c r="T1384" s="69"/>
      <c r="U1384" s="61" t="s">
        <v>234</v>
      </c>
      <c r="V1384" s="83"/>
      <c r="W1384" s="61"/>
      <c r="X1384" s="171">
        <v>46264.712500000001</v>
      </c>
      <c r="Y1384" s="171">
        <v>46264.791666666664</v>
      </c>
      <c r="Z1384" s="168">
        <f t="shared" si="367"/>
        <v>7.9166666662786156E-2</v>
      </c>
      <c r="AA1384" s="169">
        <f t="shared" si="368"/>
        <v>8.3333333333333329E-2</v>
      </c>
      <c r="AB1384" s="170" t="str">
        <f t="shared" si="369"/>
        <v>00:06:00</v>
      </c>
      <c r="AC1384" s="170" t="b">
        <f t="shared" si="370"/>
        <v>1</v>
      </c>
    </row>
    <row r="1385" spans="1:29" s="128" customFormat="1" ht="9.75" hidden="1" customHeight="1" x14ac:dyDescent="0.3">
      <c r="A1385" s="99">
        <v>46264</v>
      </c>
      <c r="B1385" s="59">
        <v>8214304</v>
      </c>
      <c r="C1385" s="60" t="s">
        <v>87</v>
      </c>
      <c r="D1385" s="60" t="s">
        <v>367</v>
      </c>
      <c r="E1385" s="61">
        <v>0.70833333333333337</v>
      </c>
      <c r="F1385" s="60" t="s">
        <v>85</v>
      </c>
      <c r="G1385" s="71" t="s">
        <v>13</v>
      </c>
      <c r="H1385" s="62">
        <v>0.5493055555555556</v>
      </c>
      <c r="I1385" s="113" t="str">
        <f t="shared" si="355"/>
        <v>30-08-2026T13:11:00</v>
      </c>
      <c r="J1385" s="62">
        <v>0.86111111111111116</v>
      </c>
      <c r="K1385" s="62"/>
      <c r="L1385" s="63">
        <f t="shared" si="383"/>
        <v>0.31180555555555556</v>
      </c>
      <c r="M1385" s="64">
        <v>0.33333333333333331</v>
      </c>
      <c r="N1385" s="65" t="str">
        <f t="shared" si="384"/>
        <v>00:31:00</v>
      </c>
      <c r="O1385" s="66"/>
      <c r="P1385" s="124" t="s">
        <v>753</v>
      </c>
      <c r="Q1385" s="67" t="s">
        <v>174</v>
      </c>
      <c r="R1385" s="68" t="s">
        <v>372</v>
      </c>
      <c r="S1385" s="68" t="s">
        <v>372</v>
      </c>
      <c r="T1385" s="69" t="e">
        <f t="shared" ref="T1385:T1386" si="389">S1385-R1385</f>
        <v>#VALUE!</v>
      </c>
      <c r="U1385" s="61"/>
      <c r="V1385" s="83">
        <v>4.1666666666666664E-2</v>
      </c>
      <c r="W1385" s="61" t="e">
        <f t="shared" ref="W1385:W1386" si="390">T1385-V1385</f>
        <v>#VALUE!</v>
      </c>
      <c r="X1385" s="171">
        <v>46264.549305555556</v>
      </c>
      <c r="Y1385" s="171">
        <v>46264.861111111109</v>
      </c>
      <c r="Z1385" s="168">
        <f t="shared" si="367"/>
        <v>0.31180555555329192</v>
      </c>
      <c r="AA1385" s="169">
        <f t="shared" si="368"/>
        <v>0.33333333333333331</v>
      </c>
      <c r="AB1385" s="170" t="str">
        <f t="shared" si="369"/>
        <v>00:31:00</v>
      </c>
      <c r="AC1385" s="170" t="b">
        <f t="shared" si="370"/>
        <v>1</v>
      </c>
    </row>
    <row r="1386" spans="1:29" s="127" customFormat="1" ht="9.75" hidden="1" customHeight="1" x14ac:dyDescent="0.3">
      <c r="A1386" s="98">
        <v>46264</v>
      </c>
      <c r="B1386" s="48">
        <v>8214759</v>
      </c>
      <c r="C1386" s="49" t="s">
        <v>27</v>
      </c>
      <c r="D1386" s="49" t="s">
        <v>378</v>
      </c>
      <c r="E1386" s="50">
        <v>0.70833333333333337</v>
      </c>
      <c r="F1386" s="49" t="s">
        <v>28</v>
      </c>
      <c r="G1386" s="70" t="s">
        <v>13</v>
      </c>
      <c r="H1386" s="51">
        <v>0.70694444444444449</v>
      </c>
      <c r="I1386" s="113" t="str">
        <f t="shared" si="355"/>
        <v>30-08-2026T16:58:00</v>
      </c>
      <c r="J1386" s="51">
        <v>0.90902777777777777</v>
      </c>
      <c r="K1386" s="51"/>
      <c r="L1386" s="52">
        <f t="shared" si="383"/>
        <v>0.20208333333333328</v>
      </c>
      <c r="M1386" s="53">
        <v>0.16666666666666666</v>
      </c>
      <c r="N1386" s="54" t="str">
        <f t="shared" si="384"/>
        <v>-00:51:00</v>
      </c>
      <c r="O1386" s="55">
        <v>150</v>
      </c>
      <c r="P1386" s="147" t="s">
        <v>610</v>
      </c>
      <c r="Q1386" s="56"/>
      <c r="R1386" s="57"/>
      <c r="S1386" s="57"/>
      <c r="T1386" s="58">
        <f t="shared" si="389"/>
        <v>0</v>
      </c>
      <c r="U1386" s="50"/>
      <c r="V1386" s="74">
        <v>0</v>
      </c>
      <c r="W1386" s="50">
        <f t="shared" si="390"/>
        <v>0</v>
      </c>
      <c r="X1386" s="171">
        <v>46264.706944444442</v>
      </c>
      <c r="Y1386" s="171">
        <v>46264.90902777778</v>
      </c>
      <c r="Z1386" s="168">
        <f t="shared" si="367"/>
        <v>0.20208333333721384</v>
      </c>
      <c r="AA1386" s="169">
        <f t="shared" si="368"/>
        <v>0.16666666666666666</v>
      </c>
      <c r="AB1386" s="170" t="str">
        <f t="shared" si="369"/>
        <v>-00:51:00</v>
      </c>
      <c r="AC1386" s="170" t="b">
        <f t="shared" si="370"/>
        <v>1</v>
      </c>
    </row>
    <row r="1387" spans="1:29" s="128" customFormat="1" ht="9.75" hidden="1" customHeight="1" x14ac:dyDescent="0.3">
      <c r="A1387" s="99">
        <v>46264</v>
      </c>
      <c r="B1387" s="59">
        <v>8214818</v>
      </c>
      <c r="C1387" s="60" t="s">
        <v>89</v>
      </c>
      <c r="D1387" s="60" t="s">
        <v>294</v>
      </c>
      <c r="E1387" s="61">
        <v>0.75</v>
      </c>
      <c r="F1387" s="60" t="s">
        <v>35</v>
      </c>
      <c r="G1387" s="71" t="s">
        <v>13</v>
      </c>
      <c r="H1387" s="62">
        <v>0.72986111111111107</v>
      </c>
      <c r="I1387" s="113" t="str">
        <f t="shared" si="355"/>
        <v>30-08-2026T17:31:00</v>
      </c>
      <c r="J1387" s="62">
        <v>0.76388888888888884</v>
      </c>
      <c r="K1387" s="62"/>
      <c r="L1387" s="63">
        <f t="shared" si="383"/>
        <v>3.4027777777777768E-2</v>
      </c>
      <c r="M1387" s="64">
        <v>4.1666666666666664E-2</v>
      </c>
      <c r="N1387" s="65" t="str">
        <f t="shared" si="384"/>
        <v>00:11:00</v>
      </c>
      <c r="O1387" s="66"/>
      <c r="P1387" s="124"/>
      <c r="Q1387" s="67"/>
      <c r="R1387" s="68"/>
      <c r="S1387" s="68"/>
      <c r="T1387" s="69"/>
      <c r="U1387" s="61" t="s">
        <v>234</v>
      </c>
      <c r="V1387" s="83"/>
      <c r="W1387" s="61"/>
      <c r="X1387" s="171">
        <v>46264.729861111111</v>
      </c>
      <c r="Y1387" s="171">
        <v>46264.763888888891</v>
      </c>
      <c r="Z1387" s="168">
        <f t="shared" si="367"/>
        <v>3.4027777779556345E-2</v>
      </c>
      <c r="AA1387" s="169">
        <f t="shared" si="368"/>
        <v>4.1666666666666664E-2</v>
      </c>
      <c r="AB1387" s="170" t="str">
        <f t="shared" si="369"/>
        <v>00:11:00</v>
      </c>
      <c r="AC1387" s="170" t="b">
        <f t="shared" si="370"/>
        <v>1</v>
      </c>
    </row>
    <row r="1388" spans="1:29" s="128" customFormat="1" ht="9.75" hidden="1" customHeight="1" x14ac:dyDescent="0.3">
      <c r="A1388" s="99">
        <v>46264</v>
      </c>
      <c r="B1388" s="59">
        <v>8215290</v>
      </c>
      <c r="C1388" s="60" t="s">
        <v>56</v>
      </c>
      <c r="D1388" s="60" t="s">
        <v>735</v>
      </c>
      <c r="E1388" s="61">
        <v>0.875</v>
      </c>
      <c r="F1388" s="60" t="s">
        <v>13</v>
      </c>
      <c r="G1388" s="71" t="s">
        <v>15</v>
      </c>
      <c r="H1388" s="62">
        <v>46264.87777777778</v>
      </c>
      <c r="I1388" s="113" t="str">
        <f t="shared" si="355"/>
        <v>30-08-2026T21:04:00</v>
      </c>
      <c r="J1388" s="62">
        <v>46265.083333333336</v>
      </c>
      <c r="K1388" s="62"/>
      <c r="L1388" s="63">
        <f t="shared" si="383"/>
        <v>0.20555555555620231</v>
      </c>
      <c r="M1388" s="64">
        <v>0.20833333333333334</v>
      </c>
      <c r="N1388" s="65" t="str">
        <f t="shared" si="384"/>
        <v>00:04:00</v>
      </c>
      <c r="O1388" s="66"/>
      <c r="P1388" s="124"/>
      <c r="Q1388" s="67"/>
      <c r="R1388" s="68"/>
      <c r="S1388" s="68"/>
      <c r="T1388" s="69"/>
      <c r="U1388" s="61"/>
      <c r="V1388" s="83"/>
      <c r="W1388" s="61"/>
      <c r="X1388" s="171">
        <v>46264.87777777778</v>
      </c>
      <c r="Y1388" s="171">
        <v>46265.083333333336</v>
      </c>
      <c r="Z1388" s="168">
        <f t="shared" si="367"/>
        <v>0.20555555555620231</v>
      </c>
      <c r="AA1388" s="169">
        <f t="shared" si="368"/>
        <v>0.20833333333333334</v>
      </c>
      <c r="AB1388" s="170" t="str">
        <f t="shared" si="369"/>
        <v>00:04:00</v>
      </c>
      <c r="AC1388" s="170" t="b">
        <f t="shared" si="370"/>
        <v>1</v>
      </c>
    </row>
    <row r="1389" spans="1:29" s="128" customFormat="1" ht="9.75" hidden="1" customHeight="1" x14ac:dyDescent="0.3">
      <c r="A1389" s="99">
        <v>46264</v>
      </c>
      <c r="B1389" s="59">
        <v>8214314</v>
      </c>
      <c r="C1389" s="60" t="s">
        <v>42</v>
      </c>
      <c r="D1389" s="60" t="s">
        <v>181</v>
      </c>
      <c r="E1389" s="61">
        <v>0.875</v>
      </c>
      <c r="F1389" s="60" t="s">
        <v>55</v>
      </c>
      <c r="G1389" s="71" t="s">
        <v>13</v>
      </c>
      <c r="H1389" s="62">
        <v>0.55277777777777781</v>
      </c>
      <c r="I1389" s="113" t="str">
        <f t="shared" si="355"/>
        <v>30-08-2026T13:16:00</v>
      </c>
      <c r="J1389" s="62">
        <v>0.59861111111111109</v>
      </c>
      <c r="K1389" s="62"/>
      <c r="L1389" s="63">
        <f t="shared" si="383"/>
        <v>4.5833333333333282E-2</v>
      </c>
      <c r="M1389" s="64">
        <v>6.25E-2</v>
      </c>
      <c r="N1389" s="65" t="str">
        <f t="shared" si="384"/>
        <v>00:24:00</v>
      </c>
      <c r="O1389" s="66"/>
      <c r="P1389" s="124"/>
      <c r="Q1389" s="67"/>
      <c r="R1389" s="68"/>
      <c r="S1389" s="68"/>
      <c r="T1389" s="69"/>
      <c r="U1389" s="61"/>
      <c r="V1389" s="83"/>
      <c r="W1389" s="61"/>
      <c r="X1389" s="171">
        <v>46264.552777777775</v>
      </c>
      <c r="Y1389" s="171">
        <v>46264.598611111112</v>
      </c>
      <c r="Z1389" s="168">
        <f t="shared" si="367"/>
        <v>4.5833333337213844E-2</v>
      </c>
      <c r="AA1389" s="169">
        <f t="shared" si="368"/>
        <v>6.25E-2</v>
      </c>
      <c r="AB1389" s="170" t="str">
        <f t="shared" si="369"/>
        <v>00:24:00</v>
      </c>
      <c r="AC1389" s="170" t="b">
        <f t="shared" si="370"/>
        <v>1</v>
      </c>
    </row>
    <row r="1390" spans="1:29" s="128" customFormat="1" ht="9.75" hidden="1" customHeight="1" x14ac:dyDescent="0.3">
      <c r="A1390" s="99">
        <v>46264</v>
      </c>
      <c r="B1390" s="59">
        <v>8215255</v>
      </c>
      <c r="C1390" s="60" t="s">
        <v>41</v>
      </c>
      <c r="D1390" s="60" t="s">
        <v>299</v>
      </c>
      <c r="E1390" s="61">
        <v>0.875</v>
      </c>
      <c r="F1390" s="60" t="s">
        <v>24</v>
      </c>
      <c r="G1390" s="71" t="s">
        <v>13</v>
      </c>
      <c r="H1390" s="62">
        <v>0.87083333333333335</v>
      </c>
      <c r="I1390" s="113" t="str">
        <f t="shared" si="355"/>
        <v>30-08-2026T20:54:00</v>
      </c>
      <c r="J1390" s="62">
        <v>0.94930555555555551</v>
      </c>
      <c r="K1390" s="62"/>
      <c r="L1390" s="63">
        <f t="shared" si="383"/>
        <v>7.8472222222222165E-2</v>
      </c>
      <c r="M1390" s="64">
        <v>8.3333333333333329E-2</v>
      </c>
      <c r="N1390" s="65" t="str">
        <f t="shared" si="384"/>
        <v>00:07:00</v>
      </c>
      <c r="O1390" s="66"/>
      <c r="P1390" s="124"/>
      <c r="Q1390" s="67"/>
      <c r="R1390" s="68"/>
      <c r="S1390" s="68"/>
      <c r="T1390" s="69"/>
      <c r="U1390" s="61"/>
      <c r="V1390" s="83"/>
      <c r="W1390" s="61"/>
      <c r="X1390" s="171">
        <v>46264.870833333334</v>
      </c>
      <c r="Y1390" s="171">
        <v>46264.949305555558</v>
      </c>
      <c r="Z1390" s="168">
        <f t="shared" si="367"/>
        <v>7.8472222223354038E-2</v>
      </c>
      <c r="AA1390" s="169">
        <f t="shared" si="368"/>
        <v>8.3333333333333329E-2</v>
      </c>
      <c r="AB1390" s="170" t="str">
        <f t="shared" si="369"/>
        <v>00:07:00</v>
      </c>
      <c r="AC1390" s="170" t="b">
        <f t="shared" si="370"/>
        <v>1</v>
      </c>
    </row>
    <row r="1391" spans="1:29" s="128" customFormat="1" ht="9.75" hidden="1" customHeight="1" x14ac:dyDescent="0.3">
      <c r="A1391" s="99">
        <v>46264</v>
      </c>
      <c r="B1391" s="59">
        <v>8215518</v>
      </c>
      <c r="C1391" s="60" t="s">
        <v>54</v>
      </c>
      <c r="D1391" s="60" t="s">
        <v>288</v>
      </c>
      <c r="E1391" s="61">
        <v>0.99930555555555556</v>
      </c>
      <c r="F1391" s="60" t="s">
        <v>24</v>
      </c>
      <c r="G1391" s="71" t="s">
        <v>13</v>
      </c>
      <c r="H1391" s="62">
        <v>46264.995833333334</v>
      </c>
      <c r="I1391" s="113" t="str">
        <f t="shared" si="355"/>
        <v>30-08-2026T23:54:00</v>
      </c>
      <c r="J1391" s="62">
        <v>46265.065972222219</v>
      </c>
      <c r="K1391" s="62"/>
      <c r="L1391" s="63">
        <f t="shared" si="383"/>
        <v>7.0138888884685002E-2</v>
      </c>
      <c r="M1391" s="64">
        <v>8.3333333333333329E-2</v>
      </c>
      <c r="N1391" s="65" t="str">
        <f t="shared" si="384"/>
        <v>00:19:00</v>
      </c>
      <c r="O1391" s="66"/>
      <c r="P1391" s="124"/>
      <c r="Q1391" s="67"/>
      <c r="R1391" s="68"/>
      <c r="S1391" s="68"/>
      <c r="T1391" s="69"/>
      <c r="U1391" s="61"/>
      <c r="V1391" s="83"/>
      <c r="W1391" s="61"/>
      <c r="X1391" s="171">
        <v>46264.995833333334</v>
      </c>
      <c r="Y1391" s="171">
        <v>46265.065972222219</v>
      </c>
      <c r="Z1391" s="168">
        <f t="shared" si="367"/>
        <v>7.0138888884685002E-2</v>
      </c>
      <c r="AA1391" s="169">
        <f t="shared" si="368"/>
        <v>8.3333333333333329E-2</v>
      </c>
      <c r="AB1391" s="170" t="str">
        <f t="shared" si="369"/>
        <v>00:19:00</v>
      </c>
      <c r="AC1391" s="170" t="b">
        <f t="shared" si="370"/>
        <v>1</v>
      </c>
    </row>
    <row r="1392" spans="1:29" ht="9.75" hidden="1" customHeight="1" x14ac:dyDescent="0.3">
      <c r="A1392" s="149">
        <v>46263</v>
      </c>
      <c r="B1392" s="150" t="s">
        <v>667</v>
      </c>
      <c r="C1392" s="151" t="s">
        <v>171</v>
      </c>
      <c r="D1392" s="151" t="s">
        <v>296</v>
      </c>
      <c r="E1392" s="152">
        <v>0</v>
      </c>
      <c r="F1392" s="151"/>
      <c r="G1392" s="153"/>
      <c r="H1392" s="154">
        <v>0</v>
      </c>
      <c r="I1392" s="113" t="str">
        <f t="shared" si="355"/>
        <v>29-08-2026T00:00:00</v>
      </c>
      <c r="J1392" s="154">
        <v>0</v>
      </c>
      <c r="K1392" s="154"/>
      <c r="L1392" s="155">
        <v>0</v>
      </c>
      <c r="M1392" s="160">
        <v>0</v>
      </c>
      <c r="N1392" s="156">
        <v>0</v>
      </c>
      <c r="O1392" s="157"/>
      <c r="P1392" s="158" t="s">
        <v>480</v>
      </c>
      <c r="Q1392" s="159" t="s">
        <v>480</v>
      </c>
      <c r="R1392" s="148" t="s">
        <v>480</v>
      </c>
      <c r="S1392" s="148" t="s">
        <v>480</v>
      </c>
      <c r="T1392" s="161" t="s">
        <v>480</v>
      </c>
      <c r="U1392" s="152" t="s">
        <v>480</v>
      </c>
      <c r="V1392" s="146" t="s">
        <v>480</v>
      </c>
      <c r="W1392" s="152" t="s">
        <v>480</v>
      </c>
      <c r="X1392" s="171" t="s">
        <v>668</v>
      </c>
      <c r="Y1392" s="171" t="s">
        <v>668</v>
      </c>
      <c r="Z1392" s="168" t="e">
        <f t="shared" si="367"/>
        <v>#VALUE!</v>
      </c>
      <c r="AA1392" s="169">
        <f t="shared" si="368"/>
        <v>0</v>
      </c>
      <c r="AB1392" s="170" t="e">
        <f t="shared" si="369"/>
        <v>#VALUE!</v>
      </c>
      <c r="AC1392" s="170" t="e">
        <f t="shared" si="370"/>
        <v>#VALUE!</v>
      </c>
    </row>
    <row r="1393" spans="1:29" s="128" customFormat="1" ht="9.75" hidden="1" customHeight="1" x14ac:dyDescent="0.3">
      <c r="A1393" s="99">
        <v>46264</v>
      </c>
      <c r="B1393" s="59">
        <v>8215460</v>
      </c>
      <c r="C1393" s="60" t="s">
        <v>171</v>
      </c>
      <c r="D1393" s="60" t="s">
        <v>296</v>
      </c>
      <c r="E1393" s="61">
        <v>0.95833333333333337</v>
      </c>
      <c r="F1393" s="60" t="s">
        <v>173</v>
      </c>
      <c r="G1393" s="71" t="s">
        <v>13</v>
      </c>
      <c r="H1393" s="62">
        <v>46264.956944444442</v>
      </c>
      <c r="I1393" s="113" t="str">
        <f t="shared" si="355"/>
        <v>30-08-2026T22:58:00</v>
      </c>
      <c r="J1393" s="62">
        <v>46266.795138888891</v>
      </c>
      <c r="K1393" s="62"/>
      <c r="L1393" s="63">
        <f t="shared" si="383"/>
        <v>1.8381944444481633</v>
      </c>
      <c r="M1393" s="64">
        <v>1.9166666666666667</v>
      </c>
      <c r="N1393" s="65" t="str">
        <f t="shared" si="384"/>
        <v>01:53:00</v>
      </c>
      <c r="O1393" s="66"/>
      <c r="P1393" s="124"/>
      <c r="Q1393" s="67" t="s">
        <v>96</v>
      </c>
      <c r="R1393" s="68">
        <v>46265.094444444447</v>
      </c>
      <c r="S1393" s="68">
        <v>46265.138888888891</v>
      </c>
      <c r="T1393" s="69">
        <f t="shared" ref="T1393" si="391">S1393-R1393</f>
        <v>4.4444444443797693E-2</v>
      </c>
      <c r="U1393" s="61"/>
      <c r="V1393" s="83">
        <v>8.3333333333333329E-2</v>
      </c>
      <c r="W1393" s="61">
        <f t="shared" ref="W1393" si="392">T1393-V1393</f>
        <v>-3.8888888889535636E-2</v>
      </c>
      <c r="X1393" s="172" t="s">
        <v>371</v>
      </c>
      <c r="Y1393" s="172" t="s">
        <v>371</v>
      </c>
      <c r="Z1393" s="173" t="e">
        <f t="shared" si="367"/>
        <v>#VALUE!</v>
      </c>
      <c r="AA1393" s="174">
        <f t="shared" si="368"/>
        <v>1.9166666666666667</v>
      </c>
      <c r="AB1393" s="175" t="e">
        <f t="shared" si="369"/>
        <v>#VALUE!</v>
      </c>
      <c r="AC1393" s="175" t="e">
        <f t="shared" si="370"/>
        <v>#VALUE!</v>
      </c>
    </row>
    <row r="1394" spans="1:29" s="127" customFormat="1" ht="9.75" hidden="1" customHeight="1" x14ac:dyDescent="0.3">
      <c r="A1394" s="98">
        <v>46264</v>
      </c>
      <c r="B1394" s="48">
        <v>8213901</v>
      </c>
      <c r="C1394" s="49" t="s">
        <v>22</v>
      </c>
      <c r="D1394" s="49" t="s">
        <v>385</v>
      </c>
      <c r="E1394" s="50" t="s">
        <v>184</v>
      </c>
      <c r="F1394" s="49" t="s">
        <v>13</v>
      </c>
      <c r="G1394" s="70" t="s">
        <v>744</v>
      </c>
      <c r="H1394" s="51">
        <v>46264.413194444445</v>
      </c>
      <c r="I1394" s="113" t="str">
        <f t="shared" si="355"/>
        <v>30-08-2026T09:55:00</v>
      </c>
      <c r="J1394" s="51">
        <v>46266.822222222225</v>
      </c>
      <c r="K1394" s="51"/>
      <c r="L1394" s="52">
        <f t="shared" si="383"/>
        <v>2.4090277777795563</v>
      </c>
      <c r="M1394" s="53">
        <v>2.0416666666666665</v>
      </c>
      <c r="N1394" s="54" t="str">
        <f t="shared" si="384"/>
        <v>-08:49:00</v>
      </c>
      <c r="O1394" s="55"/>
      <c r="P1394" s="147" t="s">
        <v>184</v>
      </c>
      <c r="Q1394" s="56" t="s">
        <v>745</v>
      </c>
      <c r="R1394" s="57" t="s">
        <v>372</v>
      </c>
      <c r="S1394" s="57" t="s">
        <v>372</v>
      </c>
      <c r="T1394" s="58" t="e">
        <f t="shared" ref="T1394:T1438" si="393">S1394-R1394</f>
        <v>#VALUE!</v>
      </c>
      <c r="U1394" s="50"/>
      <c r="V1394" s="74" t="s">
        <v>393</v>
      </c>
      <c r="W1394" s="50" t="e">
        <f t="shared" ref="W1394:W1438" si="394">T1394-V1394</f>
        <v>#VALUE!</v>
      </c>
      <c r="X1394" s="177" t="s">
        <v>371</v>
      </c>
      <c r="Y1394" s="177" t="s">
        <v>371</v>
      </c>
      <c r="Z1394" s="178" t="e">
        <f t="shared" si="367"/>
        <v>#VALUE!</v>
      </c>
      <c r="AA1394" s="179">
        <f t="shared" si="368"/>
        <v>2.0416666666666665</v>
      </c>
      <c r="AB1394" s="180" t="e">
        <f t="shared" si="369"/>
        <v>#VALUE!</v>
      </c>
      <c r="AC1394" s="180" t="e">
        <f t="shared" si="370"/>
        <v>#VALUE!</v>
      </c>
    </row>
    <row r="1395" spans="1:29" s="144" customFormat="1" ht="9.75" hidden="1" customHeight="1" x14ac:dyDescent="0.3">
      <c r="A1395" s="129">
        <v>46265</v>
      </c>
      <c r="B1395" s="130">
        <v>8215620</v>
      </c>
      <c r="C1395" s="131" t="s">
        <v>82</v>
      </c>
      <c r="D1395" s="131" t="s">
        <v>333</v>
      </c>
      <c r="E1395" s="132">
        <v>6.25E-2</v>
      </c>
      <c r="F1395" s="131" t="s">
        <v>13</v>
      </c>
      <c r="G1395" s="133" t="s">
        <v>26</v>
      </c>
      <c r="H1395" s="134">
        <v>6.3888888888888884E-2</v>
      </c>
      <c r="I1395" s="113" t="str">
        <f t="shared" si="355"/>
        <v>31-08-2026T01:32:00</v>
      </c>
      <c r="J1395" s="134">
        <v>0.5395833333333333</v>
      </c>
      <c r="K1395" s="134"/>
      <c r="L1395" s="135">
        <f t="shared" si="383"/>
        <v>0.47569444444444442</v>
      </c>
      <c r="M1395" s="136">
        <v>0.41666666666666669</v>
      </c>
      <c r="N1395" s="137" t="str">
        <f t="shared" si="384"/>
        <v>-01:25:00</v>
      </c>
      <c r="O1395" s="138"/>
      <c r="P1395" s="145" t="s">
        <v>567</v>
      </c>
      <c r="Q1395" s="140" t="s">
        <v>179</v>
      </c>
      <c r="R1395" s="141">
        <v>46265.25</v>
      </c>
      <c r="S1395" s="141">
        <v>46265.375</v>
      </c>
      <c r="T1395" s="142">
        <f t="shared" si="393"/>
        <v>0.125</v>
      </c>
      <c r="U1395" s="132"/>
      <c r="V1395" s="143">
        <v>4.1666666666666664E-2</v>
      </c>
      <c r="W1395" s="132">
        <f t="shared" si="394"/>
        <v>8.3333333333333343E-2</v>
      </c>
      <c r="X1395" s="171">
        <v>46265.063888888886</v>
      </c>
      <c r="Y1395" s="171">
        <v>46265.539583333331</v>
      </c>
      <c r="Z1395" s="168">
        <f t="shared" ref="Z1395:Z1439" si="395">Y1395-X1395</f>
        <v>0.47569444444525288</v>
      </c>
      <c r="AA1395" s="169">
        <f t="shared" ref="AA1395:AA1439" si="396">M1395</f>
        <v>0.41666666666666669</v>
      </c>
      <c r="AB1395" s="170" t="str">
        <f t="shared" ref="AB1395:AB1439" si="397">IF(AA1395-Z1395&gt;0,TEXT(AA1395-Z1395,"HH:MM:SS"),TEXT(ABS(AA1395-Z1395),"-HH:MM:SS"))</f>
        <v>-01:25:00</v>
      </c>
      <c r="AC1395" s="170" t="b">
        <f t="shared" ref="AC1395:AC1439" si="398">AB1395=N1395</f>
        <v>1</v>
      </c>
    </row>
    <row r="1396" spans="1:29" ht="9.75" hidden="1" customHeight="1" x14ac:dyDescent="0.3">
      <c r="A1396" s="149">
        <v>46263</v>
      </c>
      <c r="B1396" s="150" t="s">
        <v>687</v>
      </c>
      <c r="C1396" s="151" t="s">
        <v>307</v>
      </c>
      <c r="D1396" s="151" t="s">
        <v>464</v>
      </c>
      <c r="E1396" s="152">
        <v>0</v>
      </c>
      <c r="F1396" s="151"/>
      <c r="G1396" s="153"/>
      <c r="H1396" s="154">
        <v>0</v>
      </c>
      <c r="I1396" s="113" t="str">
        <f t="shared" si="355"/>
        <v>29-08-2026T00:00:00</v>
      </c>
      <c r="J1396" s="154">
        <v>0</v>
      </c>
      <c r="K1396" s="154"/>
      <c r="L1396" s="155">
        <v>0</v>
      </c>
      <c r="M1396" s="160">
        <v>0</v>
      </c>
      <c r="N1396" s="156">
        <v>0</v>
      </c>
      <c r="O1396" s="157"/>
      <c r="P1396" s="158" t="s">
        <v>480</v>
      </c>
      <c r="Q1396" s="159" t="s">
        <v>480</v>
      </c>
      <c r="R1396" s="148" t="s">
        <v>480</v>
      </c>
      <c r="S1396" s="148" t="s">
        <v>480</v>
      </c>
      <c r="T1396" s="161" t="s">
        <v>480</v>
      </c>
      <c r="U1396" s="152" t="s">
        <v>480</v>
      </c>
      <c r="V1396" s="146" t="s">
        <v>480</v>
      </c>
      <c r="W1396" s="152" t="s">
        <v>480</v>
      </c>
      <c r="X1396" s="171" t="s">
        <v>668</v>
      </c>
      <c r="Y1396" s="171" t="s">
        <v>668</v>
      </c>
      <c r="Z1396" s="168" t="e">
        <f t="shared" si="395"/>
        <v>#VALUE!</v>
      </c>
      <c r="AA1396" s="169">
        <f t="shared" si="396"/>
        <v>0</v>
      </c>
      <c r="AB1396" s="170" t="e">
        <f t="shared" si="397"/>
        <v>#VALUE!</v>
      </c>
      <c r="AC1396" s="170" t="e">
        <f t="shared" si="398"/>
        <v>#VALUE!</v>
      </c>
    </row>
    <row r="1397" spans="1:29" s="128" customFormat="1" ht="9.75" hidden="1" customHeight="1" x14ac:dyDescent="0.3">
      <c r="A1397" s="99">
        <v>46265</v>
      </c>
      <c r="B1397" s="59">
        <v>8215668</v>
      </c>
      <c r="C1397" s="60" t="s">
        <v>307</v>
      </c>
      <c r="D1397" s="60" t="s">
        <v>389</v>
      </c>
      <c r="E1397" s="61">
        <v>8.3333333333333329E-2</v>
      </c>
      <c r="F1397" s="60" t="s">
        <v>13</v>
      </c>
      <c r="G1397" s="71" t="s">
        <v>19</v>
      </c>
      <c r="H1397" s="62">
        <v>8.4027777777777785E-2</v>
      </c>
      <c r="I1397" s="113" t="str">
        <f t="shared" si="355"/>
        <v>31-08-2026T02:01:00</v>
      </c>
      <c r="J1397" s="62">
        <v>0.4909722222222222</v>
      </c>
      <c r="K1397" s="62"/>
      <c r="L1397" s="63">
        <f t="shared" si="383"/>
        <v>0.40694444444444444</v>
      </c>
      <c r="M1397" s="64">
        <v>0.41666666666666669</v>
      </c>
      <c r="N1397" s="65" t="str">
        <f t="shared" si="384"/>
        <v>00:14:00</v>
      </c>
      <c r="O1397" s="66"/>
      <c r="P1397" s="124"/>
      <c r="Q1397" s="67" t="s">
        <v>95</v>
      </c>
      <c r="R1397" s="68">
        <v>0.3611111111111111</v>
      </c>
      <c r="S1397" s="68">
        <v>0.38194444444444442</v>
      </c>
      <c r="T1397" s="69">
        <f t="shared" si="393"/>
        <v>2.0833333333333315E-2</v>
      </c>
      <c r="U1397" s="61" t="s">
        <v>234</v>
      </c>
      <c r="V1397" s="83">
        <v>6.25E-2</v>
      </c>
      <c r="W1397" s="61">
        <f t="shared" si="394"/>
        <v>-4.1666666666666685E-2</v>
      </c>
      <c r="X1397" s="171">
        <v>46265.084027777775</v>
      </c>
      <c r="Y1397" s="171">
        <v>46265.490972222222</v>
      </c>
      <c r="Z1397" s="168">
        <f t="shared" si="395"/>
        <v>0.40694444444670808</v>
      </c>
      <c r="AA1397" s="169">
        <f t="shared" si="396"/>
        <v>0.41666666666666669</v>
      </c>
      <c r="AB1397" s="170" t="str">
        <f t="shared" si="397"/>
        <v>00:14:00</v>
      </c>
      <c r="AC1397" s="170" t="b">
        <f t="shared" si="398"/>
        <v>1</v>
      </c>
    </row>
    <row r="1398" spans="1:29" s="128" customFormat="1" ht="9.75" hidden="1" customHeight="1" x14ac:dyDescent="0.3">
      <c r="A1398" s="99">
        <v>46265</v>
      </c>
      <c r="B1398" s="59">
        <v>8215643</v>
      </c>
      <c r="C1398" s="60" t="s">
        <v>16</v>
      </c>
      <c r="D1398" s="60" t="s">
        <v>285</v>
      </c>
      <c r="E1398" s="61">
        <v>8.3333333333333329E-2</v>
      </c>
      <c r="F1398" s="60" t="s">
        <v>15</v>
      </c>
      <c r="G1398" s="71" t="s">
        <v>17</v>
      </c>
      <c r="H1398" s="62">
        <v>8.1250000000000003E-2</v>
      </c>
      <c r="I1398" s="113" t="str">
        <f t="shared" si="355"/>
        <v>31-08-2026T01:57:00</v>
      </c>
      <c r="J1398" s="62">
        <v>0.49027777777777776</v>
      </c>
      <c r="K1398" s="62"/>
      <c r="L1398" s="63">
        <f t="shared" si="383"/>
        <v>0.40902777777777777</v>
      </c>
      <c r="M1398" s="64">
        <v>0.41666666666666669</v>
      </c>
      <c r="N1398" s="65" t="str">
        <f t="shared" si="384"/>
        <v>00:11:00</v>
      </c>
      <c r="O1398" s="66"/>
      <c r="P1398" s="124"/>
      <c r="Q1398" s="67"/>
      <c r="R1398" s="68"/>
      <c r="S1398" s="68"/>
      <c r="T1398" s="69">
        <f t="shared" si="393"/>
        <v>0</v>
      </c>
      <c r="U1398" s="61" t="s">
        <v>234</v>
      </c>
      <c r="V1398" s="83">
        <v>0</v>
      </c>
      <c r="W1398" s="61">
        <f t="shared" si="394"/>
        <v>0</v>
      </c>
      <c r="X1398" s="171">
        <v>8.1250000000000003E-2</v>
      </c>
      <c r="Y1398" s="171">
        <v>0.49027777777777776</v>
      </c>
      <c r="Z1398" s="168">
        <f t="shared" si="395"/>
        <v>0.40902777777777777</v>
      </c>
      <c r="AA1398" s="169">
        <f t="shared" si="396"/>
        <v>0.41666666666666669</v>
      </c>
      <c r="AB1398" s="170" t="str">
        <f t="shared" si="397"/>
        <v>00:11:00</v>
      </c>
      <c r="AC1398" s="170" t="b">
        <f t="shared" si="398"/>
        <v>1</v>
      </c>
    </row>
    <row r="1399" spans="1:29" s="128" customFormat="1" ht="9.75" hidden="1" customHeight="1" x14ac:dyDescent="0.3">
      <c r="A1399" s="99">
        <v>46265</v>
      </c>
      <c r="B1399" s="59">
        <v>8215761</v>
      </c>
      <c r="C1399" s="60" t="s">
        <v>102</v>
      </c>
      <c r="D1399" s="60" t="s">
        <v>384</v>
      </c>
      <c r="E1399" s="61">
        <v>0.125</v>
      </c>
      <c r="F1399" s="60" t="s">
        <v>23</v>
      </c>
      <c r="G1399" s="71" t="s">
        <v>13</v>
      </c>
      <c r="H1399" s="62">
        <v>46265.129861111112</v>
      </c>
      <c r="I1399" s="113" t="str">
        <f t="shared" si="355"/>
        <v>31-08-2026T03:07:00</v>
      </c>
      <c r="J1399" s="62">
        <v>46266.175694444442</v>
      </c>
      <c r="K1399" s="62"/>
      <c r="L1399" s="63">
        <f t="shared" si="383"/>
        <v>1.0458333333299379</v>
      </c>
      <c r="M1399" s="64">
        <v>1.0833333333333333</v>
      </c>
      <c r="N1399" s="65" t="str">
        <f t="shared" si="384"/>
        <v>00:54:00</v>
      </c>
      <c r="O1399" s="66"/>
      <c r="P1399" s="124"/>
      <c r="Q1399" s="67" t="s">
        <v>13</v>
      </c>
      <c r="R1399" s="68">
        <v>46266.106944444444</v>
      </c>
      <c r="S1399" s="68">
        <v>46266.17083333333</v>
      </c>
      <c r="T1399" s="69">
        <f t="shared" si="393"/>
        <v>6.3888888886140194E-2</v>
      </c>
      <c r="U1399" s="61"/>
      <c r="V1399" s="83">
        <v>8.3333333333333329E-2</v>
      </c>
      <c r="W1399" s="61">
        <f t="shared" si="394"/>
        <v>-1.9444444447193135E-2</v>
      </c>
      <c r="X1399" s="171">
        <v>46265.129861111112</v>
      </c>
      <c r="Y1399" s="171">
        <v>46266.175694444442</v>
      </c>
      <c r="Z1399" s="168">
        <f t="shared" si="395"/>
        <v>1.0458333333299379</v>
      </c>
      <c r="AA1399" s="169">
        <f t="shared" si="396"/>
        <v>1.0833333333333333</v>
      </c>
      <c r="AB1399" s="170" t="str">
        <f t="shared" si="397"/>
        <v>00:54:00</v>
      </c>
      <c r="AC1399" s="170" t="b">
        <f t="shared" si="398"/>
        <v>1</v>
      </c>
    </row>
    <row r="1400" spans="1:29" s="128" customFormat="1" ht="9.75" hidden="1" customHeight="1" x14ac:dyDescent="0.3">
      <c r="A1400" s="99">
        <v>46265</v>
      </c>
      <c r="B1400" s="59">
        <v>8215712</v>
      </c>
      <c r="C1400" s="60" t="s">
        <v>57</v>
      </c>
      <c r="D1400" s="60" t="s">
        <v>370</v>
      </c>
      <c r="E1400" s="61">
        <v>0.125</v>
      </c>
      <c r="F1400" s="60" t="s">
        <v>24</v>
      </c>
      <c r="G1400" s="71" t="s">
        <v>13</v>
      </c>
      <c r="H1400" s="62">
        <v>0.11597222222222223</v>
      </c>
      <c r="I1400" s="113" t="str">
        <f t="shared" si="355"/>
        <v>31-08-2026T02:47:00</v>
      </c>
      <c r="J1400" s="62">
        <v>0.19166666666666668</v>
      </c>
      <c r="K1400" s="62"/>
      <c r="L1400" s="63">
        <f t="shared" si="383"/>
        <v>7.5694444444444453E-2</v>
      </c>
      <c r="M1400" s="64">
        <v>8.3333333333333329E-2</v>
      </c>
      <c r="N1400" s="65" t="str">
        <f t="shared" si="384"/>
        <v>00:11:00</v>
      </c>
      <c r="O1400" s="66"/>
      <c r="P1400" s="124"/>
      <c r="Q1400" s="67"/>
      <c r="R1400" s="68"/>
      <c r="S1400" s="68"/>
      <c r="T1400" s="69">
        <f t="shared" si="393"/>
        <v>0</v>
      </c>
      <c r="U1400" s="61" t="s">
        <v>234</v>
      </c>
      <c r="V1400" s="83">
        <v>0</v>
      </c>
      <c r="W1400" s="61">
        <f t="shared" si="394"/>
        <v>0</v>
      </c>
      <c r="X1400" s="171">
        <v>46265.115972222222</v>
      </c>
      <c r="Y1400" s="171">
        <v>46265.191666666666</v>
      </c>
      <c r="Z1400" s="168">
        <f t="shared" si="395"/>
        <v>7.5694444443797693E-2</v>
      </c>
      <c r="AA1400" s="169">
        <f t="shared" si="396"/>
        <v>8.3333333333333329E-2</v>
      </c>
      <c r="AB1400" s="170" t="str">
        <f t="shared" si="397"/>
        <v>00:11:00</v>
      </c>
      <c r="AC1400" s="170" t="b">
        <f t="shared" si="398"/>
        <v>1</v>
      </c>
    </row>
    <row r="1401" spans="1:29" s="128" customFormat="1" ht="9.75" hidden="1" customHeight="1" x14ac:dyDescent="0.3">
      <c r="A1401" s="99">
        <v>46265</v>
      </c>
      <c r="B1401" s="59">
        <v>8215779</v>
      </c>
      <c r="C1401" s="60" t="s">
        <v>84</v>
      </c>
      <c r="D1401" s="60" t="s">
        <v>301</v>
      </c>
      <c r="E1401" s="61">
        <v>0.125</v>
      </c>
      <c r="F1401" s="60" t="s">
        <v>13</v>
      </c>
      <c r="G1401" s="71" t="s">
        <v>284</v>
      </c>
      <c r="H1401" s="62">
        <v>0.13472222222222222</v>
      </c>
      <c r="I1401" s="113" t="str">
        <f t="shared" si="355"/>
        <v>31-08-2026T03:14:00</v>
      </c>
      <c r="J1401" s="62">
        <v>0.48749999999999999</v>
      </c>
      <c r="K1401" s="62"/>
      <c r="L1401" s="63">
        <f t="shared" si="383"/>
        <v>0.35277777777777775</v>
      </c>
      <c r="M1401" s="64">
        <v>0.35416666666666669</v>
      </c>
      <c r="N1401" s="65" t="str">
        <f t="shared" si="384"/>
        <v>00:02:00</v>
      </c>
      <c r="O1401" s="66"/>
      <c r="P1401" s="124"/>
      <c r="Q1401" s="67" t="s">
        <v>174</v>
      </c>
      <c r="R1401" s="68">
        <v>0.36458333333333331</v>
      </c>
      <c r="S1401" s="68">
        <v>0.42708333333333331</v>
      </c>
      <c r="T1401" s="69">
        <f t="shared" si="393"/>
        <v>6.25E-2</v>
      </c>
      <c r="U1401" s="61"/>
      <c r="V1401" s="83">
        <v>6.25E-2</v>
      </c>
      <c r="W1401" s="61">
        <f t="shared" si="394"/>
        <v>0</v>
      </c>
      <c r="X1401" s="171">
        <v>46265.134722222225</v>
      </c>
      <c r="Y1401" s="171">
        <v>46265.487500000003</v>
      </c>
      <c r="Z1401" s="168">
        <f t="shared" si="395"/>
        <v>0.35277777777810115</v>
      </c>
      <c r="AA1401" s="169">
        <f t="shared" si="396"/>
        <v>0.35416666666666669</v>
      </c>
      <c r="AB1401" s="170" t="str">
        <f t="shared" si="397"/>
        <v>00:02:00</v>
      </c>
      <c r="AC1401" s="170" t="b">
        <f t="shared" si="398"/>
        <v>1</v>
      </c>
    </row>
    <row r="1402" spans="1:29" s="127" customFormat="1" ht="9.75" hidden="1" customHeight="1" x14ac:dyDescent="0.3">
      <c r="A1402" s="98">
        <v>46265</v>
      </c>
      <c r="B1402" s="48">
        <v>8215880</v>
      </c>
      <c r="C1402" s="49" t="s">
        <v>37</v>
      </c>
      <c r="D1402" s="49" t="s">
        <v>466</v>
      </c>
      <c r="E1402" s="50">
        <v>0.16666666666666666</v>
      </c>
      <c r="F1402" s="49" t="s">
        <v>13</v>
      </c>
      <c r="G1402" s="70" t="s">
        <v>14</v>
      </c>
      <c r="H1402" s="51">
        <v>0.1673611111111111</v>
      </c>
      <c r="I1402" s="113" t="str">
        <f t="shared" si="355"/>
        <v>31-08-2026T04:01:00</v>
      </c>
      <c r="J1402" s="51">
        <v>0.76111111111111107</v>
      </c>
      <c r="K1402" s="51"/>
      <c r="L1402" s="52">
        <f t="shared" si="383"/>
        <v>0.59375</v>
      </c>
      <c r="M1402" s="53">
        <v>0.54166666666666663</v>
      </c>
      <c r="N1402" s="54" t="str">
        <f t="shared" si="384"/>
        <v>-01:15:00</v>
      </c>
      <c r="O1402" s="55">
        <v>400</v>
      </c>
      <c r="P1402" s="147" t="s">
        <v>610</v>
      </c>
      <c r="Q1402" s="56"/>
      <c r="R1402" s="57"/>
      <c r="S1402" s="57"/>
      <c r="T1402" s="58">
        <f t="shared" si="393"/>
        <v>0</v>
      </c>
      <c r="U1402" s="50"/>
      <c r="V1402" s="74">
        <v>0</v>
      </c>
      <c r="W1402" s="50">
        <f t="shared" si="394"/>
        <v>0</v>
      </c>
      <c r="X1402" s="171">
        <v>46265.167361111111</v>
      </c>
      <c r="Y1402" s="171">
        <v>46265.761111111111</v>
      </c>
      <c r="Z1402" s="168">
        <f t="shared" si="395"/>
        <v>0.59375</v>
      </c>
      <c r="AA1402" s="169">
        <f t="shared" si="396"/>
        <v>0.54166666666666663</v>
      </c>
      <c r="AB1402" s="170" t="str">
        <f t="shared" si="397"/>
        <v>-01:15:00</v>
      </c>
      <c r="AC1402" s="170" t="b">
        <f t="shared" si="398"/>
        <v>1</v>
      </c>
    </row>
    <row r="1403" spans="1:29" s="128" customFormat="1" ht="9.75" hidden="1" customHeight="1" x14ac:dyDescent="0.3">
      <c r="A1403" s="99">
        <v>46265</v>
      </c>
      <c r="B1403" s="59">
        <v>8215872</v>
      </c>
      <c r="C1403" s="60" t="s">
        <v>29</v>
      </c>
      <c r="D1403" s="60" t="s">
        <v>373</v>
      </c>
      <c r="E1403" s="61">
        <v>0.16666666666666666</v>
      </c>
      <c r="F1403" s="60" t="s">
        <v>17</v>
      </c>
      <c r="G1403" s="71" t="s">
        <v>15</v>
      </c>
      <c r="H1403" s="62">
        <v>0.16527777777777777</v>
      </c>
      <c r="I1403" s="113" t="str">
        <f t="shared" si="355"/>
        <v>31-08-2026T03:58:00</v>
      </c>
      <c r="J1403" s="62">
        <v>0.65</v>
      </c>
      <c r="K1403" s="62"/>
      <c r="L1403" s="63">
        <f t="shared" si="383"/>
        <v>0.48472222222222228</v>
      </c>
      <c r="M1403" s="64">
        <v>0.5</v>
      </c>
      <c r="N1403" s="65" t="str">
        <f t="shared" si="384"/>
        <v>00:22:00</v>
      </c>
      <c r="O1403" s="66"/>
      <c r="P1403" s="124"/>
      <c r="Q1403" s="67" t="s">
        <v>98</v>
      </c>
      <c r="R1403" s="68">
        <v>0.375</v>
      </c>
      <c r="S1403" s="68">
        <v>0.45833333333333331</v>
      </c>
      <c r="T1403" s="69">
        <f t="shared" si="393"/>
        <v>8.3333333333333315E-2</v>
      </c>
      <c r="U1403" s="61" t="s">
        <v>234</v>
      </c>
      <c r="V1403" s="83">
        <v>8.3333333333333329E-2</v>
      </c>
      <c r="W1403" s="61">
        <f t="shared" si="394"/>
        <v>0</v>
      </c>
      <c r="X1403" s="171">
        <v>0.16527777777777777</v>
      </c>
      <c r="Y1403" s="171">
        <v>0.65</v>
      </c>
      <c r="Z1403" s="168">
        <f t="shared" si="395"/>
        <v>0.48472222222222228</v>
      </c>
      <c r="AA1403" s="169">
        <f t="shared" si="396"/>
        <v>0.5</v>
      </c>
      <c r="AB1403" s="170" t="str">
        <f t="shared" si="397"/>
        <v>00:22:00</v>
      </c>
      <c r="AC1403" s="170" t="b">
        <f t="shared" si="398"/>
        <v>1</v>
      </c>
    </row>
    <row r="1404" spans="1:29" s="128" customFormat="1" ht="9.75" hidden="1" customHeight="1" x14ac:dyDescent="0.3">
      <c r="A1404" s="99">
        <v>46265</v>
      </c>
      <c r="B1404" s="59">
        <v>8215855</v>
      </c>
      <c r="C1404" s="60" t="s">
        <v>86</v>
      </c>
      <c r="D1404" s="60" t="s">
        <v>182</v>
      </c>
      <c r="E1404" s="61">
        <v>0.16666666666666666</v>
      </c>
      <c r="F1404" s="60" t="s">
        <v>31</v>
      </c>
      <c r="G1404" s="71" t="s">
        <v>13</v>
      </c>
      <c r="H1404" s="62">
        <v>0.16319444444444445</v>
      </c>
      <c r="I1404" s="113" t="str">
        <f t="shared" si="355"/>
        <v>31-08-2026T03:55:00</v>
      </c>
      <c r="J1404" s="68">
        <v>0.84166666666666667</v>
      </c>
      <c r="K1404" s="68"/>
      <c r="L1404" s="63">
        <f t="shared" si="383"/>
        <v>0.67847222222222225</v>
      </c>
      <c r="M1404" s="64">
        <v>0.70833333333333337</v>
      </c>
      <c r="N1404" s="65" t="str">
        <f t="shared" si="384"/>
        <v>00:43:00</v>
      </c>
      <c r="O1404" s="66"/>
      <c r="P1404" s="124" t="s">
        <v>610</v>
      </c>
      <c r="Q1404" s="67" t="s">
        <v>13</v>
      </c>
      <c r="R1404" s="68">
        <v>0.83263888888888893</v>
      </c>
      <c r="S1404" s="68">
        <v>0.83263888888888893</v>
      </c>
      <c r="T1404" s="69">
        <f t="shared" si="393"/>
        <v>0</v>
      </c>
      <c r="U1404" s="61"/>
      <c r="V1404" s="83">
        <v>8.3333333333333329E-2</v>
      </c>
      <c r="W1404" s="61">
        <f t="shared" si="394"/>
        <v>-8.3333333333333329E-2</v>
      </c>
      <c r="X1404" s="172">
        <v>46265.163194444445</v>
      </c>
      <c r="Y1404" s="172">
        <v>46265.841666666667</v>
      </c>
      <c r="Z1404" s="173">
        <f t="shared" si="395"/>
        <v>0.67847222222189885</v>
      </c>
      <c r="AA1404" s="174">
        <f t="shared" si="396"/>
        <v>0.70833333333333337</v>
      </c>
      <c r="AB1404" s="175" t="str">
        <f t="shared" si="397"/>
        <v>00:43:00</v>
      </c>
      <c r="AC1404" s="175" t="b">
        <f t="shared" si="398"/>
        <v>1</v>
      </c>
    </row>
    <row r="1405" spans="1:29" s="128" customFormat="1" ht="9.75" hidden="1" customHeight="1" x14ac:dyDescent="0.3">
      <c r="A1405" s="99">
        <v>46265</v>
      </c>
      <c r="B1405" s="59">
        <v>8215890</v>
      </c>
      <c r="C1405" s="60" t="s">
        <v>27</v>
      </c>
      <c r="D1405" s="60" t="s">
        <v>378</v>
      </c>
      <c r="E1405" s="61">
        <v>0.16666666666666666</v>
      </c>
      <c r="F1405" s="60" t="s">
        <v>13</v>
      </c>
      <c r="G1405" s="71" t="s">
        <v>28</v>
      </c>
      <c r="H1405" s="62">
        <v>0.16944444444444445</v>
      </c>
      <c r="I1405" s="113" t="str">
        <f t="shared" si="355"/>
        <v>31-08-2026T04:04:00</v>
      </c>
      <c r="J1405" s="62">
        <v>0.33333333333333331</v>
      </c>
      <c r="K1405" s="62"/>
      <c r="L1405" s="63">
        <f t="shared" si="383"/>
        <v>0.16388888888888886</v>
      </c>
      <c r="M1405" s="64">
        <v>0.16666666666666666</v>
      </c>
      <c r="N1405" s="65" t="str">
        <f t="shared" si="384"/>
        <v>00:04:00</v>
      </c>
      <c r="O1405" s="66"/>
      <c r="P1405" s="124"/>
      <c r="Q1405" s="67"/>
      <c r="R1405" s="68"/>
      <c r="S1405" s="68"/>
      <c r="T1405" s="69">
        <f t="shared" si="393"/>
        <v>0</v>
      </c>
      <c r="U1405" s="61" t="s">
        <v>234</v>
      </c>
      <c r="V1405" s="83">
        <v>0</v>
      </c>
      <c r="W1405" s="61">
        <f t="shared" si="394"/>
        <v>0</v>
      </c>
      <c r="X1405" s="171">
        <v>46265.169444444444</v>
      </c>
      <c r="Y1405" s="171">
        <v>46265.333333333336</v>
      </c>
      <c r="Z1405" s="168">
        <f t="shared" si="395"/>
        <v>0.16388888889196096</v>
      </c>
      <c r="AA1405" s="169">
        <f t="shared" si="396"/>
        <v>0.16666666666666666</v>
      </c>
      <c r="AB1405" s="170" t="str">
        <f t="shared" si="397"/>
        <v>00:04:00</v>
      </c>
      <c r="AC1405" s="170" t="b">
        <f t="shared" si="398"/>
        <v>1</v>
      </c>
    </row>
    <row r="1406" spans="1:29" s="128" customFormat="1" ht="9.75" hidden="1" customHeight="1" x14ac:dyDescent="0.3">
      <c r="A1406" s="99">
        <v>46265</v>
      </c>
      <c r="B1406" s="59">
        <v>8216056</v>
      </c>
      <c r="C1406" s="60" t="s">
        <v>32</v>
      </c>
      <c r="D1406" s="60" t="s">
        <v>734</v>
      </c>
      <c r="E1406" s="61">
        <v>0.20833333333333334</v>
      </c>
      <c r="F1406" s="60" t="s">
        <v>13</v>
      </c>
      <c r="G1406" s="71" t="s">
        <v>287</v>
      </c>
      <c r="H1406" s="62">
        <v>0.21041666666666667</v>
      </c>
      <c r="I1406" s="113" t="str">
        <f t="shared" si="355"/>
        <v>31-08-2026T05:03:00</v>
      </c>
      <c r="J1406" s="62">
        <v>0.34722222222222221</v>
      </c>
      <c r="K1406" s="62"/>
      <c r="L1406" s="63">
        <f t="shared" si="383"/>
        <v>0.13680555555555554</v>
      </c>
      <c r="M1406" s="64">
        <v>0.14583333333333334</v>
      </c>
      <c r="N1406" s="65" t="str">
        <f t="shared" si="384"/>
        <v>00:13:00</v>
      </c>
      <c r="O1406" s="66"/>
      <c r="P1406" s="124"/>
      <c r="Q1406" s="67"/>
      <c r="R1406" s="68"/>
      <c r="S1406" s="68"/>
      <c r="T1406" s="69">
        <f t="shared" si="393"/>
        <v>0</v>
      </c>
      <c r="U1406" s="61" t="s">
        <v>234</v>
      </c>
      <c r="V1406" s="83">
        <v>0</v>
      </c>
      <c r="W1406" s="61">
        <f t="shared" si="394"/>
        <v>0</v>
      </c>
      <c r="X1406" s="171">
        <v>46265.210416666669</v>
      </c>
      <c r="Y1406" s="171">
        <v>46265.347222222219</v>
      </c>
      <c r="Z1406" s="168">
        <f t="shared" si="395"/>
        <v>0.13680555555038154</v>
      </c>
      <c r="AA1406" s="169">
        <f t="shared" si="396"/>
        <v>0.14583333333333334</v>
      </c>
      <c r="AB1406" s="170" t="str">
        <f t="shared" si="397"/>
        <v>00:13:00</v>
      </c>
      <c r="AC1406" s="170" t="b">
        <f t="shared" si="398"/>
        <v>1</v>
      </c>
    </row>
    <row r="1407" spans="1:29" s="144" customFormat="1" ht="9.75" hidden="1" customHeight="1" x14ac:dyDescent="0.3">
      <c r="A1407" s="129">
        <v>46265</v>
      </c>
      <c r="B1407" s="130">
        <v>8215936</v>
      </c>
      <c r="C1407" s="131" t="s">
        <v>25</v>
      </c>
      <c r="D1407" s="131" t="s">
        <v>718</v>
      </c>
      <c r="E1407" s="132">
        <v>0.20833333333333334</v>
      </c>
      <c r="F1407" s="131" t="s">
        <v>26</v>
      </c>
      <c r="G1407" s="133" t="s">
        <v>13</v>
      </c>
      <c r="H1407" s="134">
        <v>0.1875</v>
      </c>
      <c r="I1407" s="113" t="str">
        <f t="shared" si="355"/>
        <v>31-08-2026T04:30:00</v>
      </c>
      <c r="J1407" s="134">
        <v>0.70763888888888893</v>
      </c>
      <c r="K1407" s="134"/>
      <c r="L1407" s="135">
        <f t="shared" si="383"/>
        <v>0.52013888888888893</v>
      </c>
      <c r="M1407" s="136">
        <v>0.45833333333333331</v>
      </c>
      <c r="N1407" s="137" t="str">
        <f t="shared" si="384"/>
        <v>-01:29:00</v>
      </c>
      <c r="O1407" s="138"/>
      <c r="P1407" s="145" t="s">
        <v>567</v>
      </c>
      <c r="Q1407" s="140" t="s">
        <v>13</v>
      </c>
      <c r="R1407" s="141">
        <v>46265.532638888886</v>
      </c>
      <c r="S1407" s="141">
        <v>46265.70416666667</v>
      </c>
      <c r="T1407" s="142">
        <f t="shared" si="393"/>
        <v>0.17152777778392192</v>
      </c>
      <c r="U1407" s="132"/>
      <c r="V1407" s="143">
        <v>8.3333333333333329E-2</v>
      </c>
      <c r="W1407" s="132">
        <f t="shared" si="394"/>
        <v>8.8194444450588591E-2</v>
      </c>
      <c r="X1407" s="171">
        <v>46265.1875</v>
      </c>
      <c r="Y1407" s="171">
        <v>46265.707638888889</v>
      </c>
      <c r="Z1407" s="168">
        <f t="shared" si="395"/>
        <v>0.52013888888905058</v>
      </c>
      <c r="AA1407" s="169">
        <f t="shared" si="396"/>
        <v>0.45833333333333331</v>
      </c>
      <c r="AB1407" s="170" t="str">
        <f t="shared" si="397"/>
        <v>-01:29:00</v>
      </c>
      <c r="AC1407" s="170" t="b">
        <f t="shared" si="398"/>
        <v>1</v>
      </c>
    </row>
    <row r="1408" spans="1:29" s="128" customFormat="1" ht="9.75" hidden="1" customHeight="1" x14ac:dyDescent="0.3">
      <c r="A1408" s="99">
        <v>46265</v>
      </c>
      <c r="B1408" s="59">
        <v>8216211</v>
      </c>
      <c r="C1408" s="60" t="s">
        <v>36</v>
      </c>
      <c r="D1408" s="60" t="s">
        <v>300</v>
      </c>
      <c r="E1408" s="61">
        <v>0.25</v>
      </c>
      <c r="F1408" s="60" t="s">
        <v>14</v>
      </c>
      <c r="G1408" s="71" t="s">
        <v>13</v>
      </c>
      <c r="H1408" s="62">
        <v>0.24930555555555556</v>
      </c>
      <c r="I1408" s="113" t="str">
        <f t="shared" si="355"/>
        <v>31-08-2026T05:59:00</v>
      </c>
      <c r="J1408" s="62">
        <v>0.77430555555555558</v>
      </c>
      <c r="K1408" s="62"/>
      <c r="L1408" s="63">
        <f t="shared" si="383"/>
        <v>0.52500000000000002</v>
      </c>
      <c r="M1408" s="64">
        <v>0.54166666666666663</v>
      </c>
      <c r="N1408" s="65" t="str">
        <f t="shared" si="384"/>
        <v>00:24:00</v>
      </c>
      <c r="O1408" s="66"/>
      <c r="P1408" s="124"/>
      <c r="Q1408" s="67"/>
      <c r="R1408" s="68"/>
      <c r="S1408" s="68"/>
      <c r="T1408" s="69">
        <f t="shared" si="393"/>
        <v>0</v>
      </c>
      <c r="U1408" s="61"/>
      <c r="V1408" s="83">
        <v>0</v>
      </c>
      <c r="W1408" s="61">
        <f t="shared" si="394"/>
        <v>0</v>
      </c>
      <c r="X1408" s="171">
        <v>46265.249305555553</v>
      </c>
      <c r="Y1408" s="171">
        <v>46265.774305555555</v>
      </c>
      <c r="Z1408" s="168">
        <f t="shared" si="395"/>
        <v>0.52500000000145519</v>
      </c>
      <c r="AA1408" s="169">
        <f t="shared" si="396"/>
        <v>0.54166666666666663</v>
      </c>
      <c r="AB1408" s="170" t="str">
        <f t="shared" si="397"/>
        <v>00:24:00</v>
      </c>
      <c r="AC1408" s="170" t="b">
        <f t="shared" si="398"/>
        <v>1</v>
      </c>
    </row>
    <row r="1409" spans="1:29" s="128" customFormat="1" ht="9.75" hidden="1" customHeight="1" x14ac:dyDescent="0.3">
      <c r="A1409" s="99">
        <v>46265</v>
      </c>
      <c r="B1409" s="59">
        <v>8216259</v>
      </c>
      <c r="C1409" s="60" t="s">
        <v>89</v>
      </c>
      <c r="D1409" s="60" t="s">
        <v>294</v>
      </c>
      <c r="E1409" s="61">
        <v>0.25</v>
      </c>
      <c r="F1409" s="60" t="s">
        <v>13</v>
      </c>
      <c r="G1409" s="71" t="s">
        <v>35</v>
      </c>
      <c r="H1409" s="62">
        <v>0.25833333333333336</v>
      </c>
      <c r="I1409" s="113" t="str">
        <f t="shared" si="355"/>
        <v>31-08-2026T06:12:00</v>
      </c>
      <c r="J1409" s="62">
        <v>0.2951388888888889</v>
      </c>
      <c r="K1409" s="62"/>
      <c r="L1409" s="63">
        <f t="shared" si="383"/>
        <v>3.6805555555555536E-2</v>
      </c>
      <c r="M1409" s="64">
        <v>4.1666666666666664E-2</v>
      </c>
      <c r="N1409" s="65" t="str">
        <f t="shared" si="384"/>
        <v>00:07:00</v>
      </c>
      <c r="O1409" s="66"/>
      <c r="P1409" s="124"/>
      <c r="Q1409" s="67"/>
      <c r="R1409" s="68"/>
      <c r="S1409" s="68"/>
      <c r="T1409" s="69">
        <f t="shared" si="393"/>
        <v>0</v>
      </c>
      <c r="U1409" s="61"/>
      <c r="V1409" s="83">
        <v>0</v>
      </c>
      <c r="W1409" s="61">
        <f t="shared" si="394"/>
        <v>0</v>
      </c>
      <c r="X1409" s="171">
        <v>46265.258333333331</v>
      </c>
      <c r="Y1409" s="171">
        <v>46265.295138888891</v>
      </c>
      <c r="Z1409" s="168">
        <f t="shared" si="395"/>
        <v>3.680555555911269E-2</v>
      </c>
      <c r="AA1409" s="169">
        <f t="shared" si="396"/>
        <v>4.1666666666666664E-2</v>
      </c>
      <c r="AB1409" s="170" t="str">
        <f t="shared" si="397"/>
        <v>00:07:00</v>
      </c>
      <c r="AC1409" s="170" t="b">
        <f t="shared" si="398"/>
        <v>1</v>
      </c>
    </row>
    <row r="1410" spans="1:29" s="127" customFormat="1" ht="9.75" hidden="1" customHeight="1" x14ac:dyDescent="0.3">
      <c r="A1410" s="98">
        <v>46265</v>
      </c>
      <c r="B1410" s="48">
        <v>8216304</v>
      </c>
      <c r="C1410" s="49" t="s">
        <v>83</v>
      </c>
      <c r="D1410" s="49" t="s">
        <v>454</v>
      </c>
      <c r="E1410" s="50">
        <v>0.27083333333333331</v>
      </c>
      <c r="F1410" s="49" t="s">
        <v>14</v>
      </c>
      <c r="G1410" s="70" t="s">
        <v>13</v>
      </c>
      <c r="H1410" s="51">
        <v>46265.271527777775</v>
      </c>
      <c r="I1410" s="113" t="str">
        <f t="shared" si="355"/>
        <v>31-08-2026T06:31:00</v>
      </c>
      <c r="J1410" s="51">
        <v>46266.034722222219</v>
      </c>
      <c r="K1410" s="51"/>
      <c r="L1410" s="52">
        <f t="shared" si="383"/>
        <v>0.76319444444379769</v>
      </c>
      <c r="M1410" s="53">
        <v>0.625</v>
      </c>
      <c r="N1410" s="54" t="str">
        <f t="shared" si="384"/>
        <v>-03:19:00</v>
      </c>
      <c r="O1410" s="55">
        <v>200</v>
      </c>
      <c r="P1410" s="147" t="s">
        <v>567</v>
      </c>
      <c r="Q1410" s="56" t="s">
        <v>204</v>
      </c>
      <c r="R1410" s="57">
        <v>46265.375</v>
      </c>
      <c r="S1410" s="57">
        <v>46265.534722222219</v>
      </c>
      <c r="T1410" s="47">
        <f t="shared" si="393"/>
        <v>0.15972222221898846</v>
      </c>
      <c r="U1410" s="50"/>
      <c r="V1410" s="74">
        <v>6.25E-2</v>
      </c>
      <c r="W1410" s="50">
        <f t="shared" si="394"/>
        <v>9.7222222218988463E-2</v>
      </c>
      <c r="X1410" s="171">
        <v>46265.271527777775</v>
      </c>
      <c r="Y1410" s="171">
        <v>46266.034722222219</v>
      </c>
      <c r="Z1410" s="168">
        <f t="shared" si="395"/>
        <v>0.76319444444379769</v>
      </c>
      <c r="AA1410" s="169">
        <f t="shared" si="396"/>
        <v>0.625</v>
      </c>
      <c r="AB1410" s="170" t="str">
        <f t="shared" si="397"/>
        <v>-03:19:00</v>
      </c>
      <c r="AC1410" s="170" t="b">
        <f t="shared" si="398"/>
        <v>1</v>
      </c>
    </row>
    <row r="1411" spans="1:29" s="128" customFormat="1" ht="9.75" hidden="1" customHeight="1" x14ac:dyDescent="0.3">
      <c r="A1411" s="99">
        <v>46265</v>
      </c>
      <c r="B1411" s="59">
        <v>8216302</v>
      </c>
      <c r="C1411" s="60" t="s">
        <v>58</v>
      </c>
      <c r="D1411" s="60" t="s">
        <v>591</v>
      </c>
      <c r="E1411" s="61">
        <v>0.27083333333333331</v>
      </c>
      <c r="F1411" s="60" t="s">
        <v>13</v>
      </c>
      <c r="G1411" s="71" t="s">
        <v>14</v>
      </c>
      <c r="H1411" s="62">
        <v>0.27152777777777776</v>
      </c>
      <c r="I1411" s="113" t="str">
        <f t="shared" si="355"/>
        <v>31-08-2026T06:31:00</v>
      </c>
      <c r="J1411" s="62">
        <v>0.87638888888888888</v>
      </c>
      <c r="K1411" s="62"/>
      <c r="L1411" s="63">
        <f t="shared" si="383"/>
        <v>0.60486111111111107</v>
      </c>
      <c r="M1411" s="64">
        <v>0.625</v>
      </c>
      <c r="N1411" s="65" t="str">
        <f t="shared" si="384"/>
        <v>00:29:00</v>
      </c>
      <c r="O1411" s="66"/>
      <c r="P1411" s="124"/>
      <c r="Q1411" s="67" t="s">
        <v>15</v>
      </c>
      <c r="R1411" s="68">
        <v>0.48125000000000001</v>
      </c>
      <c r="S1411" s="68">
        <v>0.49236111111111114</v>
      </c>
      <c r="T1411" s="69">
        <f t="shared" si="393"/>
        <v>1.1111111111111127E-2</v>
      </c>
      <c r="U1411" s="61" t="s">
        <v>234</v>
      </c>
      <c r="V1411" s="83">
        <v>8.3333333333333329E-2</v>
      </c>
      <c r="W1411" s="61">
        <f t="shared" si="394"/>
        <v>-7.2222222222222202E-2</v>
      </c>
      <c r="X1411" s="171">
        <v>46265.271527777775</v>
      </c>
      <c r="Y1411" s="171">
        <v>46265.876388888886</v>
      </c>
      <c r="Z1411" s="168">
        <f t="shared" si="395"/>
        <v>0.60486111111094942</v>
      </c>
      <c r="AA1411" s="169">
        <f t="shared" si="396"/>
        <v>0.625</v>
      </c>
      <c r="AB1411" s="170" t="str">
        <f t="shared" si="397"/>
        <v>00:29:00</v>
      </c>
      <c r="AC1411" s="170" t="b">
        <f t="shared" si="398"/>
        <v>1</v>
      </c>
    </row>
    <row r="1412" spans="1:29" s="128" customFormat="1" ht="9.75" hidden="1" customHeight="1" x14ac:dyDescent="0.3">
      <c r="A1412" s="99">
        <v>46265</v>
      </c>
      <c r="B1412" s="59">
        <v>8216370</v>
      </c>
      <c r="C1412" s="60" t="s">
        <v>99</v>
      </c>
      <c r="D1412" s="60" t="s">
        <v>375</v>
      </c>
      <c r="E1412" s="61">
        <v>0.29166666666666669</v>
      </c>
      <c r="F1412" s="60" t="s">
        <v>13</v>
      </c>
      <c r="G1412" s="71" t="s">
        <v>103</v>
      </c>
      <c r="H1412" s="62">
        <v>0.29305555555555557</v>
      </c>
      <c r="I1412" s="113" t="str">
        <f t="shared" ref="I1412:I1458" si="399">TEXT(A1412,"dd-mm-yyyy")&amp;"T"&amp;TEXT(H1412,"hh:mm:ss")</f>
        <v>31-08-2026T07:02:00</v>
      </c>
      <c r="J1412" s="62">
        <v>0.89166666666666672</v>
      </c>
      <c r="K1412" s="62"/>
      <c r="L1412" s="63">
        <f t="shared" si="383"/>
        <v>0.5986111111111112</v>
      </c>
      <c r="M1412" s="64">
        <v>0.625</v>
      </c>
      <c r="N1412" s="65" t="str">
        <f t="shared" si="384"/>
        <v>00:38:00</v>
      </c>
      <c r="O1412" s="66"/>
      <c r="P1412" s="124"/>
      <c r="Q1412" s="67"/>
      <c r="R1412" s="68"/>
      <c r="S1412" s="68"/>
      <c r="T1412" s="69">
        <f t="shared" si="393"/>
        <v>0</v>
      </c>
      <c r="U1412" s="61" t="s">
        <v>234</v>
      </c>
      <c r="V1412" s="83">
        <v>0</v>
      </c>
      <c r="W1412" s="61">
        <f t="shared" si="394"/>
        <v>0</v>
      </c>
      <c r="X1412" s="171">
        <v>46265.293055555558</v>
      </c>
      <c r="Y1412" s="171">
        <v>46265.89166666667</v>
      </c>
      <c r="Z1412" s="168">
        <f t="shared" si="395"/>
        <v>0.59861111111240461</v>
      </c>
      <c r="AA1412" s="169">
        <f t="shared" si="396"/>
        <v>0.625</v>
      </c>
      <c r="AB1412" s="170" t="str">
        <f t="shared" si="397"/>
        <v>00:38:00</v>
      </c>
      <c r="AC1412" s="170" t="b">
        <f t="shared" si="398"/>
        <v>1</v>
      </c>
    </row>
    <row r="1413" spans="1:29" s="128" customFormat="1" ht="9.75" hidden="1" customHeight="1" x14ac:dyDescent="0.3">
      <c r="A1413" s="99">
        <v>46265</v>
      </c>
      <c r="B1413" s="59">
        <v>8216410</v>
      </c>
      <c r="C1413" s="60" t="s">
        <v>56</v>
      </c>
      <c r="D1413" s="60" t="s">
        <v>735</v>
      </c>
      <c r="E1413" s="61">
        <v>0.3125</v>
      </c>
      <c r="F1413" s="60" t="s">
        <v>15</v>
      </c>
      <c r="G1413" s="71" t="s">
        <v>13</v>
      </c>
      <c r="H1413" s="62">
        <v>0.30902777777777779</v>
      </c>
      <c r="I1413" s="113" t="str">
        <f t="shared" si="399"/>
        <v>31-08-2026T07:25:00</v>
      </c>
      <c r="J1413" s="62">
        <v>0.55347222222222225</v>
      </c>
      <c r="K1413" s="62"/>
      <c r="L1413" s="63">
        <f t="shared" si="383"/>
        <v>0.24444444444444446</v>
      </c>
      <c r="M1413" s="64">
        <v>0.25</v>
      </c>
      <c r="N1413" s="65" t="str">
        <f t="shared" si="384"/>
        <v>00:08:00</v>
      </c>
      <c r="O1413" s="66"/>
      <c r="P1413" s="124"/>
      <c r="Q1413" s="67" t="s">
        <v>205</v>
      </c>
      <c r="R1413" s="68">
        <v>0.38194444444444442</v>
      </c>
      <c r="S1413" s="68">
        <v>0.41666666666666669</v>
      </c>
      <c r="T1413" s="69">
        <f t="shared" si="393"/>
        <v>3.4722222222222265E-2</v>
      </c>
      <c r="U1413" s="61"/>
      <c r="V1413" s="83">
        <v>4.1666666666666664E-2</v>
      </c>
      <c r="W1413" s="61">
        <f t="shared" si="394"/>
        <v>-6.944444444444399E-3</v>
      </c>
      <c r="X1413" s="171">
        <v>46265.309027777781</v>
      </c>
      <c r="Y1413" s="171">
        <v>46265.553472222222</v>
      </c>
      <c r="Z1413" s="168">
        <f t="shared" si="395"/>
        <v>0.24444444444088731</v>
      </c>
      <c r="AA1413" s="169">
        <f t="shared" si="396"/>
        <v>0.25</v>
      </c>
      <c r="AB1413" s="170" t="str">
        <f t="shared" si="397"/>
        <v>00:08:00</v>
      </c>
      <c r="AC1413" s="170" t="b">
        <f t="shared" si="398"/>
        <v>1</v>
      </c>
    </row>
    <row r="1414" spans="1:29" s="128" customFormat="1" ht="9.75" hidden="1" customHeight="1" x14ac:dyDescent="0.3">
      <c r="A1414" s="99">
        <v>46265</v>
      </c>
      <c r="B1414" s="59">
        <v>8216242</v>
      </c>
      <c r="C1414" s="60" t="s">
        <v>42</v>
      </c>
      <c r="D1414" s="60" t="s">
        <v>181</v>
      </c>
      <c r="E1414" s="61">
        <v>0.3125</v>
      </c>
      <c r="F1414" s="60" t="s">
        <v>13</v>
      </c>
      <c r="G1414" s="71" t="s">
        <v>55</v>
      </c>
      <c r="H1414" s="62">
        <v>0.31805555555555554</v>
      </c>
      <c r="I1414" s="113" t="str">
        <f t="shared" si="399"/>
        <v>31-08-2026T07:38:00</v>
      </c>
      <c r="J1414" s="62">
        <v>0.37569444444444444</v>
      </c>
      <c r="K1414" s="62"/>
      <c r="L1414" s="63">
        <f t="shared" si="383"/>
        <v>5.7638888888888906E-2</v>
      </c>
      <c r="M1414" s="64">
        <v>6.25E-2</v>
      </c>
      <c r="N1414" s="65" t="str">
        <f t="shared" si="384"/>
        <v>00:07:00</v>
      </c>
      <c r="O1414" s="66"/>
      <c r="P1414" s="124"/>
      <c r="Q1414" s="67"/>
      <c r="R1414" s="68"/>
      <c r="S1414" s="68"/>
      <c r="T1414" s="69">
        <f t="shared" si="393"/>
        <v>0</v>
      </c>
      <c r="U1414" s="61"/>
      <c r="V1414" s="83">
        <v>0</v>
      </c>
      <c r="W1414" s="61">
        <f t="shared" si="394"/>
        <v>0</v>
      </c>
      <c r="X1414" s="171">
        <v>0.31805555555555554</v>
      </c>
      <c r="Y1414" s="171">
        <v>0.37569444444444444</v>
      </c>
      <c r="Z1414" s="168">
        <f t="shared" si="395"/>
        <v>5.7638888888888906E-2</v>
      </c>
      <c r="AA1414" s="169">
        <f t="shared" si="396"/>
        <v>6.25E-2</v>
      </c>
      <c r="AB1414" s="170" t="str">
        <f t="shared" si="397"/>
        <v>00:07:00</v>
      </c>
      <c r="AC1414" s="170" t="b">
        <f t="shared" si="398"/>
        <v>1</v>
      </c>
    </row>
    <row r="1415" spans="1:29" ht="9.75" hidden="1" customHeight="1" x14ac:dyDescent="0.3">
      <c r="A1415" s="149">
        <v>46264</v>
      </c>
      <c r="B1415" s="150" t="s">
        <v>687</v>
      </c>
      <c r="C1415" s="151" t="s">
        <v>100</v>
      </c>
      <c r="D1415" s="151" t="s">
        <v>391</v>
      </c>
      <c r="E1415" s="152">
        <v>0</v>
      </c>
      <c r="F1415" s="151"/>
      <c r="G1415" s="153"/>
      <c r="H1415" s="154">
        <v>0</v>
      </c>
      <c r="I1415" s="113" t="str">
        <f t="shared" si="399"/>
        <v>30-08-2026T00:00:00</v>
      </c>
      <c r="J1415" s="154">
        <v>0</v>
      </c>
      <c r="K1415" s="154"/>
      <c r="L1415" s="155">
        <v>0</v>
      </c>
      <c r="M1415" s="160">
        <v>0</v>
      </c>
      <c r="N1415" s="156">
        <v>0</v>
      </c>
      <c r="O1415" s="157"/>
      <c r="P1415" s="158" t="s">
        <v>480</v>
      </c>
      <c r="Q1415" s="159" t="s">
        <v>480</v>
      </c>
      <c r="R1415" s="148" t="s">
        <v>480</v>
      </c>
      <c r="S1415" s="148" t="s">
        <v>480</v>
      </c>
      <c r="T1415" s="161" t="s">
        <v>480</v>
      </c>
      <c r="U1415" s="152" t="s">
        <v>480</v>
      </c>
      <c r="V1415" s="146" t="s">
        <v>480</v>
      </c>
      <c r="W1415" s="152" t="s">
        <v>480</v>
      </c>
      <c r="X1415" s="171" t="s">
        <v>668</v>
      </c>
      <c r="Y1415" s="171" t="s">
        <v>668</v>
      </c>
      <c r="Z1415" s="168" t="e">
        <f t="shared" si="395"/>
        <v>#VALUE!</v>
      </c>
      <c r="AA1415" s="169">
        <f t="shared" si="396"/>
        <v>0</v>
      </c>
      <c r="AB1415" s="170" t="e">
        <f t="shared" si="397"/>
        <v>#VALUE!</v>
      </c>
      <c r="AC1415" s="170" t="e">
        <f t="shared" si="398"/>
        <v>#VALUE!</v>
      </c>
    </row>
    <row r="1416" spans="1:29" s="128" customFormat="1" ht="9.75" hidden="1" customHeight="1" x14ac:dyDescent="0.3">
      <c r="A1416" s="99">
        <v>46265</v>
      </c>
      <c r="B1416" s="59">
        <v>8216564</v>
      </c>
      <c r="C1416" s="60" t="s">
        <v>100</v>
      </c>
      <c r="D1416" s="60" t="s">
        <v>391</v>
      </c>
      <c r="E1416" s="61">
        <v>0.375</v>
      </c>
      <c r="F1416" s="60" t="s">
        <v>13</v>
      </c>
      <c r="G1416" s="71" t="s">
        <v>47</v>
      </c>
      <c r="H1416" s="62">
        <v>46265.37777777778</v>
      </c>
      <c r="I1416" s="113" t="str">
        <f t="shared" si="399"/>
        <v>31-08-2026T09:04:00</v>
      </c>
      <c r="J1416" s="62">
        <v>46267.243750000001</v>
      </c>
      <c r="K1416" s="62"/>
      <c r="L1416" s="63">
        <f t="shared" si="383"/>
        <v>1.8659722222218988</v>
      </c>
      <c r="M1416" s="64">
        <v>1.9166666666666667</v>
      </c>
      <c r="N1416" s="65" t="str">
        <f t="shared" si="384"/>
        <v>01:13:00</v>
      </c>
      <c r="O1416" s="66"/>
      <c r="P1416" s="124"/>
      <c r="Q1416" s="67" t="s">
        <v>96</v>
      </c>
      <c r="R1416" s="68">
        <v>46267.051388888889</v>
      </c>
      <c r="S1416" s="68">
        <v>46267.11041666667</v>
      </c>
      <c r="T1416" s="69">
        <f t="shared" si="393"/>
        <v>5.9027777781011537E-2</v>
      </c>
      <c r="U1416" s="61"/>
      <c r="V1416" s="83">
        <v>8.3333333333333329E-2</v>
      </c>
      <c r="W1416" s="61">
        <f t="shared" si="394"/>
        <v>-2.4305555552321792E-2</v>
      </c>
      <c r="X1416" s="171">
        <v>46265.37777777778</v>
      </c>
      <c r="Y1416" s="171">
        <v>46267.243750000001</v>
      </c>
      <c r="Z1416" s="168">
        <f t="shared" si="395"/>
        <v>1.8659722222218988</v>
      </c>
      <c r="AA1416" s="169">
        <f t="shared" si="396"/>
        <v>1.9166666666666667</v>
      </c>
      <c r="AB1416" s="170" t="str">
        <f t="shared" si="397"/>
        <v>01:13:00</v>
      </c>
      <c r="AC1416" s="170" t="b">
        <f t="shared" si="398"/>
        <v>1</v>
      </c>
    </row>
    <row r="1417" spans="1:29" s="127" customFormat="1" ht="9.75" hidden="1" customHeight="1" x14ac:dyDescent="0.3">
      <c r="A1417" s="98">
        <v>46265</v>
      </c>
      <c r="B1417" s="48">
        <v>8216777</v>
      </c>
      <c r="C1417" s="49" t="s">
        <v>40</v>
      </c>
      <c r="D1417" s="49" t="s">
        <v>390</v>
      </c>
      <c r="E1417" s="50">
        <v>0.375</v>
      </c>
      <c r="F1417" s="49" t="s">
        <v>13</v>
      </c>
      <c r="G1417" s="70" t="s">
        <v>31</v>
      </c>
      <c r="H1417" s="51">
        <v>46265.481944444444</v>
      </c>
      <c r="I1417" s="113" t="str">
        <f t="shared" si="399"/>
        <v>31-08-2026T11:34:00</v>
      </c>
      <c r="J1417" s="51">
        <v>46266.347222222219</v>
      </c>
      <c r="K1417" s="51"/>
      <c r="L1417" s="52">
        <f t="shared" si="383"/>
        <v>0.86527777777519077</v>
      </c>
      <c r="M1417" s="53">
        <v>0.75</v>
      </c>
      <c r="N1417" s="54" t="str">
        <f t="shared" si="384"/>
        <v>-02:46:00</v>
      </c>
      <c r="O1417" s="55">
        <v>800</v>
      </c>
      <c r="P1417" s="147" t="s">
        <v>772</v>
      </c>
      <c r="Q1417" s="56" t="s">
        <v>45</v>
      </c>
      <c r="R1417" s="57">
        <v>46266.155555555553</v>
      </c>
      <c r="S1417" s="57">
        <v>46266.163888888892</v>
      </c>
      <c r="T1417" s="58">
        <f t="shared" si="393"/>
        <v>8.3333333386690356E-3</v>
      </c>
      <c r="U1417" s="50"/>
      <c r="V1417" s="74">
        <v>8.3333333333333329E-2</v>
      </c>
      <c r="W1417" s="50">
        <f t="shared" si="394"/>
        <v>-7.4999999994664293E-2</v>
      </c>
      <c r="X1417" s="171">
        <v>46265.481944444444</v>
      </c>
      <c r="Y1417" s="171">
        <v>46266.347222222219</v>
      </c>
      <c r="Z1417" s="168">
        <f t="shared" si="395"/>
        <v>0.86527777777519077</v>
      </c>
      <c r="AA1417" s="169">
        <f t="shared" si="396"/>
        <v>0.75</v>
      </c>
      <c r="AB1417" s="170" t="str">
        <f t="shared" si="397"/>
        <v>-02:46:00</v>
      </c>
      <c r="AC1417" s="170" t="b">
        <f t="shared" si="398"/>
        <v>1</v>
      </c>
    </row>
    <row r="1418" spans="1:29" s="144" customFormat="1" ht="9.75" hidden="1" customHeight="1" x14ac:dyDescent="0.3">
      <c r="A1418" s="129">
        <v>46265</v>
      </c>
      <c r="B1418" s="130">
        <v>8216547</v>
      </c>
      <c r="C1418" s="131" t="s">
        <v>51</v>
      </c>
      <c r="D1418" s="131" t="s">
        <v>295</v>
      </c>
      <c r="E1418" s="132">
        <v>0.375</v>
      </c>
      <c r="F1418" s="131" t="s">
        <v>49</v>
      </c>
      <c r="G1418" s="133" t="s">
        <v>13</v>
      </c>
      <c r="H1418" s="134">
        <v>46265.374305555553</v>
      </c>
      <c r="I1418" s="113" t="str">
        <f t="shared" si="399"/>
        <v>31-08-2026T08:59:00</v>
      </c>
      <c r="J1418" s="134">
        <v>46266.004166666666</v>
      </c>
      <c r="K1418" s="134"/>
      <c r="L1418" s="135">
        <f t="shared" si="383"/>
        <v>0.62986111111240461</v>
      </c>
      <c r="M1418" s="136">
        <v>0.58333333333333337</v>
      </c>
      <c r="N1418" s="137" t="str">
        <f t="shared" si="384"/>
        <v>-01:07:00</v>
      </c>
      <c r="O1418" s="138"/>
      <c r="P1418" s="145" t="s">
        <v>567</v>
      </c>
      <c r="Q1418" s="140" t="s">
        <v>13</v>
      </c>
      <c r="R1418" s="141">
        <v>46265.853472222225</v>
      </c>
      <c r="S1418" s="141">
        <v>46265.999305555553</v>
      </c>
      <c r="T1418" s="142">
        <f t="shared" si="393"/>
        <v>0.14583333332848269</v>
      </c>
      <c r="U1418" s="132"/>
      <c r="V1418" s="143">
        <v>8.3333333333333329E-2</v>
      </c>
      <c r="W1418" s="132">
        <f t="shared" si="394"/>
        <v>6.2499999995149366E-2</v>
      </c>
      <c r="X1418" s="171">
        <v>46265.374305555553</v>
      </c>
      <c r="Y1418" s="171">
        <v>46266.004166666666</v>
      </c>
      <c r="Z1418" s="168">
        <f t="shared" si="395"/>
        <v>0.62986111111240461</v>
      </c>
      <c r="AA1418" s="169">
        <f t="shared" si="396"/>
        <v>0.58333333333333337</v>
      </c>
      <c r="AB1418" s="170" t="str">
        <f t="shared" si="397"/>
        <v>-01:07:00</v>
      </c>
      <c r="AC1418" s="170" t="b">
        <f t="shared" si="398"/>
        <v>1</v>
      </c>
    </row>
    <row r="1419" spans="1:29" s="128" customFormat="1" ht="9.75" hidden="1" customHeight="1" x14ac:dyDescent="0.3">
      <c r="A1419" s="99">
        <v>46265</v>
      </c>
      <c r="B1419" s="59">
        <v>8217402</v>
      </c>
      <c r="C1419" s="60" t="s">
        <v>30</v>
      </c>
      <c r="D1419" s="60" t="s">
        <v>286</v>
      </c>
      <c r="E1419" s="61">
        <v>0.41666666666666669</v>
      </c>
      <c r="F1419" s="60" t="s">
        <v>31</v>
      </c>
      <c r="G1419" s="71" t="s">
        <v>13</v>
      </c>
      <c r="H1419" s="62">
        <v>46265.704861111109</v>
      </c>
      <c r="I1419" s="113" t="str">
        <f t="shared" si="399"/>
        <v>31-08-2026T16:55:00</v>
      </c>
      <c r="J1419" s="62">
        <v>46266.42291666667</v>
      </c>
      <c r="K1419" s="62"/>
      <c r="L1419" s="63">
        <f t="shared" si="383"/>
        <v>0.71805555556056788</v>
      </c>
      <c r="M1419" s="64">
        <v>0.75</v>
      </c>
      <c r="N1419" s="65" t="str">
        <f t="shared" si="384"/>
        <v>00:46:00</v>
      </c>
      <c r="O1419" s="66"/>
      <c r="P1419" s="124" t="s">
        <v>610</v>
      </c>
      <c r="Q1419" s="67" t="s">
        <v>45</v>
      </c>
      <c r="R1419" s="68">
        <v>0.82847222222222228</v>
      </c>
      <c r="S1419" s="68">
        <v>0.90347222222222223</v>
      </c>
      <c r="T1419" s="69">
        <f t="shared" si="393"/>
        <v>7.4999999999999956E-2</v>
      </c>
      <c r="U1419" s="61"/>
      <c r="V1419" s="83">
        <v>8.3333333333333329E-2</v>
      </c>
      <c r="W1419" s="61">
        <f t="shared" si="394"/>
        <v>-8.3333333333333731E-3</v>
      </c>
      <c r="X1419" s="172">
        <v>46265.704861111109</v>
      </c>
      <c r="Y1419" s="172">
        <v>46266.42291666667</v>
      </c>
      <c r="Z1419" s="173">
        <f t="shared" si="395"/>
        <v>0.71805555556056788</v>
      </c>
      <c r="AA1419" s="174">
        <f t="shared" si="396"/>
        <v>0.75</v>
      </c>
      <c r="AB1419" s="175" t="str">
        <f t="shared" si="397"/>
        <v>00:46:00</v>
      </c>
      <c r="AC1419" s="175" t="b">
        <f t="shared" si="398"/>
        <v>1</v>
      </c>
    </row>
    <row r="1420" spans="1:29" s="128" customFormat="1" ht="9.75" hidden="1" customHeight="1" x14ac:dyDescent="0.3">
      <c r="A1420" s="99">
        <v>46265</v>
      </c>
      <c r="B1420" s="59">
        <v>8216624</v>
      </c>
      <c r="C1420" s="60" t="s">
        <v>48</v>
      </c>
      <c r="D1420" s="60" t="s">
        <v>183</v>
      </c>
      <c r="E1420" s="61">
        <v>0.41666666666666669</v>
      </c>
      <c r="F1420" s="60" t="s">
        <v>13</v>
      </c>
      <c r="G1420" s="71" t="s">
        <v>49</v>
      </c>
      <c r="H1420" s="62">
        <v>0.41736111111111113</v>
      </c>
      <c r="I1420" s="113" t="str">
        <f t="shared" si="399"/>
        <v>31-08-2026T10:01:00</v>
      </c>
      <c r="J1420" s="62">
        <v>0.90972222222222221</v>
      </c>
      <c r="K1420" s="62"/>
      <c r="L1420" s="63">
        <f t="shared" si="383"/>
        <v>0.49236111111111108</v>
      </c>
      <c r="M1420" s="64">
        <v>0.5</v>
      </c>
      <c r="N1420" s="65" t="str">
        <f t="shared" si="384"/>
        <v>00:11:00</v>
      </c>
      <c r="O1420" s="66"/>
      <c r="P1420" s="124"/>
      <c r="Q1420" s="67"/>
      <c r="R1420" s="68"/>
      <c r="S1420" s="68"/>
      <c r="T1420" s="69">
        <f t="shared" si="393"/>
        <v>0</v>
      </c>
      <c r="U1420" s="61"/>
      <c r="V1420" s="83">
        <v>0</v>
      </c>
      <c r="W1420" s="61">
        <f t="shared" si="394"/>
        <v>0</v>
      </c>
      <c r="X1420" s="171">
        <v>46265.417361111111</v>
      </c>
      <c r="Y1420" s="171">
        <v>46265.909722222219</v>
      </c>
      <c r="Z1420" s="168">
        <f t="shared" si="395"/>
        <v>0.49236111110803904</v>
      </c>
      <c r="AA1420" s="169">
        <f t="shared" si="396"/>
        <v>0.5</v>
      </c>
      <c r="AB1420" s="170" t="str">
        <f t="shared" si="397"/>
        <v>00:11:00</v>
      </c>
      <c r="AC1420" s="170" t="b">
        <f t="shared" si="398"/>
        <v>1</v>
      </c>
    </row>
    <row r="1421" spans="1:29" s="128" customFormat="1" ht="9.75" customHeight="1" x14ac:dyDescent="0.3">
      <c r="A1421" s="99">
        <v>46265</v>
      </c>
      <c r="B1421" s="59">
        <v>8215543</v>
      </c>
      <c r="C1421" s="60" t="s">
        <v>90</v>
      </c>
      <c r="D1421" s="60" t="s">
        <v>290</v>
      </c>
      <c r="E1421" s="61">
        <v>0.99930555555555556</v>
      </c>
      <c r="F1421" s="60" t="s">
        <v>13</v>
      </c>
      <c r="G1421" s="71" t="s">
        <v>15</v>
      </c>
      <c r="H1421" s="62">
        <v>4.8611111111111112E-3</v>
      </c>
      <c r="I1421" s="113" t="str">
        <f t="shared" si="399"/>
        <v>31-08-2026T00:07:00</v>
      </c>
      <c r="J1421" s="62">
        <v>0.25138888888888888</v>
      </c>
      <c r="K1421" s="113" t="str">
        <f t="shared" ref="K1421:K1422" si="400">TEXT(A1421,"dd-mm-yyyy")&amp;"T"&amp;TEXT(J1421,"hh:mm:ss")</f>
        <v>31-08-2026T06:02:00</v>
      </c>
      <c r="L1421" s="63">
        <f>J1421-H1421</f>
        <v>0.24652777777777776</v>
      </c>
      <c r="M1421" s="64">
        <v>0.27083333333333331</v>
      </c>
      <c r="N1421" s="65" t="str">
        <f>IF(M1421-L1421&gt;0,TEXT(M1421-L1421,"HH:MM:SS"),TEXT(ABS(M1421-L1421),"-HH:MM:SS"))</f>
        <v>00:35:00</v>
      </c>
      <c r="O1421" s="66"/>
      <c r="P1421" s="124"/>
      <c r="Q1421" s="67" t="s">
        <v>13</v>
      </c>
      <c r="R1421" s="68">
        <v>1.6666666666666666E-2</v>
      </c>
      <c r="S1421" s="68">
        <v>4.583333333333333E-2</v>
      </c>
      <c r="T1421" s="69">
        <f t="shared" ref="T1421" si="401">S1421-R1421</f>
        <v>2.9166666666666664E-2</v>
      </c>
      <c r="U1421" s="61"/>
      <c r="V1421" s="83">
        <v>4.1666666666666664E-2</v>
      </c>
      <c r="W1421" s="61">
        <f t="shared" ref="W1421" si="402">T1421-V1421</f>
        <v>-1.2500000000000001E-2</v>
      </c>
      <c r="X1421" s="171">
        <v>46265.004861111112</v>
      </c>
      <c r="Y1421" s="171">
        <v>46265.251388888886</v>
      </c>
      <c r="Z1421" s="168">
        <f t="shared" ref="Z1421" si="403">Y1421-X1421</f>
        <v>0.24652777777373558</v>
      </c>
      <c r="AA1421" s="169">
        <f t="shared" ref="AA1421" si="404">M1421</f>
        <v>0.27083333333333331</v>
      </c>
      <c r="AB1421" s="170" t="str">
        <f t="shared" ref="AB1421" si="405">IF(AA1421-Z1421&gt;0,TEXT(AA1421-Z1421,"HH:MM:SS"),TEXT(ABS(AA1421-Z1421),"-HH:MM:SS"))</f>
        <v>00:35:00</v>
      </c>
      <c r="AC1421" s="170" t="b">
        <f t="shared" ref="AC1421" si="406">AB1421=N1421</f>
        <v>1</v>
      </c>
    </row>
    <row r="1422" spans="1:29" s="128" customFormat="1" ht="9.75" hidden="1" customHeight="1" x14ac:dyDescent="0.3">
      <c r="A1422" s="99">
        <v>46265</v>
      </c>
      <c r="B1422" s="59">
        <v>8216658</v>
      </c>
      <c r="C1422" s="60" t="s">
        <v>90</v>
      </c>
      <c r="D1422" s="60" t="s">
        <v>290</v>
      </c>
      <c r="E1422" s="61">
        <v>0.4375</v>
      </c>
      <c r="F1422" s="60" t="s">
        <v>15</v>
      </c>
      <c r="G1422" s="71" t="s">
        <v>13</v>
      </c>
      <c r="H1422" s="62">
        <v>0.43888888888888888</v>
      </c>
      <c r="I1422" s="113" t="str">
        <f t="shared" si="399"/>
        <v>31-08-2026T10:32:00</v>
      </c>
      <c r="J1422" s="62">
        <v>0.64652777777777781</v>
      </c>
      <c r="K1422" s="113" t="str">
        <f t="shared" si="400"/>
        <v>31-08-2026T15:31:00</v>
      </c>
      <c r="L1422" s="63">
        <f t="shared" si="383"/>
        <v>0.20763888888888893</v>
      </c>
      <c r="M1422" s="64">
        <v>0.20833333333333334</v>
      </c>
      <c r="N1422" s="65" t="str">
        <f t="shared" si="384"/>
        <v>00:01:00</v>
      </c>
      <c r="O1422" s="66"/>
      <c r="P1422" s="124"/>
      <c r="Q1422" s="67"/>
      <c r="R1422" s="68"/>
      <c r="S1422" s="68"/>
      <c r="T1422" s="69">
        <f t="shared" si="393"/>
        <v>0</v>
      </c>
      <c r="U1422" s="61"/>
      <c r="V1422" s="83">
        <v>0</v>
      </c>
      <c r="W1422" s="61">
        <f t="shared" si="394"/>
        <v>0</v>
      </c>
      <c r="X1422" s="171">
        <v>46265.438888888886</v>
      </c>
      <c r="Y1422" s="171">
        <v>46265.646527777775</v>
      </c>
      <c r="Z1422" s="168">
        <f t="shared" si="395"/>
        <v>0.20763888888905058</v>
      </c>
      <c r="AA1422" s="169">
        <f t="shared" si="396"/>
        <v>0.20833333333333334</v>
      </c>
      <c r="AB1422" s="170" t="str">
        <f t="shared" si="397"/>
        <v>00:01:00</v>
      </c>
      <c r="AC1422" s="170" t="b">
        <f t="shared" si="398"/>
        <v>1</v>
      </c>
    </row>
    <row r="1423" spans="1:29" s="128" customFormat="1" ht="9.75" hidden="1" customHeight="1" x14ac:dyDescent="0.3">
      <c r="A1423" s="99">
        <v>46265</v>
      </c>
      <c r="B1423" s="59">
        <v>8216716</v>
      </c>
      <c r="C1423" s="60" t="s">
        <v>41</v>
      </c>
      <c r="D1423" s="60" t="s">
        <v>299</v>
      </c>
      <c r="E1423" s="61">
        <v>0.45833333333333331</v>
      </c>
      <c r="F1423" s="60" t="s">
        <v>13</v>
      </c>
      <c r="G1423" s="71" t="s">
        <v>24</v>
      </c>
      <c r="H1423" s="62">
        <v>0.46111111111111114</v>
      </c>
      <c r="I1423" s="113" t="str">
        <f t="shared" si="399"/>
        <v>31-08-2026T11:04:00</v>
      </c>
      <c r="J1423" s="62">
        <v>0.5541666666666667</v>
      </c>
      <c r="K1423" s="62"/>
      <c r="L1423" s="63">
        <f t="shared" si="383"/>
        <v>9.3055555555555558E-2</v>
      </c>
      <c r="M1423" s="64">
        <v>8.3333333333333329E-2</v>
      </c>
      <c r="N1423" s="65" t="str">
        <f t="shared" si="384"/>
        <v>-00:14:00</v>
      </c>
      <c r="O1423" s="66"/>
      <c r="P1423" s="124"/>
      <c r="Q1423" s="67"/>
      <c r="R1423" s="68"/>
      <c r="S1423" s="68"/>
      <c r="T1423" s="69">
        <f t="shared" si="393"/>
        <v>0</v>
      </c>
      <c r="U1423" s="61"/>
      <c r="V1423" s="83">
        <v>0</v>
      </c>
      <c r="W1423" s="61">
        <f t="shared" si="394"/>
        <v>0</v>
      </c>
      <c r="X1423" s="171">
        <v>46265.461111111108</v>
      </c>
      <c r="Y1423" s="171">
        <v>46265.554166666669</v>
      </c>
      <c r="Z1423" s="168">
        <f t="shared" si="395"/>
        <v>9.3055555560567882E-2</v>
      </c>
      <c r="AA1423" s="169">
        <f t="shared" si="396"/>
        <v>8.3333333333333329E-2</v>
      </c>
      <c r="AB1423" s="170" t="str">
        <f t="shared" si="397"/>
        <v>-00:14:00</v>
      </c>
      <c r="AC1423" s="170" t="b">
        <f t="shared" si="398"/>
        <v>1</v>
      </c>
    </row>
    <row r="1424" spans="1:29" s="128" customFormat="1" ht="9.75" hidden="1" customHeight="1" x14ac:dyDescent="0.3">
      <c r="A1424" s="99">
        <v>46265</v>
      </c>
      <c r="B1424" s="59">
        <v>8218007</v>
      </c>
      <c r="C1424" s="60" t="s">
        <v>57</v>
      </c>
      <c r="D1424" s="60" t="s">
        <v>370</v>
      </c>
      <c r="E1424" s="61">
        <v>0.45833333333333331</v>
      </c>
      <c r="F1424" s="60" t="s">
        <v>13</v>
      </c>
      <c r="G1424" s="71" t="s">
        <v>24</v>
      </c>
      <c r="H1424" s="62">
        <v>0.88402777777777775</v>
      </c>
      <c r="I1424" s="113" t="str">
        <f t="shared" si="399"/>
        <v>31-08-2026T21:13:00</v>
      </c>
      <c r="J1424" s="62">
        <v>0.96527777777777779</v>
      </c>
      <c r="K1424" s="62"/>
      <c r="L1424" s="63">
        <f t="shared" si="383"/>
        <v>8.1250000000000044E-2</v>
      </c>
      <c r="M1424" s="64">
        <v>8.3333333333333329E-2</v>
      </c>
      <c r="N1424" s="65" t="str">
        <f t="shared" si="384"/>
        <v>00:03:00</v>
      </c>
      <c r="O1424" s="66"/>
      <c r="P1424" s="124"/>
      <c r="Q1424" s="67"/>
      <c r="R1424" s="68"/>
      <c r="S1424" s="68"/>
      <c r="T1424" s="69">
        <f t="shared" si="393"/>
        <v>0</v>
      </c>
      <c r="U1424" s="61" t="s">
        <v>234</v>
      </c>
      <c r="V1424" s="83">
        <v>0</v>
      </c>
      <c r="W1424" s="61">
        <f t="shared" si="394"/>
        <v>0</v>
      </c>
      <c r="X1424" s="171">
        <v>46265.884027777778</v>
      </c>
      <c r="Y1424" s="171">
        <v>46265.965277777781</v>
      </c>
      <c r="Z1424" s="168">
        <f t="shared" si="395"/>
        <v>8.1250000002910383E-2</v>
      </c>
      <c r="AA1424" s="169">
        <f t="shared" si="396"/>
        <v>8.3333333333333329E-2</v>
      </c>
      <c r="AB1424" s="170" t="str">
        <f t="shared" si="397"/>
        <v>00:03:00</v>
      </c>
      <c r="AC1424" s="170" t="b">
        <f t="shared" si="398"/>
        <v>1</v>
      </c>
    </row>
    <row r="1425" spans="1:29" s="128" customFormat="1" ht="9.75" hidden="1" customHeight="1" x14ac:dyDescent="0.3">
      <c r="A1425" s="99">
        <v>46264</v>
      </c>
      <c r="B1425" s="59">
        <v>8215536</v>
      </c>
      <c r="C1425" s="60" t="s">
        <v>52</v>
      </c>
      <c r="D1425" s="60" t="s">
        <v>616</v>
      </c>
      <c r="E1425" s="61">
        <v>0.99930555555555556</v>
      </c>
      <c r="F1425" s="60" t="s">
        <v>15</v>
      </c>
      <c r="G1425" s="71" t="s">
        <v>13</v>
      </c>
      <c r="H1425" s="62">
        <v>46264.996527777781</v>
      </c>
      <c r="I1425" s="113" t="str">
        <f t="shared" si="399"/>
        <v>30-08-2026T23:55:00</v>
      </c>
      <c r="J1425" s="62">
        <v>46265.196527777778</v>
      </c>
      <c r="K1425" s="62"/>
      <c r="L1425" s="63">
        <f t="shared" si="383"/>
        <v>0.19999999999708962</v>
      </c>
      <c r="M1425" s="64">
        <v>0.20833333333333334</v>
      </c>
      <c r="N1425" s="65" t="str">
        <f t="shared" si="384"/>
        <v>00:12:00</v>
      </c>
      <c r="O1425" s="66"/>
      <c r="P1425" s="124"/>
      <c r="Q1425" s="67"/>
      <c r="R1425" s="68"/>
      <c r="S1425" s="68"/>
      <c r="T1425" s="69"/>
      <c r="U1425" s="61"/>
      <c r="V1425" s="83"/>
      <c r="W1425" s="61"/>
      <c r="X1425" s="171">
        <v>46264.996527777781</v>
      </c>
      <c r="Y1425" s="171">
        <v>46265.196527777778</v>
      </c>
      <c r="Z1425" s="168">
        <f t="shared" ref="Z1425" si="407">Y1425-X1425</f>
        <v>0.19999999999708962</v>
      </c>
      <c r="AA1425" s="169">
        <f t="shared" ref="AA1425" si="408">M1425</f>
        <v>0.20833333333333334</v>
      </c>
      <c r="AB1425" s="170" t="str">
        <f t="shared" ref="AB1425" si="409">IF(AA1425-Z1425&gt;0,TEXT(AA1425-Z1425,"HH:MM:SS"),TEXT(ABS(AA1425-Z1425),"-HH:MM:SS"))</f>
        <v>00:12:00</v>
      </c>
      <c r="AC1425" s="170" t="b">
        <f t="shared" ref="AC1425" si="410">AB1425=N1425</f>
        <v>1</v>
      </c>
    </row>
    <row r="1426" spans="1:29" s="128" customFormat="1" ht="9.75" hidden="1" customHeight="1" x14ac:dyDescent="0.3">
      <c r="A1426" s="99">
        <v>46265</v>
      </c>
      <c r="B1426" s="59">
        <v>8216964</v>
      </c>
      <c r="C1426" s="60" t="s">
        <v>52</v>
      </c>
      <c r="D1426" s="60" t="s">
        <v>616</v>
      </c>
      <c r="E1426" s="61">
        <v>0.54166666666666663</v>
      </c>
      <c r="F1426" s="60" t="s">
        <v>13</v>
      </c>
      <c r="G1426" s="71" t="s">
        <v>15</v>
      </c>
      <c r="H1426" s="62">
        <v>0.55069444444444449</v>
      </c>
      <c r="I1426" s="113" t="str">
        <f t="shared" si="399"/>
        <v>31-08-2026T13:13:00</v>
      </c>
      <c r="J1426" s="62">
        <v>0.75</v>
      </c>
      <c r="K1426" s="62"/>
      <c r="L1426" s="63">
        <f t="shared" si="383"/>
        <v>0.19930555555555551</v>
      </c>
      <c r="M1426" s="64">
        <v>0.20833333333333334</v>
      </c>
      <c r="N1426" s="65" t="str">
        <f t="shared" si="384"/>
        <v>00:13:00</v>
      </c>
      <c r="O1426" s="66"/>
      <c r="P1426" s="124"/>
      <c r="Q1426" s="67"/>
      <c r="R1426" s="68"/>
      <c r="S1426" s="68"/>
      <c r="T1426" s="69">
        <f t="shared" si="393"/>
        <v>0</v>
      </c>
      <c r="U1426" s="61" t="s">
        <v>234</v>
      </c>
      <c r="V1426" s="83">
        <v>0</v>
      </c>
      <c r="W1426" s="61">
        <f t="shared" si="394"/>
        <v>0</v>
      </c>
      <c r="X1426" s="171">
        <v>46265.550694444442</v>
      </c>
      <c r="Y1426" s="171">
        <v>46265.75</v>
      </c>
      <c r="Z1426" s="168">
        <f t="shared" si="395"/>
        <v>0.1993055555576575</v>
      </c>
      <c r="AA1426" s="169">
        <f t="shared" si="396"/>
        <v>0.20833333333333334</v>
      </c>
      <c r="AB1426" s="170" t="str">
        <f t="shared" si="397"/>
        <v>00:13:00</v>
      </c>
      <c r="AC1426" s="170" t="b">
        <f t="shared" si="398"/>
        <v>1</v>
      </c>
    </row>
    <row r="1427" spans="1:29" s="128" customFormat="1" ht="9.75" hidden="1" customHeight="1" x14ac:dyDescent="0.3">
      <c r="A1427" s="99">
        <v>46265</v>
      </c>
      <c r="B1427" s="59">
        <v>8217262</v>
      </c>
      <c r="C1427" s="60" t="s">
        <v>307</v>
      </c>
      <c r="D1427" s="60" t="s">
        <v>389</v>
      </c>
      <c r="E1427" s="61">
        <v>0.64583333333333337</v>
      </c>
      <c r="F1427" s="60" t="s">
        <v>19</v>
      </c>
      <c r="G1427" s="71" t="s">
        <v>13</v>
      </c>
      <c r="H1427" s="62">
        <v>46265.663194444445</v>
      </c>
      <c r="I1427" s="113" t="str">
        <f t="shared" si="399"/>
        <v>31-08-2026T15:55:00</v>
      </c>
      <c r="J1427" s="62">
        <v>46266.06527777778</v>
      </c>
      <c r="K1427" s="62"/>
      <c r="L1427" s="63">
        <f t="shared" si="383"/>
        <v>0.40208333333430346</v>
      </c>
      <c r="M1427" s="64">
        <v>0.4375</v>
      </c>
      <c r="N1427" s="65" t="str">
        <f t="shared" si="384"/>
        <v>00:51:00</v>
      </c>
      <c r="O1427" s="66"/>
      <c r="P1427" s="124"/>
      <c r="Q1427" s="67" t="s">
        <v>95</v>
      </c>
      <c r="R1427" s="68">
        <v>0.77083333333333337</v>
      </c>
      <c r="S1427" s="68">
        <v>0.79166666666666663</v>
      </c>
      <c r="T1427" s="69">
        <f t="shared" si="393"/>
        <v>2.0833333333333259E-2</v>
      </c>
      <c r="U1427" s="61"/>
      <c r="V1427" s="83">
        <v>8.3333333333333329E-2</v>
      </c>
      <c r="W1427" s="61">
        <f t="shared" si="394"/>
        <v>-6.2500000000000069E-2</v>
      </c>
      <c r="X1427" s="171">
        <v>46265.663194444445</v>
      </c>
      <c r="Y1427" s="171">
        <v>46266.06527777778</v>
      </c>
      <c r="Z1427" s="168">
        <f t="shared" si="395"/>
        <v>0.40208333333430346</v>
      </c>
      <c r="AA1427" s="169">
        <f t="shared" si="396"/>
        <v>0.4375</v>
      </c>
      <c r="AB1427" s="170" t="str">
        <f t="shared" si="397"/>
        <v>00:51:00</v>
      </c>
      <c r="AC1427" s="170" t="b">
        <f t="shared" si="398"/>
        <v>1</v>
      </c>
    </row>
    <row r="1428" spans="1:29" s="128" customFormat="1" ht="9.75" hidden="1" customHeight="1" x14ac:dyDescent="0.3">
      <c r="A1428" s="99">
        <v>46265</v>
      </c>
      <c r="B1428" s="59">
        <v>8217438</v>
      </c>
      <c r="C1428" s="60" t="s">
        <v>54</v>
      </c>
      <c r="D1428" s="60" t="s">
        <v>288</v>
      </c>
      <c r="E1428" s="61">
        <v>0.70833333333333337</v>
      </c>
      <c r="F1428" s="60" t="s">
        <v>13</v>
      </c>
      <c r="G1428" s="71" t="s">
        <v>24</v>
      </c>
      <c r="H1428" s="62">
        <v>0.71597222222222223</v>
      </c>
      <c r="I1428" s="113" t="str">
        <f t="shared" si="399"/>
        <v>31-08-2026T17:11:00</v>
      </c>
      <c r="J1428" s="62">
        <v>0.79166666666666663</v>
      </c>
      <c r="K1428" s="62"/>
      <c r="L1428" s="63">
        <f t="shared" si="383"/>
        <v>7.5694444444444398E-2</v>
      </c>
      <c r="M1428" s="64">
        <v>8.3333333333333329E-2</v>
      </c>
      <c r="N1428" s="65" t="str">
        <f t="shared" si="384"/>
        <v>00:11:00</v>
      </c>
      <c r="O1428" s="66"/>
      <c r="P1428" s="124"/>
      <c r="Q1428" s="67"/>
      <c r="R1428" s="68"/>
      <c r="S1428" s="68"/>
      <c r="T1428" s="69">
        <f t="shared" si="393"/>
        <v>0</v>
      </c>
      <c r="U1428" s="61" t="s">
        <v>234</v>
      </c>
      <c r="V1428" s="83">
        <v>0</v>
      </c>
      <c r="W1428" s="61">
        <f t="shared" si="394"/>
        <v>0</v>
      </c>
      <c r="X1428" s="171">
        <v>46265.71597222222</v>
      </c>
      <c r="Y1428" s="171">
        <v>46265.791666666664</v>
      </c>
      <c r="Z1428" s="168">
        <f t="shared" si="395"/>
        <v>7.5694444443797693E-2</v>
      </c>
      <c r="AA1428" s="169">
        <f t="shared" si="396"/>
        <v>8.3333333333333329E-2</v>
      </c>
      <c r="AB1428" s="170" t="str">
        <f t="shared" si="397"/>
        <v>00:11:00</v>
      </c>
      <c r="AC1428" s="170" t="b">
        <f t="shared" si="398"/>
        <v>1</v>
      </c>
    </row>
    <row r="1429" spans="1:29" s="127" customFormat="1" ht="9.75" hidden="1" customHeight="1" x14ac:dyDescent="0.3">
      <c r="A1429" s="98">
        <v>46265</v>
      </c>
      <c r="B1429" s="48">
        <v>8217397</v>
      </c>
      <c r="C1429" s="49" t="s">
        <v>84</v>
      </c>
      <c r="D1429" s="49" t="s">
        <v>301</v>
      </c>
      <c r="E1429" s="50">
        <v>0.70833333333333337</v>
      </c>
      <c r="F1429" s="49" t="s">
        <v>85</v>
      </c>
      <c r="G1429" s="70" t="s">
        <v>13</v>
      </c>
      <c r="H1429" s="51">
        <v>46265.703472222223</v>
      </c>
      <c r="I1429" s="113" t="str">
        <f t="shared" si="399"/>
        <v>31-08-2026T16:53:00</v>
      </c>
      <c r="J1429" s="51">
        <v>46266.04791666667</v>
      </c>
      <c r="K1429" s="51"/>
      <c r="L1429" s="52">
        <f t="shared" si="383"/>
        <v>0.34444444444670808</v>
      </c>
      <c r="M1429" s="53">
        <v>0.33333333333333331</v>
      </c>
      <c r="N1429" s="54" t="str">
        <f t="shared" si="384"/>
        <v>-00:16:00</v>
      </c>
      <c r="O1429" s="55">
        <v>150</v>
      </c>
      <c r="P1429" s="147" t="s">
        <v>567</v>
      </c>
      <c r="Q1429" s="56" t="s">
        <v>174</v>
      </c>
      <c r="R1429" s="57">
        <v>46265.76458333333</v>
      </c>
      <c r="S1429" s="57">
        <v>46265.816666666666</v>
      </c>
      <c r="T1429" s="47">
        <f t="shared" si="393"/>
        <v>5.2083333335758653E-2</v>
      </c>
      <c r="U1429" s="50"/>
      <c r="V1429" s="74">
        <v>4.1666666666666664E-2</v>
      </c>
      <c r="W1429" s="50">
        <f t="shared" si="394"/>
        <v>1.0416666669091988E-2</v>
      </c>
      <c r="X1429" s="171">
        <v>46265.703472222223</v>
      </c>
      <c r="Y1429" s="171">
        <v>46266.04791666667</v>
      </c>
      <c r="Z1429" s="168">
        <f t="shared" si="395"/>
        <v>0.34444444444670808</v>
      </c>
      <c r="AA1429" s="169">
        <f t="shared" si="396"/>
        <v>0.33333333333333331</v>
      </c>
      <c r="AB1429" s="170" t="str">
        <f t="shared" si="397"/>
        <v>-00:16:00</v>
      </c>
      <c r="AC1429" s="170" t="b">
        <f t="shared" si="398"/>
        <v>1</v>
      </c>
    </row>
    <row r="1430" spans="1:29" s="128" customFormat="1" ht="9.75" hidden="1" customHeight="1" x14ac:dyDescent="0.3">
      <c r="A1430" s="99">
        <v>46265</v>
      </c>
      <c r="B1430" s="59">
        <v>8217414</v>
      </c>
      <c r="C1430" s="60" t="s">
        <v>94</v>
      </c>
      <c r="D1430" s="60" t="s">
        <v>293</v>
      </c>
      <c r="E1430" s="61">
        <v>0.70833333333333337</v>
      </c>
      <c r="F1430" s="60" t="s">
        <v>13</v>
      </c>
      <c r="G1430" s="71" t="s">
        <v>23</v>
      </c>
      <c r="H1430" s="62">
        <v>46265.706944444442</v>
      </c>
      <c r="I1430" s="113" t="str">
        <f t="shared" si="399"/>
        <v>31-08-2026T16:58:00</v>
      </c>
      <c r="J1430" s="62">
        <v>46266.69027777778</v>
      </c>
      <c r="K1430" s="62"/>
      <c r="L1430" s="63">
        <f t="shared" si="383"/>
        <v>0.98333333333721384</v>
      </c>
      <c r="M1430" s="64">
        <v>1</v>
      </c>
      <c r="N1430" s="65" t="str">
        <f t="shared" si="384"/>
        <v>00:24:00</v>
      </c>
      <c r="O1430" s="66"/>
      <c r="P1430" s="124"/>
      <c r="Q1430" s="67"/>
      <c r="R1430" s="68"/>
      <c r="S1430" s="68"/>
      <c r="T1430" s="69">
        <f t="shared" si="393"/>
        <v>0</v>
      </c>
      <c r="U1430" s="61"/>
      <c r="V1430" s="83">
        <v>0</v>
      </c>
      <c r="W1430" s="61">
        <f t="shared" si="394"/>
        <v>0</v>
      </c>
      <c r="X1430" s="172" t="s">
        <v>371</v>
      </c>
      <c r="Y1430" s="172" t="s">
        <v>371</v>
      </c>
      <c r="Z1430" s="173" t="e">
        <f t="shared" si="395"/>
        <v>#VALUE!</v>
      </c>
      <c r="AA1430" s="174">
        <f t="shared" si="396"/>
        <v>1</v>
      </c>
      <c r="AB1430" s="175" t="e">
        <f t="shared" si="397"/>
        <v>#VALUE!</v>
      </c>
      <c r="AC1430" s="175" t="e">
        <f t="shared" si="398"/>
        <v>#VALUE!</v>
      </c>
    </row>
    <row r="1431" spans="1:29" s="127" customFormat="1" ht="9.75" hidden="1" customHeight="1" x14ac:dyDescent="0.3">
      <c r="A1431" s="98">
        <v>46265</v>
      </c>
      <c r="B1431" s="48">
        <v>8217439</v>
      </c>
      <c r="C1431" s="49" t="s">
        <v>27</v>
      </c>
      <c r="D1431" s="49" t="s">
        <v>378</v>
      </c>
      <c r="E1431" s="50">
        <v>0.70833333333333337</v>
      </c>
      <c r="F1431" s="49" t="s">
        <v>28</v>
      </c>
      <c r="G1431" s="70" t="s">
        <v>13</v>
      </c>
      <c r="H1431" s="51">
        <v>0.71666666666666667</v>
      </c>
      <c r="I1431" s="113" t="str">
        <f t="shared" si="399"/>
        <v>31-08-2026T17:12:00</v>
      </c>
      <c r="J1431" s="51">
        <v>0.92152777777777772</v>
      </c>
      <c r="K1431" s="51"/>
      <c r="L1431" s="52">
        <f t="shared" si="383"/>
        <v>0.20486111111111105</v>
      </c>
      <c r="M1431" s="53">
        <v>0.16666666666666666</v>
      </c>
      <c r="N1431" s="54" t="str">
        <f t="shared" si="384"/>
        <v>-00:55:00</v>
      </c>
      <c r="O1431" s="55">
        <v>150</v>
      </c>
      <c r="P1431" s="147" t="s">
        <v>610</v>
      </c>
      <c r="Q1431" s="56"/>
      <c r="R1431" s="57"/>
      <c r="S1431" s="57"/>
      <c r="T1431" s="58">
        <f t="shared" si="393"/>
        <v>0</v>
      </c>
      <c r="U1431" s="50"/>
      <c r="V1431" s="74">
        <v>0</v>
      </c>
      <c r="W1431" s="50">
        <f t="shared" si="394"/>
        <v>0</v>
      </c>
      <c r="X1431" s="171">
        <v>46265.716666666667</v>
      </c>
      <c r="Y1431" s="171">
        <v>46265.921527777777</v>
      </c>
      <c r="Z1431" s="168">
        <f t="shared" si="395"/>
        <v>0.20486111110949423</v>
      </c>
      <c r="AA1431" s="169">
        <f t="shared" si="396"/>
        <v>0.16666666666666666</v>
      </c>
      <c r="AB1431" s="170" t="str">
        <f t="shared" si="397"/>
        <v>-00:55:00</v>
      </c>
      <c r="AC1431" s="170" t="b">
        <f t="shared" si="398"/>
        <v>1</v>
      </c>
    </row>
    <row r="1432" spans="1:29" s="128" customFormat="1" ht="9.75" hidden="1" customHeight="1" x14ac:dyDescent="0.3">
      <c r="A1432" s="99">
        <v>46265</v>
      </c>
      <c r="B1432" s="59">
        <v>8217467</v>
      </c>
      <c r="C1432" s="60" t="s">
        <v>89</v>
      </c>
      <c r="D1432" s="60" t="s">
        <v>294</v>
      </c>
      <c r="E1432" s="61">
        <v>0.75</v>
      </c>
      <c r="F1432" s="60" t="s">
        <v>35</v>
      </c>
      <c r="G1432" s="71" t="s">
        <v>13</v>
      </c>
      <c r="H1432" s="62">
        <v>0.72986111111111107</v>
      </c>
      <c r="I1432" s="113" t="str">
        <f t="shared" si="399"/>
        <v>31-08-2026T17:31:00</v>
      </c>
      <c r="J1432" s="62">
        <v>0.7583333333333333</v>
      </c>
      <c r="K1432" s="62"/>
      <c r="L1432" s="63">
        <f t="shared" ref="L1432:L1438" si="411">J1432-H1432</f>
        <v>2.8472222222222232E-2</v>
      </c>
      <c r="M1432" s="64">
        <v>4.1666666666666664E-2</v>
      </c>
      <c r="N1432" s="65" t="str">
        <f t="shared" ref="N1432:N1438" si="412">IF(M1432-L1432&gt;0,TEXT(M1432-L1432,"HH:MM:SS"),TEXT(ABS(M1432-L1432),"-HH:MM:SS"))</f>
        <v>00:19:00</v>
      </c>
      <c r="O1432" s="66"/>
      <c r="P1432" s="124"/>
      <c r="Q1432" s="67"/>
      <c r="R1432" s="68"/>
      <c r="S1432" s="68"/>
      <c r="T1432" s="69">
        <f t="shared" si="393"/>
        <v>0</v>
      </c>
      <c r="U1432" s="61"/>
      <c r="V1432" s="83">
        <v>0</v>
      </c>
      <c r="W1432" s="61">
        <f t="shared" si="394"/>
        <v>0</v>
      </c>
      <c r="X1432" s="171">
        <v>46265.729861111111</v>
      </c>
      <c r="Y1432" s="171">
        <v>46265.758333333331</v>
      </c>
      <c r="Z1432" s="168">
        <f t="shared" si="395"/>
        <v>2.8472222220443655E-2</v>
      </c>
      <c r="AA1432" s="169">
        <f t="shared" si="396"/>
        <v>4.1666666666666664E-2</v>
      </c>
      <c r="AB1432" s="170" t="str">
        <f t="shared" si="397"/>
        <v>00:19:00</v>
      </c>
      <c r="AC1432" s="170" t="b">
        <f t="shared" si="398"/>
        <v>1</v>
      </c>
    </row>
    <row r="1433" spans="1:29" s="128" customFormat="1" ht="9.75" hidden="1" customHeight="1" x14ac:dyDescent="0.3">
      <c r="A1433" s="99">
        <v>46265</v>
      </c>
      <c r="B1433" s="59">
        <v>8217824</v>
      </c>
      <c r="C1433" s="60" t="s">
        <v>32</v>
      </c>
      <c r="D1433" s="60" t="s">
        <v>734</v>
      </c>
      <c r="E1433" s="61">
        <v>0.83333333333333337</v>
      </c>
      <c r="F1433" s="60" t="s">
        <v>287</v>
      </c>
      <c r="G1433" s="71" t="s">
        <v>13</v>
      </c>
      <c r="H1433" s="62">
        <v>0.83958333333333335</v>
      </c>
      <c r="I1433" s="113" t="str">
        <f t="shared" si="399"/>
        <v>31-08-2026T20:09:00</v>
      </c>
      <c r="J1433" s="62">
        <v>0.96944444444444444</v>
      </c>
      <c r="K1433" s="62"/>
      <c r="L1433" s="63">
        <f t="shared" si="411"/>
        <v>0.12986111111111109</v>
      </c>
      <c r="M1433" s="64">
        <v>0.14583333333333334</v>
      </c>
      <c r="N1433" s="65" t="str">
        <f t="shared" si="412"/>
        <v>00:23:00</v>
      </c>
      <c r="O1433" s="66"/>
      <c r="P1433" s="124"/>
      <c r="Q1433" s="67"/>
      <c r="R1433" s="68"/>
      <c r="S1433" s="68"/>
      <c r="T1433" s="69">
        <f t="shared" si="393"/>
        <v>0</v>
      </c>
      <c r="U1433" s="61"/>
      <c r="V1433" s="83">
        <v>0</v>
      </c>
      <c r="W1433" s="61">
        <f t="shared" si="394"/>
        <v>0</v>
      </c>
      <c r="X1433" s="171">
        <v>46265.839583333334</v>
      </c>
      <c r="Y1433" s="171">
        <v>46265.969444444447</v>
      </c>
      <c r="Z1433" s="168">
        <f t="shared" si="395"/>
        <v>0.12986111111240461</v>
      </c>
      <c r="AA1433" s="169">
        <f t="shared" si="396"/>
        <v>0.14583333333333334</v>
      </c>
      <c r="AB1433" s="170" t="str">
        <f t="shared" si="397"/>
        <v>00:23:00</v>
      </c>
      <c r="AC1433" s="170" t="b">
        <f t="shared" si="398"/>
        <v>1</v>
      </c>
    </row>
    <row r="1434" spans="1:29" s="127" customFormat="1" ht="9.75" hidden="1" customHeight="1" x14ac:dyDescent="0.3">
      <c r="A1434" s="98">
        <v>46265</v>
      </c>
      <c r="B1434" s="48">
        <v>8217999</v>
      </c>
      <c r="C1434" s="49" t="s">
        <v>56</v>
      </c>
      <c r="D1434" s="49" t="s">
        <v>735</v>
      </c>
      <c r="E1434" s="50">
        <v>0.875</v>
      </c>
      <c r="F1434" s="49" t="s">
        <v>13</v>
      </c>
      <c r="G1434" s="70" t="s">
        <v>15</v>
      </c>
      <c r="H1434" s="51">
        <v>46265.881944444445</v>
      </c>
      <c r="I1434" s="113" t="str">
        <f t="shared" si="399"/>
        <v>31-08-2026T21:10:00</v>
      </c>
      <c r="J1434" s="51">
        <v>46266.106944444444</v>
      </c>
      <c r="K1434" s="51"/>
      <c r="L1434" s="52">
        <f t="shared" si="411"/>
        <v>0.22499999999854481</v>
      </c>
      <c r="M1434" s="53">
        <v>0.20833333333333334</v>
      </c>
      <c r="N1434" s="54" t="str">
        <f t="shared" si="412"/>
        <v>-00:24:00</v>
      </c>
      <c r="O1434" s="55">
        <v>250</v>
      </c>
      <c r="P1434" s="147" t="s">
        <v>610</v>
      </c>
      <c r="Q1434" s="56"/>
      <c r="R1434" s="57"/>
      <c r="S1434" s="57"/>
      <c r="T1434" s="58">
        <f t="shared" si="393"/>
        <v>0</v>
      </c>
      <c r="U1434" s="50"/>
      <c r="V1434" s="74">
        <v>0</v>
      </c>
      <c r="W1434" s="50">
        <f t="shared" si="394"/>
        <v>0</v>
      </c>
      <c r="X1434" s="171">
        <v>46265.881944444445</v>
      </c>
      <c r="Y1434" s="171">
        <v>46266.106944444444</v>
      </c>
      <c r="Z1434" s="168">
        <f t="shared" si="395"/>
        <v>0.22499999999854481</v>
      </c>
      <c r="AA1434" s="169">
        <f t="shared" si="396"/>
        <v>0.20833333333333334</v>
      </c>
      <c r="AB1434" s="170" t="str">
        <f t="shared" si="397"/>
        <v>-00:24:00</v>
      </c>
      <c r="AC1434" s="170" t="b">
        <f t="shared" si="398"/>
        <v>1</v>
      </c>
    </row>
    <row r="1435" spans="1:29" s="128" customFormat="1" ht="9.75" hidden="1" customHeight="1" x14ac:dyDescent="0.3">
      <c r="A1435" s="99">
        <v>46265</v>
      </c>
      <c r="B1435" s="59">
        <v>8218060</v>
      </c>
      <c r="C1435" s="60" t="s">
        <v>42</v>
      </c>
      <c r="D1435" s="60" t="s">
        <v>181</v>
      </c>
      <c r="E1435" s="61">
        <v>0.875</v>
      </c>
      <c r="F1435" s="60" t="s">
        <v>55</v>
      </c>
      <c r="G1435" s="71" t="s">
        <v>13</v>
      </c>
      <c r="H1435" s="62">
        <v>0.90208333333333335</v>
      </c>
      <c r="I1435" s="113" t="str">
        <f t="shared" si="399"/>
        <v>31-08-2026T21:39:00</v>
      </c>
      <c r="J1435" s="62">
        <v>0.95902777777777781</v>
      </c>
      <c r="K1435" s="62"/>
      <c r="L1435" s="63">
        <f t="shared" si="411"/>
        <v>5.6944444444444464E-2</v>
      </c>
      <c r="M1435" s="64">
        <v>6.25E-2</v>
      </c>
      <c r="N1435" s="65" t="str">
        <f t="shared" si="412"/>
        <v>00:08:00</v>
      </c>
      <c r="O1435" s="66"/>
      <c r="P1435" s="124"/>
      <c r="Q1435" s="67"/>
      <c r="R1435" s="68"/>
      <c r="S1435" s="68"/>
      <c r="T1435" s="69">
        <f t="shared" si="393"/>
        <v>0</v>
      </c>
      <c r="U1435" s="61"/>
      <c r="V1435" s="83">
        <v>0</v>
      </c>
      <c r="W1435" s="61">
        <f t="shared" si="394"/>
        <v>0</v>
      </c>
      <c r="X1435" s="171">
        <v>46265.902083333334</v>
      </c>
      <c r="Y1435" s="171">
        <v>46265.959027777775</v>
      </c>
      <c r="Z1435" s="168">
        <f t="shared" si="395"/>
        <v>5.694444444088731E-2</v>
      </c>
      <c r="AA1435" s="169">
        <f t="shared" si="396"/>
        <v>6.25E-2</v>
      </c>
      <c r="AB1435" s="170" t="str">
        <f t="shared" si="397"/>
        <v>00:08:00</v>
      </c>
      <c r="AC1435" s="170" t="b">
        <f t="shared" si="398"/>
        <v>1</v>
      </c>
    </row>
    <row r="1436" spans="1:29" s="128" customFormat="1" ht="9.75" hidden="1" customHeight="1" x14ac:dyDescent="0.3">
      <c r="A1436" s="99">
        <v>46265</v>
      </c>
      <c r="B1436" s="59">
        <v>8217926</v>
      </c>
      <c r="C1436" s="60" t="s">
        <v>41</v>
      </c>
      <c r="D1436" s="60" t="s">
        <v>299</v>
      </c>
      <c r="E1436" s="61">
        <v>0.875</v>
      </c>
      <c r="F1436" s="60" t="s">
        <v>24</v>
      </c>
      <c r="G1436" s="71" t="s">
        <v>13</v>
      </c>
      <c r="H1436" s="62">
        <v>0.86736111111111114</v>
      </c>
      <c r="I1436" s="113" t="str">
        <f t="shared" si="399"/>
        <v>31-08-2026T20:49:00</v>
      </c>
      <c r="J1436" s="62">
        <v>0.94236111111111109</v>
      </c>
      <c r="K1436" s="62"/>
      <c r="L1436" s="63">
        <f t="shared" si="411"/>
        <v>7.4999999999999956E-2</v>
      </c>
      <c r="M1436" s="64">
        <v>8.3333333333333329E-2</v>
      </c>
      <c r="N1436" s="65" t="str">
        <f t="shared" si="412"/>
        <v>00:12:00</v>
      </c>
      <c r="O1436" s="66"/>
      <c r="P1436" s="124"/>
      <c r="Q1436" s="67"/>
      <c r="R1436" s="68"/>
      <c r="S1436" s="68"/>
      <c r="T1436" s="69">
        <f t="shared" si="393"/>
        <v>0</v>
      </c>
      <c r="U1436" s="61"/>
      <c r="V1436" s="83">
        <v>0</v>
      </c>
      <c r="W1436" s="61">
        <f t="shared" si="394"/>
        <v>0</v>
      </c>
      <c r="X1436" s="171">
        <v>46265.867361111108</v>
      </c>
      <c r="Y1436" s="171">
        <v>46265.942361111112</v>
      </c>
      <c r="Z1436" s="168">
        <f t="shared" si="395"/>
        <v>7.5000000004365575E-2</v>
      </c>
      <c r="AA1436" s="169">
        <f t="shared" si="396"/>
        <v>8.3333333333333329E-2</v>
      </c>
      <c r="AB1436" s="170" t="str">
        <f t="shared" si="397"/>
        <v>00:12:00</v>
      </c>
      <c r="AC1436" s="170" t="b">
        <f t="shared" si="398"/>
        <v>1</v>
      </c>
    </row>
    <row r="1437" spans="1:29" s="128" customFormat="1" ht="9.75" hidden="1" customHeight="1" x14ac:dyDescent="0.3">
      <c r="A1437" s="99">
        <v>46265</v>
      </c>
      <c r="B1437" s="59">
        <v>8216240</v>
      </c>
      <c r="C1437" s="60" t="s">
        <v>20</v>
      </c>
      <c r="D1437" s="60" t="s">
        <v>232</v>
      </c>
      <c r="E1437" s="61">
        <v>0.95833333333333337</v>
      </c>
      <c r="F1437" s="60" t="s">
        <v>21</v>
      </c>
      <c r="G1437" s="71" t="s">
        <v>13</v>
      </c>
      <c r="H1437" s="62">
        <v>0.25277777777777777</v>
      </c>
      <c r="I1437" s="113" t="str">
        <f t="shared" si="399"/>
        <v>31-08-2026T06:04:00</v>
      </c>
      <c r="J1437" s="62">
        <v>0.49791666666666667</v>
      </c>
      <c r="K1437" s="62"/>
      <c r="L1437" s="63">
        <f t="shared" si="411"/>
        <v>0.24513888888888891</v>
      </c>
      <c r="M1437" s="64">
        <v>0.25</v>
      </c>
      <c r="N1437" s="65" t="str">
        <f t="shared" si="412"/>
        <v>00:07:00</v>
      </c>
      <c r="O1437" s="66"/>
      <c r="P1437" s="124"/>
      <c r="Q1437" s="67"/>
      <c r="R1437" s="68"/>
      <c r="S1437" s="68"/>
      <c r="T1437" s="69">
        <f t="shared" si="393"/>
        <v>0</v>
      </c>
      <c r="U1437" s="61"/>
      <c r="V1437" s="83">
        <v>0</v>
      </c>
      <c r="W1437" s="61">
        <f t="shared" si="394"/>
        <v>0</v>
      </c>
      <c r="X1437" s="171">
        <v>46265.25277777778</v>
      </c>
      <c r="Y1437" s="171">
        <v>46265.497916666667</v>
      </c>
      <c r="Z1437" s="168">
        <f t="shared" si="395"/>
        <v>0.24513888888759539</v>
      </c>
      <c r="AA1437" s="169">
        <f t="shared" si="396"/>
        <v>0.25</v>
      </c>
      <c r="AB1437" s="170" t="str">
        <f t="shared" si="397"/>
        <v>00:07:00</v>
      </c>
      <c r="AC1437" s="170" t="b">
        <f t="shared" si="398"/>
        <v>1</v>
      </c>
    </row>
    <row r="1438" spans="1:29" s="128" customFormat="1" ht="9.75" hidden="1" customHeight="1" x14ac:dyDescent="0.3">
      <c r="A1438" s="99">
        <v>46265</v>
      </c>
      <c r="B1438" s="59">
        <v>8218177</v>
      </c>
      <c r="C1438" s="60" t="s">
        <v>175</v>
      </c>
      <c r="D1438" s="60" t="s">
        <v>306</v>
      </c>
      <c r="E1438" s="61">
        <v>0.95833333333333337</v>
      </c>
      <c r="F1438" s="60" t="s">
        <v>173</v>
      </c>
      <c r="G1438" s="71" t="s">
        <v>13</v>
      </c>
      <c r="H1438" s="62">
        <v>46265.951388888891</v>
      </c>
      <c r="I1438" s="113" t="str">
        <f t="shared" si="399"/>
        <v>31-08-2026T22:50:00</v>
      </c>
      <c r="J1438" s="62">
        <v>46267.815972222219</v>
      </c>
      <c r="K1438" s="62"/>
      <c r="L1438" s="63">
        <f t="shared" si="411"/>
        <v>1.8645833333284827</v>
      </c>
      <c r="M1438" s="64">
        <v>1.9166666666666667</v>
      </c>
      <c r="N1438" s="65" t="str">
        <f t="shared" si="412"/>
        <v>01:15:00</v>
      </c>
      <c r="O1438" s="66"/>
      <c r="P1438" s="124"/>
      <c r="Q1438" s="67" t="s">
        <v>96</v>
      </c>
      <c r="R1438" s="68">
        <v>46266.095833333333</v>
      </c>
      <c r="S1438" s="68">
        <v>46266.244444444441</v>
      </c>
      <c r="T1438" s="47">
        <f t="shared" si="393"/>
        <v>0.14861111110803904</v>
      </c>
      <c r="U1438" s="61"/>
      <c r="V1438" s="83">
        <v>8.3333333333333329E-2</v>
      </c>
      <c r="W1438" s="61">
        <f t="shared" si="394"/>
        <v>6.5277777774705711E-2</v>
      </c>
      <c r="X1438" s="172" t="s">
        <v>371</v>
      </c>
      <c r="Y1438" s="172" t="s">
        <v>371</v>
      </c>
      <c r="Z1438" s="173" t="e">
        <f t="shared" si="395"/>
        <v>#VALUE!</v>
      </c>
      <c r="AA1438" s="174">
        <f t="shared" si="396"/>
        <v>1.9166666666666667</v>
      </c>
      <c r="AB1438" s="175" t="e">
        <f t="shared" si="397"/>
        <v>#VALUE!</v>
      </c>
      <c r="AC1438" s="175" t="e">
        <f t="shared" si="398"/>
        <v>#VALUE!</v>
      </c>
    </row>
    <row r="1439" spans="1:29" ht="9.75" hidden="1" customHeight="1" x14ac:dyDescent="0.3">
      <c r="A1439" s="149">
        <v>46265</v>
      </c>
      <c r="B1439" s="150" t="s">
        <v>687</v>
      </c>
      <c r="C1439" s="151" t="s">
        <v>50</v>
      </c>
      <c r="D1439" s="151" t="s">
        <v>329</v>
      </c>
      <c r="E1439" s="152">
        <v>0</v>
      </c>
      <c r="F1439" s="151"/>
      <c r="G1439" s="153"/>
      <c r="H1439" s="154">
        <v>0</v>
      </c>
      <c r="I1439" s="113" t="str">
        <f t="shared" si="399"/>
        <v>31-08-2026T00:00:00</v>
      </c>
      <c r="J1439" s="154">
        <v>0</v>
      </c>
      <c r="K1439" s="154"/>
      <c r="L1439" s="155">
        <v>0</v>
      </c>
      <c r="M1439" s="160">
        <v>0</v>
      </c>
      <c r="N1439" s="156">
        <v>0</v>
      </c>
      <c r="O1439" s="157"/>
      <c r="P1439" s="158" t="s">
        <v>480</v>
      </c>
      <c r="Q1439" s="159" t="s">
        <v>480</v>
      </c>
      <c r="R1439" s="148" t="s">
        <v>480</v>
      </c>
      <c r="S1439" s="148" t="s">
        <v>480</v>
      </c>
      <c r="T1439" s="161" t="s">
        <v>480</v>
      </c>
      <c r="U1439" s="152" t="s">
        <v>480</v>
      </c>
      <c r="V1439" s="146" t="s">
        <v>480</v>
      </c>
      <c r="W1439" s="152" t="s">
        <v>480</v>
      </c>
      <c r="X1439" s="171" t="s">
        <v>668</v>
      </c>
      <c r="Y1439" s="171" t="s">
        <v>668</v>
      </c>
      <c r="Z1439" s="168" t="e">
        <f t="shared" si="395"/>
        <v>#VALUE!</v>
      </c>
      <c r="AA1439" s="169">
        <f t="shared" si="396"/>
        <v>0</v>
      </c>
      <c r="AB1439" s="170" t="e">
        <f t="shared" si="397"/>
        <v>#VALUE!</v>
      </c>
      <c r="AC1439" s="170" t="e">
        <f t="shared" si="398"/>
        <v>#VALUE!</v>
      </c>
    </row>
    <row r="1440" spans="1:29" s="144" customFormat="1" ht="9.75" hidden="1" customHeight="1" x14ac:dyDescent="0.3">
      <c r="A1440" s="201">
        <v>46266</v>
      </c>
      <c r="B1440" s="202">
        <v>8219106</v>
      </c>
      <c r="C1440" s="203" t="s">
        <v>37</v>
      </c>
      <c r="D1440" s="203" t="s">
        <v>466</v>
      </c>
      <c r="E1440" s="204">
        <v>0.27083333333333331</v>
      </c>
      <c r="F1440" s="203" t="s">
        <v>14</v>
      </c>
      <c r="G1440" s="205" t="s">
        <v>13</v>
      </c>
      <c r="H1440" s="206">
        <v>0.27013888888888887</v>
      </c>
      <c r="I1440" s="113" t="str">
        <f t="shared" si="399"/>
        <v>01-09-2026T06:29:00</v>
      </c>
      <c r="J1440" s="206">
        <v>0.90694444444444444</v>
      </c>
      <c r="K1440" s="206"/>
      <c r="L1440" s="207">
        <f t="shared" ref="L1440:L1451" si="413">J1440-H1440</f>
        <v>0.63680555555555562</v>
      </c>
      <c r="M1440" s="208">
        <v>0.625</v>
      </c>
      <c r="N1440" s="209" t="str">
        <f t="shared" ref="N1440:N1455" si="414">IF(M1440-L1440&gt;0,TEXT(M1440-L1440,"HH:MM:SS"),TEXT(ABS(M1440-L1440),"-HH:MM:SS"))</f>
        <v>-00:17:00</v>
      </c>
      <c r="O1440" s="210"/>
      <c r="P1440" s="211" t="s">
        <v>455</v>
      </c>
      <c r="Q1440" s="212" t="s">
        <v>204</v>
      </c>
      <c r="R1440" s="213">
        <v>0.375</v>
      </c>
      <c r="S1440" s="213">
        <v>0.45902777777777776</v>
      </c>
      <c r="T1440" s="214">
        <f t="shared" ref="T1440:T1451" si="415">S1440-R1440</f>
        <v>8.4027777777777757E-2</v>
      </c>
      <c r="U1440" s="204"/>
      <c r="V1440" s="215">
        <v>6.25E-2</v>
      </c>
      <c r="W1440" s="204">
        <f t="shared" ref="W1440:W1451" si="416">T1440-V1440</f>
        <v>2.1527777777777757E-2</v>
      </c>
      <c r="X1440" s="216"/>
      <c r="Y1440" s="216"/>
      <c r="Z1440" s="217">
        <f t="shared" ref="Z1440:Z1451" si="417">Y1440-X1440</f>
        <v>0</v>
      </c>
      <c r="AA1440" s="218">
        <f t="shared" ref="AA1440:AA1451" si="418">M1440</f>
        <v>0.625</v>
      </c>
      <c r="AB1440" s="219" t="str">
        <f t="shared" ref="AB1440:AB1451" si="419">IF(AA1440-Z1440&gt;0,TEXT(AA1440-Z1440,"HH:MM:SS"),TEXT(ABS(AA1440-Z1440),"-HH:MM:SS"))</f>
        <v>15:00:00</v>
      </c>
      <c r="AC1440" s="219" t="b">
        <f t="shared" ref="AC1440:AC1451" si="420">AB1440=N1440</f>
        <v>0</v>
      </c>
    </row>
    <row r="1441" spans="1:29" s="144" customFormat="1" ht="9.75" hidden="1" customHeight="1" x14ac:dyDescent="0.3">
      <c r="A1441" s="201">
        <v>46266</v>
      </c>
      <c r="B1441" s="202">
        <v>8219366</v>
      </c>
      <c r="C1441" s="203" t="s">
        <v>48</v>
      </c>
      <c r="D1441" s="203" t="s">
        <v>183</v>
      </c>
      <c r="E1441" s="204">
        <v>0.375</v>
      </c>
      <c r="F1441" s="203" t="s">
        <v>49</v>
      </c>
      <c r="G1441" s="205" t="s">
        <v>13</v>
      </c>
      <c r="H1441" s="206">
        <v>0.37638888888888888</v>
      </c>
      <c r="I1441" s="113" t="str">
        <f t="shared" si="399"/>
        <v>01-09-2026T09:02:00</v>
      </c>
      <c r="J1441" s="206">
        <v>0.97986111111111107</v>
      </c>
      <c r="K1441" s="206"/>
      <c r="L1441" s="207">
        <f t="shared" si="413"/>
        <v>0.60347222222222219</v>
      </c>
      <c r="M1441" s="208">
        <v>0.58333333333333337</v>
      </c>
      <c r="N1441" s="209" t="str">
        <f t="shared" si="414"/>
        <v>-00:29:00</v>
      </c>
      <c r="O1441" s="210"/>
      <c r="P1441" s="211" t="s">
        <v>761</v>
      </c>
      <c r="Q1441" s="212" t="s">
        <v>13</v>
      </c>
      <c r="R1441" s="213">
        <v>0.8618055555555556</v>
      </c>
      <c r="S1441" s="213">
        <v>0.97777777777777775</v>
      </c>
      <c r="T1441" s="214">
        <f t="shared" si="415"/>
        <v>0.11597222222222214</v>
      </c>
      <c r="U1441" s="204"/>
      <c r="V1441" s="215">
        <v>8.3333333333333329E-2</v>
      </c>
      <c r="W1441" s="204">
        <f t="shared" si="416"/>
        <v>3.2638888888888815E-2</v>
      </c>
      <c r="X1441" s="216"/>
      <c r="Y1441" s="216"/>
      <c r="Z1441" s="217">
        <f t="shared" si="417"/>
        <v>0</v>
      </c>
      <c r="AA1441" s="218">
        <f t="shared" si="418"/>
        <v>0.58333333333333337</v>
      </c>
      <c r="AB1441" s="219" t="str">
        <f t="shared" si="419"/>
        <v>14:00:00</v>
      </c>
      <c r="AC1441" s="219" t="b">
        <f t="shared" si="420"/>
        <v>0</v>
      </c>
    </row>
    <row r="1442" spans="1:29" s="128" customFormat="1" ht="9.75" hidden="1" customHeight="1" x14ac:dyDescent="0.3">
      <c r="A1442" s="108">
        <v>46266</v>
      </c>
      <c r="B1442" s="109">
        <v>8218302</v>
      </c>
      <c r="C1442" s="110" t="s">
        <v>52</v>
      </c>
      <c r="D1442" s="110" t="s">
        <v>616</v>
      </c>
      <c r="E1442" s="111">
        <v>0.4375</v>
      </c>
      <c r="F1442" s="110" t="s">
        <v>15</v>
      </c>
      <c r="G1442" s="112" t="s">
        <v>13</v>
      </c>
      <c r="H1442" s="113">
        <v>2.0833333333333333E-3</v>
      </c>
      <c r="I1442" s="113" t="str">
        <f t="shared" si="399"/>
        <v>01-09-2026T00:03:00</v>
      </c>
      <c r="J1442" s="113">
        <v>0.20347222222222222</v>
      </c>
      <c r="K1442" s="113"/>
      <c r="L1442" s="114">
        <f t="shared" si="413"/>
        <v>0.2013888888888889</v>
      </c>
      <c r="M1442" s="115">
        <v>0.20833333333333334</v>
      </c>
      <c r="N1442" s="116" t="str">
        <f t="shared" si="414"/>
        <v>00:10:00</v>
      </c>
      <c r="O1442" s="117"/>
      <c r="P1442" s="123"/>
      <c r="Q1442" s="118"/>
      <c r="R1442" s="119"/>
      <c r="S1442" s="119"/>
      <c r="T1442" s="120">
        <f t="shared" si="415"/>
        <v>0</v>
      </c>
      <c r="U1442" s="111" t="s">
        <v>234</v>
      </c>
      <c r="V1442" s="121">
        <v>0</v>
      </c>
      <c r="W1442" s="111">
        <f t="shared" si="416"/>
        <v>0</v>
      </c>
      <c r="X1442" s="172"/>
      <c r="Y1442" s="172"/>
      <c r="Z1442" s="198">
        <f t="shared" si="417"/>
        <v>0</v>
      </c>
      <c r="AA1442" s="199">
        <f t="shared" si="418"/>
        <v>0.20833333333333334</v>
      </c>
      <c r="AB1442" s="200" t="str">
        <f t="shared" si="419"/>
        <v>05:00:00</v>
      </c>
      <c r="AC1442" s="200" t="b">
        <f t="shared" si="420"/>
        <v>0</v>
      </c>
    </row>
    <row r="1443" spans="1:29" s="128" customFormat="1" ht="9.75" hidden="1" customHeight="1" x14ac:dyDescent="0.3">
      <c r="A1443" s="108">
        <v>46266</v>
      </c>
      <c r="B1443" s="109">
        <v>8219223</v>
      </c>
      <c r="C1443" s="110" t="s">
        <v>56</v>
      </c>
      <c r="D1443" s="110" t="s">
        <v>735</v>
      </c>
      <c r="E1443" s="111">
        <v>0.3125</v>
      </c>
      <c r="F1443" s="110" t="s">
        <v>15</v>
      </c>
      <c r="G1443" s="112" t="s">
        <v>13</v>
      </c>
      <c r="H1443" s="113">
        <v>0.31041666666666667</v>
      </c>
      <c r="I1443" s="113" t="str">
        <f t="shared" si="399"/>
        <v>01-09-2026T07:27:00</v>
      </c>
      <c r="J1443" s="113">
        <v>0.5541666666666667</v>
      </c>
      <c r="K1443" s="113"/>
      <c r="L1443" s="114">
        <f t="shared" si="413"/>
        <v>0.24375000000000002</v>
      </c>
      <c r="M1443" s="115">
        <v>0.25</v>
      </c>
      <c r="N1443" s="116" t="str">
        <f t="shared" si="414"/>
        <v>00:09:00</v>
      </c>
      <c r="O1443" s="117"/>
      <c r="P1443" s="123"/>
      <c r="Q1443" s="118" t="s">
        <v>205</v>
      </c>
      <c r="R1443" s="119">
        <v>0.39166666666666666</v>
      </c>
      <c r="S1443" s="119">
        <v>0.43055555555555558</v>
      </c>
      <c r="T1443" s="120">
        <f t="shared" si="415"/>
        <v>3.8888888888888917E-2</v>
      </c>
      <c r="U1443" s="111"/>
      <c r="V1443" s="121">
        <v>4.1666666666666664E-2</v>
      </c>
      <c r="W1443" s="111">
        <f t="shared" si="416"/>
        <v>-2.7777777777777471E-3</v>
      </c>
      <c r="X1443" s="172"/>
      <c r="Y1443" s="172"/>
      <c r="Z1443" s="198">
        <f t="shared" si="417"/>
        <v>0</v>
      </c>
      <c r="AA1443" s="199">
        <f t="shared" si="418"/>
        <v>0.25</v>
      </c>
      <c r="AB1443" s="200" t="str">
        <f t="shared" si="419"/>
        <v>06:00:00</v>
      </c>
      <c r="AC1443" s="200" t="b">
        <f t="shared" si="420"/>
        <v>0</v>
      </c>
    </row>
    <row r="1444" spans="1:29" s="128" customFormat="1" ht="9.75" hidden="1" customHeight="1" x14ac:dyDescent="0.3">
      <c r="A1444" s="108">
        <v>46266</v>
      </c>
      <c r="B1444" s="109">
        <v>8218544</v>
      </c>
      <c r="C1444" s="110" t="s">
        <v>97</v>
      </c>
      <c r="D1444" s="110" t="s">
        <v>762</v>
      </c>
      <c r="E1444" s="111">
        <v>0.125</v>
      </c>
      <c r="F1444" s="110" t="s">
        <v>23</v>
      </c>
      <c r="G1444" s="112" t="s">
        <v>13</v>
      </c>
      <c r="H1444" s="113">
        <v>46266.126388888886</v>
      </c>
      <c r="I1444" s="113" t="str">
        <f t="shared" si="399"/>
        <v>01-09-2026T03:02:00</v>
      </c>
      <c r="J1444" s="113">
        <v>46267.163194444445</v>
      </c>
      <c r="K1444" s="113"/>
      <c r="L1444" s="114">
        <f t="shared" si="413"/>
        <v>1.0368055555591127</v>
      </c>
      <c r="M1444" s="115">
        <v>1.0833333333333333</v>
      </c>
      <c r="N1444" s="116" t="str">
        <f t="shared" si="414"/>
        <v>01:07:00</v>
      </c>
      <c r="O1444" s="117"/>
      <c r="P1444" s="123" t="s">
        <v>763</v>
      </c>
      <c r="Q1444" s="118" t="s">
        <v>13</v>
      </c>
      <c r="R1444" s="119">
        <v>46267.111111111109</v>
      </c>
      <c r="S1444" s="119">
        <v>46267.15625</v>
      </c>
      <c r="T1444" s="120">
        <f t="shared" si="415"/>
        <v>4.5138888890505768E-2</v>
      </c>
      <c r="U1444" s="111"/>
      <c r="V1444" s="121">
        <v>8.3333333333333329E-2</v>
      </c>
      <c r="W1444" s="111">
        <f t="shared" si="416"/>
        <v>-3.819444444282756E-2</v>
      </c>
      <c r="X1444" s="172"/>
      <c r="Y1444" s="172"/>
      <c r="Z1444" s="198">
        <f t="shared" si="417"/>
        <v>0</v>
      </c>
      <c r="AA1444" s="199">
        <f t="shared" si="418"/>
        <v>1.0833333333333333</v>
      </c>
      <c r="AB1444" s="200" t="str">
        <f t="shared" si="419"/>
        <v>02:00:00</v>
      </c>
      <c r="AC1444" s="200" t="b">
        <f t="shared" si="420"/>
        <v>0</v>
      </c>
    </row>
    <row r="1445" spans="1:29" s="128" customFormat="1" ht="9.75" hidden="1" customHeight="1" x14ac:dyDescent="0.3">
      <c r="A1445" s="108">
        <v>46266</v>
      </c>
      <c r="B1445" s="109">
        <v>8219276</v>
      </c>
      <c r="C1445" s="110" t="s">
        <v>57</v>
      </c>
      <c r="D1445" s="110" t="s">
        <v>370</v>
      </c>
      <c r="E1445" s="111">
        <v>0.125</v>
      </c>
      <c r="F1445" s="110" t="s">
        <v>24</v>
      </c>
      <c r="G1445" s="112" t="s">
        <v>13</v>
      </c>
      <c r="H1445" s="113">
        <v>0.33611111111111114</v>
      </c>
      <c r="I1445" s="113" t="str">
        <f t="shared" si="399"/>
        <v>01-09-2026T08:04:00</v>
      </c>
      <c r="J1445" s="113">
        <v>0.40277777777777779</v>
      </c>
      <c r="K1445" s="113"/>
      <c r="L1445" s="114">
        <f t="shared" si="413"/>
        <v>6.6666666666666652E-2</v>
      </c>
      <c r="M1445" s="115">
        <v>8.3333333333333329E-2</v>
      </c>
      <c r="N1445" s="116" t="str">
        <f t="shared" si="414"/>
        <v>00:24:00</v>
      </c>
      <c r="O1445" s="117"/>
      <c r="P1445" s="123"/>
      <c r="Q1445" s="118"/>
      <c r="R1445" s="119"/>
      <c r="S1445" s="119"/>
      <c r="T1445" s="120">
        <f t="shared" si="415"/>
        <v>0</v>
      </c>
      <c r="U1445" s="111" t="s">
        <v>234</v>
      </c>
      <c r="V1445" s="121">
        <v>0</v>
      </c>
      <c r="W1445" s="111">
        <f t="shared" si="416"/>
        <v>0</v>
      </c>
      <c r="X1445" s="172"/>
      <c r="Y1445" s="172"/>
      <c r="Z1445" s="198">
        <f t="shared" si="417"/>
        <v>0</v>
      </c>
      <c r="AA1445" s="199">
        <f t="shared" si="418"/>
        <v>8.3333333333333329E-2</v>
      </c>
      <c r="AB1445" s="200" t="str">
        <f t="shared" si="419"/>
        <v>02:00:00</v>
      </c>
      <c r="AC1445" s="200" t="b">
        <f t="shared" si="420"/>
        <v>0</v>
      </c>
    </row>
    <row r="1446" spans="1:29" s="127" customFormat="1" ht="9.75" hidden="1" customHeight="1" x14ac:dyDescent="0.3">
      <c r="A1446" s="181">
        <v>46266</v>
      </c>
      <c r="B1446" s="182">
        <v>8219064</v>
      </c>
      <c r="C1446" s="183" t="s">
        <v>34</v>
      </c>
      <c r="D1446" s="183" t="s">
        <v>654</v>
      </c>
      <c r="E1446" s="184">
        <v>0.27083333333333331</v>
      </c>
      <c r="F1446" s="183" t="s">
        <v>103</v>
      </c>
      <c r="G1446" s="185" t="s">
        <v>13</v>
      </c>
      <c r="H1446" s="186">
        <v>0.2638888888888889</v>
      </c>
      <c r="I1446" s="113" t="str">
        <f t="shared" si="399"/>
        <v>01-09-2026T06:20:00</v>
      </c>
      <c r="J1446" s="186">
        <v>46267.204861111109</v>
      </c>
      <c r="K1446" s="186"/>
      <c r="L1446" s="187">
        <f t="shared" si="413"/>
        <v>46266.940972222219</v>
      </c>
      <c r="M1446" s="188">
        <v>0.70833333333333337</v>
      </c>
      <c r="N1446" s="189" t="str">
        <f t="shared" si="414"/>
        <v>-05:35:00</v>
      </c>
      <c r="O1446" s="55">
        <v>1250</v>
      </c>
      <c r="P1446" s="190" t="s">
        <v>771</v>
      </c>
      <c r="Q1446" s="191" t="s">
        <v>13</v>
      </c>
      <c r="R1446" s="192">
        <v>46267.06527777778</v>
      </c>
      <c r="S1446" s="192">
        <v>46267.201388888891</v>
      </c>
      <c r="T1446" s="176">
        <f t="shared" si="415"/>
        <v>0.13611111111094942</v>
      </c>
      <c r="U1446" s="184"/>
      <c r="V1446" s="194">
        <v>8.3333333333333329E-2</v>
      </c>
      <c r="W1446" s="184">
        <f t="shared" si="416"/>
        <v>5.2777777777616094E-2</v>
      </c>
      <c r="X1446" s="177"/>
      <c r="Y1446" s="177"/>
      <c r="Z1446" s="195">
        <f t="shared" si="417"/>
        <v>0</v>
      </c>
      <c r="AA1446" s="196">
        <f t="shared" si="418"/>
        <v>0.70833333333333337</v>
      </c>
      <c r="AB1446" s="197" t="str">
        <f t="shared" si="419"/>
        <v>17:00:00</v>
      </c>
      <c r="AC1446" s="197" t="b">
        <f t="shared" si="420"/>
        <v>0</v>
      </c>
    </row>
    <row r="1447" spans="1:29" s="127" customFormat="1" ht="9.75" hidden="1" customHeight="1" x14ac:dyDescent="0.3">
      <c r="A1447" s="181">
        <v>46266</v>
      </c>
      <c r="B1447" s="182">
        <v>8220226</v>
      </c>
      <c r="C1447" s="183" t="s">
        <v>40</v>
      </c>
      <c r="D1447" s="183" t="s">
        <v>390</v>
      </c>
      <c r="E1447" s="184">
        <v>0.16666666666666666</v>
      </c>
      <c r="F1447" s="183" t="s">
        <v>31</v>
      </c>
      <c r="G1447" s="185" t="s">
        <v>13</v>
      </c>
      <c r="H1447" s="186">
        <v>0.68680555555555556</v>
      </c>
      <c r="I1447" s="113" t="str">
        <f t="shared" si="399"/>
        <v>01-09-2026T16:29:00</v>
      </c>
      <c r="J1447" s="186">
        <v>46267.443749999999</v>
      </c>
      <c r="K1447" s="186"/>
      <c r="L1447" s="187">
        <f t="shared" si="413"/>
        <v>46266.756944444445</v>
      </c>
      <c r="M1447" s="53">
        <v>0.70833333333333337</v>
      </c>
      <c r="N1447" s="189" t="str">
        <f t="shared" si="414"/>
        <v>-01:10:00</v>
      </c>
      <c r="O1447" s="55">
        <v>400</v>
      </c>
      <c r="P1447" s="190" t="s">
        <v>768</v>
      </c>
      <c r="Q1447" s="191" t="s">
        <v>13</v>
      </c>
      <c r="R1447" s="192"/>
      <c r="S1447" s="192"/>
      <c r="T1447" s="193">
        <f t="shared" si="415"/>
        <v>0</v>
      </c>
      <c r="U1447" s="184"/>
      <c r="V1447" s="194">
        <v>0</v>
      </c>
      <c r="W1447" s="184">
        <f t="shared" si="416"/>
        <v>0</v>
      </c>
      <c r="X1447" s="177"/>
      <c r="Y1447" s="177"/>
      <c r="Z1447" s="195">
        <f t="shared" si="417"/>
        <v>0</v>
      </c>
      <c r="AA1447" s="196">
        <f t="shared" si="418"/>
        <v>0.70833333333333337</v>
      </c>
      <c r="AB1447" s="197" t="str">
        <f t="shared" si="419"/>
        <v>17:00:00</v>
      </c>
      <c r="AC1447" s="197" t="b">
        <f t="shared" si="420"/>
        <v>0</v>
      </c>
    </row>
    <row r="1448" spans="1:29" s="127" customFormat="1" ht="9.75" hidden="1" customHeight="1" x14ac:dyDescent="0.3">
      <c r="A1448" s="181">
        <v>46266</v>
      </c>
      <c r="B1448" s="182">
        <v>8218515</v>
      </c>
      <c r="C1448" s="183" t="s">
        <v>54</v>
      </c>
      <c r="D1448" s="183" t="s">
        <v>288</v>
      </c>
      <c r="E1448" s="184">
        <v>0.125</v>
      </c>
      <c r="F1448" s="183" t="s">
        <v>24</v>
      </c>
      <c r="G1448" s="185" t="s">
        <v>13</v>
      </c>
      <c r="H1448" s="186">
        <v>0.12013888888888889</v>
      </c>
      <c r="I1448" s="113" t="str">
        <f t="shared" si="399"/>
        <v>01-09-2026T02:53:00</v>
      </c>
      <c r="J1448" s="186">
        <v>0.22152777777777777</v>
      </c>
      <c r="K1448" s="186"/>
      <c r="L1448" s="187">
        <f t="shared" si="413"/>
        <v>0.10138888888888888</v>
      </c>
      <c r="M1448" s="188">
        <v>8.3333333333333329E-2</v>
      </c>
      <c r="N1448" s="189" t="str">
        <f t="shared" si="414"/>
        <v>-00:26:00</v>
      </c>
      <c r="O1448" s="55">
        <v>250</v>
      </c>
      <c r="P1448" s="190" t="s">
        <v>764</v>
      </c>
      <c r="Q1448" s="191"/>
      <c r="R1448" s="192"/>
      <c r="S1448" s="192"/>
      <c r="T1448" s="193">
        <f t="shared" si="415"/>
        <v>0</v>
      </c>
      <c r="U1448" s="184"/>
      <c r="V1448" s="194">
        <v>0</v>
      </c>
      <c r="W1448" s="184">
        <f t="shared" si="416"/>
        <v>0</v>
      </c>
      <c r="X1448" s="177"/>
      <c r="Y1448" s="177"/>
      <c r="Z1448" s="195">
        <f t="shared" si="417"/>
        <v>0</v>
      </c>
      <c r="AA1448" s="196">
        <f t="shared" si="418"/>
        <v>8.3333333333333329E-2</v>
      </c>
      <c r="AB1448" s="197" t="str">
        <f t="shared" si="419"/>
        <v>02:00:00</v>
      </c>
      <c r="AC1448" s="197" t="b">
        <f t="shared" si="420"/>
        <v>0</v>
      </c>
    </row>
    <row r="1449" spans="1:29" s="128" customFormat="1" ht="9.75" hidden="1" customHeight="1" x14ac:dyDescent="0.3">
      <c r="A1449" s="108">
        <v>46266</v>
      </c>
      <c r="B1449" s="109">
        <v>8219337</v>
      </c>
      <c r="C1449" s="110" t="s">
        <v>99</v>
      </c>
      <c r="D1449" s="110" t="s">
        <v>375</v>
      </c>
      <c r="E1449" s="111">
        <v>0.27083333333333331</v>
      </c>
      <c r="F1449" s="110" t="s">
        <v>103</v>
      </c>
      <c r="G1449" s="112" t="s">
        <v>13</v>
      </c>
      <c r="H1449" s="113">
        <v>46266.370138888888</v>
      </c>
      <c r="I1449" s="113" t="str">
        <f t="shared" si="399"/>
        <v>01-09-2026T08:53:00</v>
      </c>
      <c r="J1449" s="113">
        <v>46267.010416666664</v>
      </c>
      <c r="K1449" s="113"/>
      <c r="L1449" s="114">
        <f t="shared" si="413"/>
        <v>0.64027777777664596</v>
      </c>
      <c r="M1449" s="115">
        <v>0.70833333333333337</v>
      </c>
      <c r="N1449" s="116" t="str">
        <f t="shared" si="414"/>
        <v>01:38:00</v>
      </c>
      <c r="O1449" s="117"/>
      <c r="P1449" s="123"/>
      <c r="Q1449" s="118" t="s">
        <v>13</v>
      </c>
      <c r="R1449" s="119">
        <v>46266.963888888888</v>
      </c>
      <c r="S1449" s="119">
        <v>46267</v>
      </c>
      <c r="T1449" s="120">
        <f t="shared" si="415"/>
        <v>3.6111111112404615E-2</v>
      </c>
      <c r="U1449" s="111"/>
      <c r="V1449" s="121">
        <v>8.3333333333333329E-2</v>
      </c>
      <c r="W1449" s="111">
        <f t="shared" si="416"/>
        <v>-4.7222222220928714E-2</v>
      </c>
      <c r="X1449" s="172"/>
      <c r="Y1449" s="172"/>
      <c r="Z1449" s="198">
        <f t="shared" si="417"/>
        <v>0</v>
      </c>
      <c r="AA1449" s="199">
        <f t="shared" si="418"/>
        <v>0.70833333333333337</v>
      </c>
      <c r="AB1449" s="200" t="str">
        <f t="shared" si="419"/>
        <v>17:00:00</v>
      </c>
      <c r="AC1449" s="200" t="b">
        <f t="shared" si="420"/>
        <v>0</v>
      </c>
    </row>
    <row r="1450" spans="1:29" s="128" customFormat="1" ht="9.75" hidden="1" customHeight="1" x14ac:dyDescent="0.3">
      <c r="A1450" s="108">
        <v>46266</v>
      </c>
      <c r="B1450" s="109">
        <v>8218702</v>
      </c>
      <c r="C1450" s="110" t="s">
        <v>16</v>
      </c>
      <c r="D1450" s="110" t="s">
        <v>765</v>
      </c>
      <c r="E1450" s="111">
        <v>0.16666666666666666</v>
      </c>
      <c r="F1450" s="110" t="s">
        <v>17</v>
      </c>
      <c r="G1450" s="112" t="s">
        <v>15</v>
      </c>
      <c r="H1450" s="113">
        <v>0.17569444444444443</v>
      </c>
      <c r="I1450" s="113" t="str">
        <f t="shared" si="399"/>
        <v>01-09-2026T04:13:00</v>
      </c>
      <c r="J1450" s="113">
        <v>0.66666666666666663</v>
      </c>
      <c r="K1450" s="113"/>
      <c r="L1450" s="114">
        <f t="shared" si="413"/>
        <v>0.4909722222222222</v>
      </c>
      <c r="M1450" s="115">
        <v>0.5</v>
      </c>
      <c r="N1450" s="116" t="str">
        <f t="shared" si="414"/>
        <v>00:13:00</v>
      </c>
      <c r="O1450" s="117"/>
      <c r="P1450" s="123"/>
      <c r="Q1450" s="118" t="s">
        <v>98</v>
      </c>
      <c r="R1450" s="119">
        <v>0.38541666666666669</v>
      </c>
      <c r="S1450" s="119">
        <v>0.4597222222222222</v>
      </c>
      <c r="T1450" s="120">
        <f t="shared" si="415"/>
        <v>7.4305555555555514E-2</v>
      </c>
      <c r="U1450" s="111" t="s">
        <v>234</v>
      </c>
      <c r="V1450" s="121">
        <v>8.3333333333333329E-2</v>
      </c>
      <c r="W1450" s="111">
        <f t="shared" si="416"/>
        <v>-9.0277777777778151E-3</v>
      </c>
      <c r="X1450" s="172"/>
      <c r="Y1450" s="172"/>
      <c r="Z1450" s="198">
        <f t="shared" si="417"/>
        <v>0</v>
      </c>
      <c r="AA1450" s="199">
        <f t="shared" si="418"/>
        <v>0.5</v>
      </c>
      <c r="AB1450" s="200" t="str">
        <f t="shared" si="419"/>
        <v>12:00:00</v>
      </c>
      <c r="AC1450" s="200" t="b">
        <f t="shared" si="420"/>
        <v>0</v>
      </c>
    </row>
    <row r="1451" spans="1:29" s="144" customFormat="1" ht="9.75" hidden="1" customHeight="1" x14ac:dyDescent="0.3">
      <c r="A1451" s="201">
        <v>46266</v>
      </c>
      <c r="B1451" s="202">
        <v>8218744</v>
      </c>
      <c r="C1451" s="203" t="s">
        <v>82</v>
      </c>
      <c r="D1451" s="203" t="s">
        <v>333</v>
      </c>
      <c r="E1451" s="204">
        <v>0.20833333333333334</v>
      </c>
      <c r="F1451" s="203" t="s">
        <v>26</v>
      </c>
      <c r="G1451" s="205" t="s">
        <v>13</v>
      </c>
      <c r="H1451" s="206">
        <v>0.18888888888888888</v>
      </c>
      <c r="I1451" s="113" t="str">
        <f t="shared" si="399"/>
        <v>01-09-2026T04:32:00</v>
      </c>
      <c r="J1451" s="206">
        <v>0.68611111111111112</v>
      </c>
      <c r="K1451" s="206"/>
      <c r="L1451" s="207">
        <f t="shared" si="413"/>
        <v>0.49722222222222223</v>
      </c>
      <c r="M1451" s="208">
        <v>0.45833333333333331</v>
      </c>
      <c r="N1451" s="209" t="str">
        <f t="shared" si="414"/>
        <v>-00:56:00</v>
      </c>
      <c r="O1451" s="210"/>
      <c r="P1451" s="211" t="s">
        <v>761</v>
      </c>
      <c r="Q1451" s="212" t="s">
        <v>13</v>
      </c>
      <c r="R1451" s="213">
        <v>0.54305555555555551</v>
      </c>
      <c r="S1451" s="213">
        <v>0.68055555555555558</v>
      </c>
      <c r="T1451" s="214">
        <f t="shared" si="415"/>
        <v>0.13750000000000007</v>
      </c>
      <c r="U1451" s="204"/>
      <c r="V1451" s="215">
        <v>8.3333333333333329E-2</v>
      </c>
      <c r="W1451" s="204">
        <f t="shared" si="416"/>
        <v>5.4166666666666738E-2</v>
      </c>
      <c r="X1451" s="216"/>
      <c r="Y1451" s="216"/>
      <c r="Z1451" s="217">
        <f t="shared" si="417"/>
        <v>0</v>
      </c>
      <c r="AA1451" s="218">
        <f t="shared" si="418"/>
        <v>0.45833333333333331</v>
      </c>
      <c r="AB1451" s="219" t="str">
        <f t="shared" si="419"/>
        <v>11:00:00</v>
      </c>
      <c r="AC1451" s="219" t="b">
        <f t="shared" si="420"/>
        <v>0</v>
      </c>
    </row>
    <row r="1452" spans="1:29" s="128" customFormat="1" ht="9.75" hidden="1" customHeight="1" x14ac:dyDescent="0.3">
      <c r="A1452" s="99">
        <v>46267</v>
      </c>
      <c r="B1452" s="59">
        <v>8221467</v>
      </c>
      <c r="C1452" s="60" t="s">
        <v>94</v>
      </c>
      <c r="D1452" s="60" t="s">
        <v>293</v>
      </c>
      <c r="E1452" s="61">
        <v>0.125</v>
      </c>
      <c r="F1452" s="60" t="s">
        <v>23</v>
      </c>
      <c r="G1452" s="71" t="s">
        <v>13</v>
      </c>
      <c r="H1452" s="62">
        <v>46267.136111111111</v>
      </c>
      <c r="I1452" s="113" t="str">
        <f t="shared" si="399"/>
        <v>02-09-2026T03:16:00</v>
      </c>
      <c r="J1452" s="62">
        <v>46268.143055555556</v>
      </c>
      <c r="K1452" s="62"/>
      <c r="L1452" s="63">
        <v>6.9444444444444441E-3</v>
      </c>
      <c r="M1452" s="64">
        <v>1.0833333333333333</v>
      </c>
      <c r="N1452" s="65" t="str">
        <f t="shared" si="414"/>
        <v>01:50:00</v>
      </c>
      <c r="O1452" s="66"/>
      <c r="P1452" s="124"/>
      <c r="Q1452" s="67" t="s">
        <v>13</v>
      </c>
      <c r="R1452" s="68">
        <v>46268.113888888889</v>
      </c>
      <c r="S1452" s="68">
        <v>46268.137499999997</v>
      </c>
      <c r="T1452" s="69">
        <v>2.361111111111111E-2</v>
      </c>
      <c r="U1452" s="61"/>
      <c r="V1452" s="83"/>
      <c r="W1452" s="61"/>
      <c r="X1452" s="172"/>
      <c r="Y1452" s="172"/>
      <c r="Z1452" s="173"/>
      <c r="AA1452" s="174"/>
      <c r="AB1452" s="175"/>
      <c r="AC1452" s="175"/>
    </row>
    <row r="1453" spans="1:29" s="127" customFormat="1" ht="9.75" hidden="1" customHeight="1" x14ac:dyDescent="0.3">
      <c r="A1453" s="181">
        <v>46266</v>
      </c>
      <c r="B1453" s="182">
        <v>8219008</v>
      </c>
      <c r="C1453" s="183" t="s">
        <v>58</v>
      </c>
      <c r="D1453" s="183" t="s">
        <v>591</v>
      </c>
      <c r="E1453" s="184">
        <v>0.25</v>
      </c>
      <c r="F1453" s="183" t="s">
        <v>14</v>
      </c>
      <c r="G1453" s="185" t="s">
        <v>13</v>
      </c>
      <c r="H1453" s="186">
        <v>0.25</v>
      </c>
      <c r="I1453" s="113" t="str">
        <f t="shared" si="399"/>
        <v>01-09-2026T06:00:00</v>
      </c>
      <c r="J1453" s="186">
        <v>0.80208333333333337</v>
      </c>
      <c r="K1453" s="186"/>
      <c r="L1453" s="187">
        <f t="shared" ref="L1453:L1455" si="421">J1453-H1453</f>
        <v>0.55208333333333337</v>
      </c>
      <c r="M1453" s="188">
        <v>0.54166666666666663</v>
      </c>
      <c r="N1453" s="189" t="str">
        <f t="shared" si="414"/>
        <v>-00:15:00</v>
      </c>
      <c r="O1453" s="55">
        <v>250</v>
      </c>
      <c r="P1453" s="190" t="s">
        <v>767</v>
      </c>
      <c r="Q1453" s="191"/>
      <c r="R1453" s="192"/>
      <c r="S1453" s="192"/>
      <c r="T1453" s="193">
        <f t="shared" ref="T1453" si="422">S1453-R1453</f>
        <v>0</v>
      </c>
      <c r="U1453" s="184"/>
      <c r="V1453" s="194">
        <v>0</v>
      </c>
      <c r="W1453" s="184">
        <f t="shared" ref="W1453" si="423">T1453-V1453</f>
        <v>0</v>
      </c>
      <c r="X1453" s="177"/>
      <c r="Y1453" s="177"/>
      <c r="Z1453" s="195">
        <f t="shared" ref="Z1453" si="424">Y1453-X1453</f>
        <v>0</v>
      </c>
      <c r="AA1453" s="196">
        <f t="shared" ref="AA1453" si="425">M1453</f>
        <v>0.54166666666666663</v>
      </c>
      <c r="AB1453" s="197" t="str">
        <f t="shared" ref="AB1453" si="426">IF(AA1453-Z1453&gt;0,TEXT(AA1453-Z1453,"HH:MM:SS"),TEXT(ABS(AA1453-Z1453),"-HH:MM:SS"))</f>
        <v>13:00:00</v>
      </c>
      <c r="AC1453" s="197" t="b">
        <f t="shared" ref="AC1453" si="427">AB1453=N1453</f>
        <v>0</v>
      </c>
    </row>
    <row r="1454" spans="1:29" s="128" customFormat="1" ht="9.75" hidden="1" customHeight="1" x14ac:dyDescent="0.3">
      <c r="A1454" s="99">
        <v>46258</v>
      </c>
      <c r="B1454" s="59">
        <v>8197356</v>
      </c>
      <c r="C1454" s="60" t="s">
        <v>44</v>
      </c>
      <c r="D1454" s="60" t="s">
        <v>651</v>
      </c>
      <c r="E1454" s="61">
        <v>0.375</v>
      </c>
      <c r="F1454" s="60" t="s">
        <v>13</v>
      </c>
      <c r="G1454" s="71" t="s">
        <v>31</v>
      </c>
      <c r="H1454" s="62">
        <v>46258.375694444447</v>
      </c>
      <c r="I1454" s="113" t="str">
        <f t="shared" si="399"/>
        <v>24-08-2026T09:01:00</v>
      </c>
      <c r="J1454" s="62">
        <v>46259.121527777781</v>
      </c>
      <c r="K1454" s="62"/>
      <c r="L1454" s="63">
        <f t="shared" si="421"/>
        <v>0.74583333333430346</v>
      </c>
      <c r="M1454" s="64">
        <v>0.75</v>
      </c>
      <c r="N1454" s="65" t="str">
        <f t="shared" si="414"/>
        <v>00:06:00</v>
      </c>
      <c r="O1454" s="66"/>
      <c r="P1454" s="124" t="s">
        <v>782</v>
      </c>
      <c r="Q1454" s="67"/>
      <c r="R1454" s="68"/>
      <c r="S1454" s="68"/>
      <c r="T1454" s="69"/>
      <c r="U1454" s="61"/>
      <c r="V1454" s="83"/>
      <c r="W1454" s="61"/>
      <c r="X1454" s="172"/>
      <c r="Y1454" s="172"/>
      <c r="Z1454" s="173"/>
      <c r="AA1454" s="174"/>
      <c r="AB1454" s="175"/>
      <c r="AC1454" s="175"/>
    </row>
    <row r="1455" spans="1:29" s="127" customFormat="1" ht="9.75" hidden="1" customHeight="1" x14ac:dyDescent="0.3">
      <c r="A1455" s="98">
        <v>46259</v>
      </c>
      <c r="B1455" s="48">
        <v>8199996</v>
      </c>
      <c r="C1455" s="49" t="s">
        <v>44</v>
      </c>
      <c r="D1455" s="49" t="s">
        <v>651</v>
      </c>
      <c r="E1455" s="50">
        <v>0.41666666666666669</v>
      </c>
      <c r="F1455" s="49" t="s">
        <v>31</v>
      </c>
      <c r="G1455" s="70" t="s">
        <v>13</v>
      </c>
      <c r="H1455" s="51">
        <v>46259.424305555556</v>
      </c>
      <c r="I1455" s="113" t="str">
        <f t="shared" si="399"/>
        <v>25-08-2026T10:11:00</v>
      </c>
      <c r="J1455" s="51">
        <v>46260.259027777778</v>
      </c>
      <c r="K1455" s="51"/>
      <c r="L1455" s="52">
        <f t="shared" si="421"/>
        <v>0.83472222222189885</v>
      </c>
      <c r="M1455" s="53">
        <v>0.75</v>
      </c>
      <c r="N1455" s="54" t="str">
        <f t="shared" si="414"/>
        <v>-02:02:00</v>
      </c>
      <c r="O1455" s="55">
        <v>600</v>
      </c>
      <c r="P1455" s="147" t="s">
        <v>782</v>
      </c>
      <c r="Q1455" s="56"/>
      <c r="R1455" s="57"/>
      <c r="S1455" s="57"/>
      <c r="T1455" s="58"/>
      <c r="U1455" s="50"/>
      <c r="V1455" s="74"/>
      <c r="W1455" s="50"/>
      <c r="X1455" s="177"/>
      <c r="Y1455" s="177"/>
      <c r="Z1455" s="178"/>
      <c r="AA1455" s="179"/>
      <c r="AB1455" s="180"/>
      <c r="AC1455" s="180"/>
    </row>
    <row r="1456" spans="1:29" s="127" customFormat="1" ht="9.75" hidden="1" customHeight="1" x14ac:dyDescent="0.3">
      <c r="A1456" s="98">
        <v>46261</v>
      </c>
      <c r="B1456" s="48">
        <v>8205570</v>
      </c>
      <c r="C1456" s="49" t="s">
        <v>44</v>
      </c>
      <c r="D1456" s="49" t="s">
        <v>651</v>
      </c>
      <c r="E1456" s="50">
        <v>0.375</v>
      </c>
      <c r="F1456" s="49" t="s">
        <v>13</v>
      </c>
      <c r="G1456" s="70" t="s">
        <v>31</v>
      </c>
      <c r="H1456" s="51">
        <v>46261.375</v>
      </c>
      <c r="I1456" s="113" t="str">
        <f t="shared" si="399"/>
        <v>27-08-2026T09:00:00</v>
      </c>
      <c r="J1456" s="51">
        <v>46262.724305555559</v>
      </c>
      <c r="K1456" s="51"/>
      <c r="L1456" s="52">
        <f t="shared" ref="L1456:L1458" si="428">J1456-H1456</f>
        <v>1.3493055555591127</v>
      </c>
      <c r="M1456" s="53">
        <v>0.75</v>
      </c>
      <c r="N1456" s="54" t="str">
        <f t="shared" ref="N1456:N1458" si="429">IF(M1456-L1456&gt;0,TEXT(M1456-L1456,"HH:MM:SS"),TEXT(ABS(M1456-L1456),"-HH:MM:SS"))</f>
        <v>-14:23:00</v>
      </c>
      <c r="O1456" s="55">
        <f>200*16</f>
        <v>3200</v>
      </c>
      <c r="P1456" s="147" t="s">
        <v>791</v>
      </c>
      <c r="Q1456" s="56"/>
      <c r="R1456" s="57"/>
      <c r="S1456" s="57"/>
      <c r="T1456" s="58"/>
      <c r="U1456" s="50"/>
      <c r="V1456" s="74"/>
      <c r="W1456" s="50"/>
      <c r="X1456" s="177"/>
      <c r="Y1456" s="177"/>
      <c r="Z1456" s="178"/>
      <c r="AA1456" s="179"/>
      <c r="AB1456" s="180"/>
      <c r="AC1456" s="180"/>
    </row>
    <row r="1457" spans="1:29" s="127" customFormat="1" ht="9.75" hidden="1" customHeight="1" x14ac:dyDescent="0.3">
      <c r="A1457" s="98">
        <v>46262</v>
      </c>
      <c r="B1457" s="48">
        <v>8209918</v>
      </c>
      <c r="C1457" s="49" t="s">
        <v>44</v>
      </c>
      <c r="D1457" s="49" t="s">
        <v>651</v>
      </c>
      <c r="E1457" s="50">
        <v>0.41666666666666669</v>
      </c>
      <c r="F1457" s="49" t="s">
        <v>31</v>
      </c>
      <c r="G1457" s="70" t="s">
        <v>13</v>
      </c>
      <c r="H1457" s="51">
        <v>46262.925694444442</v>
      </c>
      <c r="I1457" s="113" t="str">
        <f t="shared" si="399"/>
        <v>28-08-2026T22:13:00</v>
      </c>
      <c r="J1457" s="51">
        <v>46263.741666666669</v>
      </c>
      <c r="K1457" s="51"/>
      <c r="L1457" s="52">
        <f t="shared" si="428"/>
        <v>0.81597222222626442</v>
      </c>
      <c r="M1457" s="53">
        <v>0.75</v>
      </c>
      <c r="N1457" s="54" t="str">
        <f t="shared" si="429"/>
        <v>-01:35:00</v>
      </c>
      <c r="O1457" s="55">
        <v>400</v>
      </c>
      <c r="P1457" s="147" t="s">
        <v>782</v>
      </c>
      <c r="Q1457" s="56"/>
      <c r="R1457" s="57"/>
      <c r="S1457" s="57"/>
      <c r="T1457" s="58"/>
      <c r="U1457" s="50"/>
      <c r="V1457" s="74"/>
      <c r="W1457" s="50"/>
      <c r="X1457" s="177"/>
      <c r="Y1457" s="177"/>
      <c r="Z1457" s="178"/>
      <c r="AA1457" s="179"/>
      <c r="AB1457" s="180"/>
      <c r="AC1457" s="180"/>
    </row>
    <row r="1458" spans="1:29" s="128" customFormat="1" ht="9.75" hidden="1" customHeight="1" x14ac:dyDescent="0.3">
      <c r="A1458" s="108">
        <v>46267</v>
      </c>
      <c r="B1458" s="109">
        <v>8224007</v>
      </c>
      <c r="C1458" s="110" t="s">
        <v>100</v>
      </c>
      <c r="D1458" s="110" t="s">
        <v>391</v>
      </c>
      <c r="E1458" s="111">
        <v>0.95833333333333337</v>
      </c>
      <c r="F1458" s="110" t="s">
        <v>173</v>
      </c>
      <c r="G1458" s="112" t="s">
        <v>13</v>
      </c>
      <c r="H1458" s="113">
        <v>46267.95</v>
      </c>
      <c r="I1458" s="113" t="str">
        <f t="shared" si="399"/>
        <v>02-09-2026T22:48:00</v>
      </c>
      <c r="J1458" s="113">
        <v>46269.819444444445</v>
      </c>
      <c r="K1458" s="113"/>
      <c r="L1458" s="114">
        <f t="shared" si="428"/>
        <v>1.8694444444481633</v>
      </c>
      <c r="M1458" s="115">
        <v>1.9166666666666667</v>
      </c>
      <c r="N1458" s="116" t="str">
        <f t="shared" si="429"/>
        <v>01:08:00</v>
      </c>
      <c r="O1458" s="117"/>
      <c r="P1458" s="123" t="s">
        <v>766</v>
      </c>
      <c r="Q1458" s="118" t="s">
        <v>96</v>
      </c>
      <c r="R1458" s="119">
        <v>46268.105555555558</v>
      </c>
      <c r="S1458" s="119">
        <v>46268.192361111112</v>
      </c>
      <c r="T1458" s="176">
        <f t="shared" ref="T1458" si="430">S1458-R1458</f>
        <v>8.6805555554747116E-2</v>
      </c>
      <c r="U1458" s="111"/>
      <c r="V1458" s="121">
        <v>8.3333333333333329E-2</v>
      </c>
      <c r="W1458" s="111">
        <f t="shared" ref="W1458" si="431">T1458-V1458</f>
        <v>3.4722222214137871E-3</v>
      </c>
      <c r="X1458" s="172"/>
      <c r="Y1458" s="172"/>
      <c r="Z1458" s="198">
        <f t="shared" ref="Z1458" si="432">Y1458-X1458</f>
        <v>0</v>
      </c>
      <c r="AA1458" s="199">
        <f t="shared" ref="AA1458" si="433">M1458</f>
        <v>1.9166666666666667</v>
      </c>
      <c r="AB1458" s="200" t="str">
        <f t="shared" ref="AB1458" si="434">IF(AA1458-Z1458&gt;0,TEXT(AA1458-Z1458,"HH:MM:SS"),TEXT(ABS(AA1458-Z1458),"-HH:MM:SS"))</f>
        <v>22:00:00</v>
      </c>
      <c r="AC1458" s="200" t="b">
        <f t="shared" ref="AC1458" si="435">AB1458=N1458</f>
        <v>0</v>
      </c>
    </row>
  </sheetData>
  <autoFilter ref="A2:AD1458" xr:uid="{00000000-0001-0000-0200-000000000000}">
    <filterColumn colId="2">
      <filters>
        <filter val="MP09BK2588"/>
      </filters>
    </filterColumn>
    <filterColumn colId="17">
      <customFilters>
        <customFilter operator="notEqual" val=" "/>
      </customFilters>
    </filterColumn>
  </autoFilter>
  <mergeCells count="2">
    <mergeCell ref="A1:W1"/>
    <mergeCell ref="X1:AC1"/>
  </mergeCells>
  <conditionalFormatting sqref="B2">
    <cfRule type="duplicateValues" dxfId="4015" priority="115797"/>
    <cfRule type="duplicateValues" dxfId="4014" priority="115798"/>
    <cfRule type="duplicateValues" dxfId="4013" priority="115799"/>
    <cfRule type="duplicateValues" dxfId="4012" priority="115800"/>
    <cfRule type="duplicateValues" dxfId="4011" priority="115801"/>
    <cfRule type="duplicateValues" dxfId="4010" priority="115802"/>
    <cfRule type="duplicateValues" dxfId="4009" priority="115803"/>
    <cfRule type="duplicateValues" dxfId="4008" priority="115804"/>
    <cfRule type="duplicateValues" dxfId="4007" priority="115805"/>
    <cfRule type="duplicateValues" dxfId="4006" priority="115806"/>
    <cfRule type="duplicateValues" dxfId="4005" priority="115807"/>
    <cfRule type="duplicateValues" dxfId="4004" priority="115808"/>
    <cfRule type="duplicateValues" dxfId="4003" priority="115809"/>
    <cfRule type="duplicateValues" dxfId="4002" priority="115810"/>
    <cfRule type="duplicateValues" dxfId="4001" priority="115811"/>
    <cfRule type="duplicateValues" dxfId="4000" priority="115812"/>
    <cfRule type="duplicateValues" dxfId="3999" priority="115813"/>
    <cfRule type="duplicateValues" dxfId="3998" priority="115814"/>
    <cfRule type="duplicateValues" dxfId="3997" priority="115815"/>
    <cfRule type="duplicateValues" dxfId="3996" priority="115816"/>
    <cfRule type="duplicateValues" dxfId="3995" priority="115817"/>
    <cfRule type="duplicateValues" dxfId="3994" priority="115818"/>
    <cfRule type="duplicateValues" dxfId="3993" priority="115819"/>
    <cfRule type="duplicateValues" dxfId="3992" priority="115820"/>
    <cfRule type="duplicateValues" dxfId="3991" priority="115821"/>
    <cfRule type="duplicateValues" dxfId="3990" priority="115822"/>
    <cfRule type="duplicateValues" dxfId="3989" priority="115823"/>
    <cfRule type="duplicateValues" dxfId="3988" priority="115824"/>
    <cfRule type="duplicateValues" dxfId="3987" priority="115825"/>
    <cfRule type="duplicateValues" dxfId="3986" priority="115826"/>
    <cfRule type="duplicateValues" dxfId="3985" priority="115827"/>
  </conditionalFormatting>
  <conditionalFormatting sqref="B3:B1439">
    <cfRule type="duplicateValues" dxfId="3984" priority="195673"/>
    <cfRule type="duplicateValues" dxfId="3983" priority="195674"/>
    <cfRule type="duplicateValues" dxfId="3982" priority="195675"/>
    <cfRule type="duplicateValues" dxfId="3981" priority="195676"/>
    <cfRule type="duplicateValues" dxfId="3980" priority="195677"/>
    <cfRule type="duplicateValues" dxfId="3979" priority="195678"/>
    <cfRule type="duplicateValues" dxfId="3978" priority="195679"/>
    <cfRule type="duplicateValues" dxfId="3977" priority="195680"/>
    <cfRule type="duplicateValues" dxfId="3976" priority="195681"/>
    <cfRule type="duplicateValues" dxfId="3975" priority="195682"/>
    <cfRule type="duplicateValues" dxfId="3974" priority="195683"/>
    <cfRule type="duplicateValues" dxfId="3973" priority="195684"/>
    <cfRule type="duplicateValues" dxfId="3972" priority="195685"/>
    <cfRule type="duplicateValues" dxfId="3971" priority="195686"/>
    <cfRule type="duplicateValues" dxfId="3970" priority="195687"/>
    <cfRule type="duplicateValues" dxfId="3969" priority="195688"/>
    <cfRule type="duplicateValues" dxfId="3968" priority="195689"/>
    <cfRule type="duplicateValues" dxfId="3967" priority="195690"/>
    <cfRule type="duplicateValues" dxfId="3966" priority="195691"/>
    <cfRule type="duplicateValues" dxfId="3965" priority="195692"/>
    <cfRule type="duplicateValues" dxfId="3964" priority="195693"/>
    <cfRule type="duplicateValues" dxfId="3963" priority="195694"/>
    <cfRule type="duplicateValues" dxfId="3962" priority="195695"/>
    <cfRule type="duplicateValues" dxfId="3961" priority="195696"/>
    <cfRule type="duplicateValues" dxfId="3960" priority="195697"/>
    <cfRule type="duplicateValues" dxfId="3959" priority="195698"/>
    <cfRule type="duplicateValues" dxfId="3958" priority="195699"/>
    <cfRule type="duplicateValues" dxfId="3957" priority="195700"/>
    <cfRule type="duplicateValues" dxfId="3956" priority="195701"/>
    <cfRule type="duplicateValues" dxfId="3955" priority="195702"/>
    <cfRule type="duplicateValues" dxfId="3954" priority="195703"/>
  </conditionalFormatting>
  <conditionalFormatting sqref="B1440">
    <cfRule type="duplicateValues" dxfId="3953" priority="906"/>
    <cfRule type="duplicateValues" dxfId="3952" priority="907"/>
    <cfRule type="duplicateValues" dxfId="3951" priority="908"/>
    <cfRule type="duplicateValues" dxfId="3950" priority="909"/>
    <cfRule type="duplicateValues" dxfId="3949" priority="910"/>
    <cfRule type="duplicateValues" dxfId="3948" priority="911"/>
    <cfRule type="duplicateValues" dxfId="3947" priority="912"/>
    <cfRule type="duplicateValues" dxfId="3946" priority="913"/>
    <cfRule type="duplicateValues" dxfId="3945" priority="914"/>
    <cfRule type="duplicateValues" dxfId="3944" priority="915"/>
    <cfRule type="duplicateValues" dxfId="3943" priority="916"/>
    <cfRule type="duplicateValues" dxfId="3942" priority="917"/>
    <cfRule type="duplicateValues" dxfId="3941" priority="918"/>
    <cfRule type="duplicateValues" dxfId="3940" priority="919"/>
    <cfRule type="duplicateValues" dxfId="3939" priority="920"/>
    <cfRule type="duplicateValues" dxfId="3938" priority="921"/>
    <cfRule type="duplicateValues" dxfId="3937" priority="922"/>
    <cfRule type="duplicateValues" dxfId="3936" priority="923"/>
    <cfRule type="duplicateValues" dxfId="3935" priority="924"/>
    <cfRule type="duplicateValues" dxfId="3934" priority="925"/>
    <cfRule type="duplicateValues" dxfId="3933" priority="926"/>
    <cfRule type="duplicateValues" dxfId="3932" priority="927"/>
    <cfRule type="duplicateValues" dxfId="3931" priority="928"/>
    <cfRule type="duplicateValues" dxfId="3930" priority="929"/>
    <cfRule type="duplicateValues" dxfId="3929" priority="930"/>
    <cfRule type="duplicateValues" dxfId="3928" priority="931"/>
    <cfRule type="duplicateValues" dxfId="3927" priority="932"/>
    <cfRule type="duplicateValues" dxfId="3926" priority="933"/>
    <cfRule type="duplicateValues" dxfId="3925" priority="934"/>
    <cfRule type="duplicateValues" dxfId="3924" priority="935"/>
    <cfRule type="duplicateValues" dxfId="3923" priority="936"/>
    <cfRule type="duplicateValues" dxfId="3922" priority="937"/>
    <cfRule type="duplicateValues" dxfId="3921" priority="938"/>
    <cfRule type="duplicateValues" dxfId="3920" priority="939"/>
    <cfRule type="duplicateValues" dxfId="3919" priority="940"/>
    <cfRule type="duplicateValues" dxfId="3918" priority="941"/>
    <cfRule type="duplicateValues" dxfId="3917" priority="942"/>
    <cfRule type="duplicateValues" dxfId="3916" priority="943"/>
    <cfRule type="duplicateValues" dxfId="3915" priority="944"/>
    <cfRule type="duplicateValues" dxfId="3914" priority="945"/>
    <cfRule type="duplicateValues" dxfId="3913" priority="946"/>
    <cfRule type="duplicateValues" dxfId="3912" priority="947"/>
    <cfRule type="duplicateValues" dxfId="3911" priority="948"/>
  </conditionalFormatting>
  <conditionalFormatting sqref="B1441">
    <cfRule type="duplicateValues" dxfId="3910" priority="863"/>
    <cfRule type="duplicateValues" dxfId="3909" priority="864"/>
    <cfRule type="duplicateValues" dxfId="3908" priority="865"/>
    <cfRule type="duplicateValues" dxfId="3907" priority="866"/>
    <cfRule type="duplicateValues" dxfId="3906" priority="867"/>
    <cfRule type="duplicateValues" dxfId="3905" priority="868"/>
    <cfRule type="duplicateValues" dxfId="3904" priority="869"/>
    <cfRule type="duplicateValues" dxfId="3903" priority="870"/>
    <cfRule type="duplicateValues" dxfId="3902" priority="871"/>
    <cfRule type="duplicateValues" dxfId="3901" priority="872"/>
    <cfRule type="duplicateValues" dxfId="3900" priority="873"/>
    <cfRule type="duplicateValues" dxfId="3899" priority="874"/>
    <cfRule type="duplicateValues" dxfId="3898" priority="875"/>
    <cfRule type="duplicateValues" dxfId="3897" priority="876"/>
    <cfRule type="duplicateValues" dxfId="3896" priority="877"/>
    <cfRule type="duplicateValues" dxfId="3895" priority="878"/>
    <cfRule type="duplicateValues" dxfId="3894" priority="879"/>
    <cfRule type="duplicateValues" dxfId="3893" priority="880"/>
    <cfRule type="duplicateValues" dxfId="3892" priority="881"/>
    <cfRule type="duplicateValues" dxfId="3891" priority="882"/>
    <cfRule type="duplicateValues" dxfId="3890" priority="883"/>
    <cfRule type="duplicateValues" dxfId="3889" priority="884"/>
    <cfRule type="duplicateValues" dxfId="3888" priority="885"/>
    <cfRule type="duplicateValues" dxfId="3887" priority="886"/>
    <cfRule type="duplicateValues" dxfId="3886" priority="887"/>
    <cfRule type="duplicateValues" dxfId="3885" priority="888"/>
    <cfRule type="duplicateValues" dxfId="3884" priority="889"/>
    <cfRule type="duplicateValues" dxfId="3883" priority="890"/>
    <cfRule type="duplicateValues" dxfId="3882" priority="891"/>
    <cfRule type="duplicateValues" dxfId="3881" priority="892"/>
    <cfRule type="duplicateValues" dxfId="3880" priority="893"/>
    <cfRule type="duplicateValues" dxfId="3879" priority="894"/>
    <cfRule type="duplicateValues" dxfId="3878" priority="895"/>
    <cfRule type="duplicateValues" dxfId="3877" priority="896"/>
    <cfRule type="duplicateValues" dxfId="3876" priority="897"/>
    <cfRule type="duplicateValues" dxfId="3875" priority="898"/>
    <cfRule type="duplicateValues" dxfId="3874" priority="899"/>
    <cfRule type="duplicateValues" dxfId="3873" priority="900"/>
    <cfRule type="duplicateValues" dxfId="3872" priority="901"/>
    <cfRule type="duplicateValues" dxfId="3871" priority="902"/>
    <cfRule type="duplicateValues" dxfId="3870" priority="903"/>
    <cfRule type="duplicateValues" dxfId="3869" priority="904"/>
    <cfRule type="duplicateValues" dxfId="3868" priority="905"/>
  </conditionalFormatting>
  <conditionalFormatting sqref="B1442">
    <cfRule type="duplicateValues" dxfId="3867" priority="820"/>
    <cfRule type="duplicateValues" dxfId="3866" priority="821"/>
    <cfRule type="duplicateValues" dxfId="3865" priority="822"/>
    <cfRule type="duplicateValues" dxfId="3864" priority="823"/>
    <cfRule type="duplicateValues" dxfId="3863" priority="824"/>
    <cfRule type="duplicateValues" dxfId="3862" priority="825"/>
    <cfRule type="duplicateValues" dxfId="3861" priority="826"/>
    <cfRule type="duplicateValues" dxfId="3860" priority="827"/>
    <cfRule type="duplicateValues" dxfId="3859" priority="828"/>
    <cfRule type="duplicateValues" dxfId="3858" priority="829"/>
    <cfRule type="duplicateValues" dxfId="3857" priority="830"/>
    <cfRule type="duplicateValues" dxfId="3856" priority="831"/>
    <cfRule type="duplicateValues" dxfId="3855" priority="832"/>
    <cfRule type="duplicateValues" dxfId="3854" priority="833"/>
    <cfRule type="duplicateValues" dxfId="3853" priority="834"/>
    <cfRule type="duplicateValues" dxfId="3852" priority="835"/>
    <cfRule type="duplicateValues" dxfId="3851" priority="836"/>
    <cfRule type="duplicateValues" dxfId="3850" priority="837"/>
    <cfRule type="duplicateValues" dxfId="3849" priority="838"/>
    <cfRule type="duplicateValues" dxfId="3848" priority="839"/>
    <cfRule type="duplicateValues" dxfId="3847" priority="840"/>
    <cfRule type="duplicateValues" dxfId="3846" priority="841"/>
    <cfRule type="duplicateValues" dxfId="3845" priority="842"/>
    <cfRule type="duplicateValues" dxfId="3844" priority="843"/>
    <cfRule type="duplicateValues" dxfId="3843" priority="844"/>
    <cfRule type="duplicateValues" dxfId="3842" priority="845"/>
    <cfRule type="duplicateValues" dxfId="3841" priority="846"/>
    <cfRule type="duplicateValues" dxfId="3840" priority="847"/>
    <cfRule type="duplicateValues" dxfId="3839" priority="848"/>
    <cfRule type="duplicateValues" dxfId="3838" priority="849"/>
    <cfRule type="duplicateValues" dxfId="3837" priority="850"/>
    <cfRule type="duplicateValues" dxfId="3836" priority="851"/>
    <cfRule type="duplicateValues" dxfId="3835" priority="852"/>
    <cfRule type="duplicateValues" dxfId="3834" priority="853"/>
    <cfRule type="duplicateValues" dxfId="3833" priority="854"/>
    <cfRule type="duplicateValues" dxfId="3832" priority="855"/>
    <cfRule type="duplicateValues" dxfId="3831" priority="856"/>
    <cfRule type="duplicateValues" dxfId="3830" priority="857"/>
    <cfRule type="duplicateValues" dxfId="3829" priority="858"/>
    <cfRule type="duplicateValues" dxfId="3828" priority="859"/>
    <cfRule type="duplicateValues" dxfId="3827" priority="860"/>
    <cfRule type="duplicateValues" dxfId="3826" priority="861"/>
    <cfRule type="duplicateValues" dxfId="3825" priority="862"/>
  </conditionalFormatting>
  <conditionalFormatting sqref="B1443">
    <cfRule type="duplicateValues" dxfId="3824" priority="777"/>
    <cfRule type="duplicateValues" dxfId="3823" priority="778"/>
    <cfRule type="duplicateValues" dxfId="3822" priority="779"/>
    <cfRule type="duplicateValues" dxfId="3821" priority="780"/>
    <cfRule type="duplicateValues" dxfId="3820" priority="781"/>
    <cfRule type="duplicateValues" dxfId="3819" priority="782"/>
    <cfRule type="duplicateValues" dxfId="3818" priority="783"/>
    <cfRule type="duplicateValues" dxfId="3817" priority="784"/>
    <cfRule type="duplicateValues" dxfId="3816" priority="785"/>
    <cfRule type="duplicateValues" dxfId="3815" priority="786"/>
    <cfRule type="duplicateValues" dxfId="3814" priority="787"/>
    <cfRule type="duplicateValues" dxfId="3813" priority="788"/>
    <cfRule type="duplicateValues" dxfId="3812" priority="789"/>
    <cfRule type="duplicateValues" dxfId="3811" priority="790"/>
    <cfRule type="duplicateValues" dxfId="3810" priority="791"/>
    <cfRule type="duplicateValues" dxfId="3809" priority="792"/>
    <cfRule type="duplicateValues" dxfId="3808" priority="793"/>
    <cfRule type="duplicateValues" dxfId="3807" priority="794"/>
    <cfRule type="duplicateValues" dxfId="3806" priority="795"/>
    <cfRule type="duplicateValues" dxfId="3805" priority="796"/>
    <cfRule type="duplicateValues" dxfId="3804" priority="797"/>
    <cfRule type="duplicateValues" dxfId="3803" priority="798"/>
    <cfRule type="duplicateValues" dxfId="3802" priority="799"/>
    <cfRule type="duplicateValues" dxfId="3801" priority="800"/>
    <cfRule type="duplicateValues" dxfId="3800" priority="801"/>
    <cfRule type="duplicateValues" dxfId="3799" priority="802"/>
    <cfRule type="duplicateValues" dxfId="3798" priority="803"/>
    <cfRule type="duplicateValues" dxfId="3797" priority="804"/>
    <cfRule type="duplicateValues" dxfId="3796" priority="805"/>
    <cfRule type="duplicateValues" dxfId="3795" priority="806"/>
    <cfRule type="duplicateValues" dxfId="3794" priority="807"/>
    <cfRule type="duplicateValues" dxfId="3793" priority="808"/>
    <cfRule type="duplicateValues" dxfId="3792" priority="809"/>
    <cfRule type="duplicateValues" dxfId="3791" priority="810"/>
    <cfRule type="duplicateValues" dxfId="3790" priority="811"/>
    <cfRule type="duplicateValues" dxfId="3789" priority="812"/>
    <cfRule type="duplicateValues" dxfId="3788" priority="813"/>
    <cfRule type="duplicateValues" dxfId="3787" priority="814"/>
    <cfRule type="duplicateValues" dxfId="3786" priority="815"/>
    <cfRule type="duplicateValues" dxfId="3785" priority="816"/>
    <cfRule type="duplicateValues" dxfId="3784" priority="817"/>
    <cfRule type="duplicateValues" dxfId="3783" priority="818"/>
    <cfRule type="duplicateValues" dxfId="3782" priority="819"/>
  </conditionalFormatting>
  <conditionalFormatting sqref="B1444">
    <cfRule type="duplicateValues" dxfId="3781" priority="734"/>
    <cfRule type="duplicateValues" dxfId="3780" priority="735"/>
    <cfRule type="duplicateValues" dxfId="3779" priority="736"/>
    <cfRule type="duplicateValues" dxfId="3778" priority="737"/>
    <cfRule type="duplicateValues" dxfId="3777" priority="738"/>
    <cfRule type="duplicateValues" dxfId="3776" priority="739"/>
    <cfRule type="duplicateValues" dxfId="3775" priority="740"/>
    <cfRule type="duplicateValues" dxfId="3774" priority="741"/>
    <cfRule type="duplicateValues" dxfId="3773" priority="742"/>
    <cfRule type="duplicateValues" dxfId="3772" priority="743"/>
    <cfRule type="duplicateValues" dxfId="3771" priority="744"/>
    <cfRule type="duplicateValues" dxfId="3770" priority="745"/>
    <cfRule type="duplicateValues" dxfId="3769" priority="746"/>
    <cfRule type="duplicateValues" dxfId="3768" priority="747"/>
    <cfRule type="duplicateValues" dxfId="3767" priority="748"/>
    <cfRule type="duplicateValues" dxfId="3766" priority="749"/>
    <cfRule type="duplicateValues" dxfId="3765" priority="750"/>
    <cfRule type="duplicateValues" dxfId="3764" priority="751"/>
    <cfRule type="duplicateValues" dxfId="3763" priority="752"/>
    <cfRule type="duplicateValues" dxfId="3762" priority="753"/>
    <cfRule type="duplicateValues" dxfId="3761" priority="754"/>
    <cfRule type="duplicateValues" dxfId="3760" priority="755"/>
    <cfRule type="duplicateValues" dxfId="3759" priority="756"/>
    <cfRule type="duplicateValues" dxfId="3758" priority="757"/>
    <cfRule type="duplicateValues" dxfId="3757" priority="758"/>
    <cfRule type="duplicateValues" dxfId="3756" priority="759"/>
    <cfRule type="duplicateValues" dxfId="3755" priority="760"/>
    <cfRule type="duplicateValues" dxfId="3754" priority="761"/>
    <cfRule type="duplicateValues" dxfId="3753" priority="762"/>
    <cfRule type="duplicateValues" dxfId="3752" priority="763"/>
    <cfRule type="duplicateValues" dxfId="3751" priority="764"/>
    <cfRule type="duplicateValues" dxfId="3750" priority="765"/>
    <cfRule type="duplicateValues" dxfId="3749" priority="766"/>
    <cfRule type="duplicateValues" dxfId="3748" priority="767"/>
    <cfRule type="duplicateValues" dxfId="3747" priority="768"/>
    <cfRule type="duplicateValues" dxfId="3746" priority="769"/>
    <cfRule type="duplicateValues" dxfId="3745" priority="770"/>
    <cfRule type="duplicateValues" dxfId="3744" priority="771"/>
    <cfRule type="duplicateValues" dxfId="3743" priority="772"/>
    <cfRule type="duplicateValues" dxfId="3742" priority="773"/>
    <cfRule type="duplicateValues" dxfId="3741" priority="774"/>
    <cfRule type="duplicateValues" dxfId="3740" priority="775"/>
    <cfRule type="duplicateValues" dxfId="3739" priority="776"/>
  </conditionalFormatting>
  <conditionalFormatting sqref="B1445">
    <cfRule type="duplicateValues" dxfId="3738" priority="691"/>
    <cfRule type="duplicateValues" dxfId="3737" priority="692"/>
    <cfRule type="duplicateValues" dxfId="3736" priority="693"/>
    <cfRule type="duplicateValues" dxfId="3735" priority="694"/>
    <cfRule type="duplicateValues" dxfId="3734" priority="695"/>
    <cfRule type="duplicateValues" dxfId="3733" priority="696"/>
    <cfRule type="duplicateValues" dxfId="3732" priority="697"/>
    <cfRule type="duplicateValues" dxfId="3731" priority="698"/>
    <cfRule type="duplicateValues" dxfId="3730" priority="699"/>
    <cfRule type="duplicateValues" dxfId="3729" priority="700"/>
    <cfRule type="duplicateValues" dxfId="3728" priority="701"/>
    <cfRule type="duplicateValues" dxfId="3727" priority="702"/>
    <cfRule type="duplicateValues" dxfId="3726" priority="703"/>
    <cfRule type="duplicateValues" dxfId="3725" priority="704"/>
    <cfRule type="duplicateValues" dxfId="3724" priority="705"/>
    <cfRule type="duplicateValues" dxfId="3723" priority="706"/>
    <cfRule type="duplicateValues" dxfId="3722" priority="707"/>
    <cfRule type="duplicateValues" dxfId="3721" priority="708"/>
    <cfRule type="duplicateValues" dxfId="3720" priority="709"/>
    <cfRule type="duplicateValues" dxfId="3719" priority="710"/>
    <cfRule type="duplicateValues" dxfId="3718" priority="711"/>
    <cfRule type="duplicateValues" dxfId="3717" priority="712"/>
    <cfRule type="duplicateValues" dxfId="3716" priority="713"/>
    <cfRule type="duplicateValues" dxfId="3715" priority="714"/>
    <cfRule type="duplicateValues" dxfId="3714" priority="715"/>
    <cfRule type="duplicateValues" dxfId="3713" priority="716"/>
    <cfRule type="duplicateValues" dxfId="3712" priority="717"/>
    <cfRule type="duplicateValues" dxfId="3711" priority="718"/>
    <cfRule type="duplicateValues" dxfId="3710" priority="719"/>
    <cfRule type="duplicateValues" dxfId="3709" priority="720"/>
    <cfRule type="duplicateValues" dxfId="3708" priority="721"/>
    <cfRule type="duplicateValues" dxfId="3707" priority="722"/>
    <cfRule type="duplicateValues" dxfId="3706" priority="723"/>
    <cfRule type="duplicateValues" dxfId="3705" priority="724"/>
    <cfRule type="duplicateValues" dxfId="3704" priority="725"/>
    <cfRule type="duplicateValues" dxfId="3703" priority="726"/>
    <cfRule type="duplicateValues" dxfId="3702" priority="727"/>
    <cfRule type="duplicateValues" dxfId="3701" priority="728"/>
    <cfRule type="duplicateValues" dxfId="3700" priority="729"/>
    <cfRule type="duplicateValues" dxfId="3699" priority="730"/>
    <cfRule type="duplicateValues" dxfId="3698" priority="731"/>
    <cfRule type="duplicateValues" dxfId="3697" priority="732"/>
    <cfRule type="duplicateValues" dxfId="3696" priority="733"/>
  </conditionalFormatting>
  <conditionalFormatting sqref="B1446">
    <cfRule type="duplicateValues" dxfId="3695" priority="648"/>
    <cfRule type="duplicateValues" dxfId="3694" priority="649"/>
    <cfRule type="duplicateValues" dxfId="3693" priority="650"/>
    <cfRule type="duplicateValues" dxfId="3692" priority="651"/>
    <cfRule type="duplicateValues" dxfId="3691" priority="652"/>
    <cfRule type="duplicateValues" dxfId="3690" priority="653"/>
    <cfRule type="duplicateValues" dxfId="3689" priority="654"/>
    <cfRule type="duplicateValues" dxfId="3688" priority="655"/>
    <cfRule type="duplicateValues" dxfId="3687" priority="656"/>
    <cfRule type="duplicateValues" dxfId="3686" priority="657"/>
    <cfRule type="duplicateValues" dxfId="3685" priority="658"/>
    <cfRule type="duplicateValues" dxfId="3684" priority="659"/>
    <cfRule type="duplicateValues" dxfId="3683" priority="660"/>
    <cfRule type="duplicateValues" dxfId="3682" priority="661"/>
    <cfRule type="duplicateValues" dxfId="3681" priority="662"/>
    <cfRule type="duplicateValues" dxfId="3680" priority="663"/>
    <cfRule type="duplicateValues" dxfId="3679" priority="664"/>
    <cfRule type="duplicateValues" dxfId="3678" priority="665"/>
    <cfRule type="duplicateValues" dxfId="3677" priority="666"/>
    <cfRule type="duplicateValues" dxfId="3676" priority="667"/>
    <cfRule type="duplicateValues" dxfId="3675" priority="668"/>
    <cfRule type="duplicateValues" dxfId="3674" priority="669"/>
    <cfRule type="duplicateValues" dxfId="3673" priority="670"/>
    <cfRule type="duplicateValues" dxfId="3672" priority="671"/>
    <cfRule type="duplicateValues" dxfId="3671" priority="672"/>
    <cfRule type="duplicateValues" dxfId="3670" priority="673"/>
    <cfRule type="duplicateValues" dxfId="3669" priority="674"/>
    <cfRule type="duplicateValues" dxfId="3668" priority="675"/>
    <cfRule type="duplicateValues" dxfId="3667" priority="676"/>
    <cfRule type="duplicateValues" dxfId="3666" priority="677"/>
    <cfRule type="duplicateValues" dxfId="3665" priority="678"/>
    <cfRule type="duplicateValues" dxfId="3664" priority="679"/>
    <cfRule type="duplicateValues" dxfId="3663" priority="680"/>
    <cfRule type="duplicateValues" dxfId="3662" priority="681"/>
    <cfRule type="duplicateValues" dxfId="3661" priority="682"/>
    <cfRule type="duplicateValues" dxfId="3660" priority="683"/>
    <cfRule type="duplicateValues" dxfId="3659" priority="684"/>
    <cfRule type="duplicateValues" dxfId="3658" priority="685"/>
    <cfRule type="duplicateValues" dxfId="3657" priority="686"/>
    <cfRule type="duplicateValues" dxfId="3656" priority="687"/>
    <cfRule type="duplicateValues" dxfId="3655" priority="688"/>
    <cfRule type="duplicateValues" dxfId="3654" priority="689"/>
    <cfRule type="duplicateValues" dxfId="3653" priority="690"/>
  </conditionalFormatting>
  <conditionalFormatting sqref="B1447">
    <cfRule type="duplicateValues" dxfId="3652" priority="605"/>
    <cfRule type="duplicateValues" dxfId="3651" priority="606"/>
    <cfRule type="duplicateValues" dxfId="3650" priority="607"/>
    <cfRule type="duplicateValues" dxfId="3649" priority="608"/>
    <cfRule type="duplicateValues" dxfId="3648" priority="609"/>
    <cfRule type="duplicateValues" dxfId="3647" priority="610"/>
    <cfRule type="duplicateValues" dxfId="3646" priority="611"/>
    <cfRule type="duplicateValues" dxfId="3645" priority="612"/>
    <cfRule type="duplicateValues" dxfId="3644" priority="613"/>
    <cfRule type="duplicateValues" dxfId="3643" priority="614"/>
    <cfRule type="duplicateValues" dxfId="3642" priority="615"/>
    <cfRule type="duplicateValues" dxfId="3641" priority="616"/>
    <cfRule type="duplicateValues" dxfId="3640" priority="617"/>
    <cfRule type="duplicateValues" dxfId="3639" priority="618"/>
    <cfRule type="duplicateValues" dxfId="3638" priority="619"/>
    <cfRule type="duplicateValues" dxfId="3637" priority="620"/>
    <cfRule type="duplicateValues" dxfId="3636" priority="621"/>
    <cfRule type="duplicateValues" dxfId="3635" priority="622"/>
    <cfRule type="duplicateValues" dxfId="3634" priority="623"/>
    <cfRule type="duplicateValues" dxfId="3633" priority="624"/>
    <cfRule type="duplicateValues" dxfId="3632" priority="625"/>
    <cfRule type="duplicateValues" dxfId="3631" priority="626"/>
    <cfRule type="duplicateValues" dxfId="3630" priority="627"/>
    <cfRule type="duplicateValues" dxfId="3629" priority="628"/>
    <cfRule type="duplicateValues" dxfId="3628" priority="629"/>
    <cfRule type="duplicateValues" dxfId="3627" priority="630"/>
    <cfRule type="duplicateValues" dxfId="3626" priority="631"/>
    <cfRule type="duplicateValues" dxfId="3625" priority="632"/>
    <cfRule type="duplicateValues" dxfId="3624" priority="633"/>
    <cfRule type="duplicateValues" dxfId="3623" priority="634"/>
    <cfRule type="duplicateValues" dxfId="3622" priority="635"/>
    <cfRule type="duplicateValues" dxfId="3621" priority="636"/>
    <cfRule type="duplicateValues" dxfId="3620" priority="637"/>
    <cfRule type="duplicateValues" dxfId="3619" priority="638"/>
    <cfRule type="duplicateValues" dxfId="3618" priority="639"/>
    <cfRule type="duplicateValues" dxfId="3617" priority="640"/>
    <cfRule type="duplicateValues" dxfId="3616" priority="641"/>
    <cfRule type="duplicateValues" dxfId="3615" priority="642"/>
    <cfRule type="duplicateValues" dxfId="3614" priority="643"/>
    <cfRule type="duplicateValues" dxfId="3613" priority="644"/>
    <cfRule type="duplicateValues" dxfId="3612" priority="645"/>
    <cfRule type="duplicateValues" dxfId="3611" priority="646"/>
    <cfRule type="duplicateValues" dxfId="3610" priority="647"/>
  </conditionalFormatting>
  <conditionalFormatting sqref="B1448">
    <cfRule type="duplicateValues" dxfId="3609" priority="562"/>
    <cfRule type="duplicateValues" dxfId="3608" priority="563"/>
    <cfRule type="duplicateValues" dxfId="3607" priority="564"/>
    <cfRule type="duplicateValues" dxfId="3606" priority="565"/>
    <cfRule type="duplicateValues" dxfId="3605" priority="566"/>
    <cfRule type="duplicateValues" dxfId="3604" priority="567"/>
    <cfRule type="duplicateValues" dxfId="3603" priority="568"/>
    <cfRule type="duplicateValues" dxfId="3602" priority="569"/>
    <cfRule type="duplicateValues" dxfId="3601" priority="570"/>
    <cfRule type="duplicateValues" dxfId="3600" priority="571"/>
    <cfRule type="duplicateValues" dxfId="3599" priority="572"/>
    <cfRule type="duplicateValues" dxfId="3598" priority="573"/>
    <cfRule type="duplicateValues" dxfId="3597" priority="574"/>
    <cfRule type="duplicateValues" dxfId="3596" priority="575"/>
    <cfRule type="duplicateValues" dxfId="3595" priority="576"/>
    <cfRule type="duplicateValues" dxfId="3594" priority="577"/>
    <cfRule type="duplicateValues" dxfId="3593" priority="578"/>
    <cfRule type="duplicateValues" dxfId="3592" priority="579"/>
    <cfRule type="duplicateValues" dxfId="3591" priority="580"/>
    <cfRule type="duplicateValues" dxfId="3590" priority="581"/>
    <cfRule type="duplicateValues" dxfId="3589" priority="582"/>
    <cfRule type="duplicateValues" dxfId="3588" priority="583"/>
    <cfRule type="duplicateValues" dxfId="3587" priority="584"/>
    <cfRule type="duplicateValues" dxfId="3586" priority="585"/>
    <cfRule type="duplicateValues" dxfId="3585" priority="586"/>
    <cfRule type="duplicateValues" dxfId="3584" priority="587"/>
    <cfRule type="duplicateValues" dxfId="3583" priority="588"/>
    <cfRule type="duplicateValues" dxfId="3582" priority="589"/>
    <cfRule type="duplicateValues" dxfId="3581" priority="590"/>
    <cfRule type="duplicateValues" dxfId="3580" priority="591"/>
    <cfRule type="duplicateValues" dxfId="3579" priority="592"/>
    <cfRule type="duplicateValues" dxfId="3578" priority="593"/>
    <cfRule type="duplicateValues" dxfId="3577" priority="594"/>
    <cfRule type="duplicateValues" dxfId="3576" priority="595"/>
    <cfRule type="duplicateValues" dxfId="3575" priority="596"/>
    <cfRule type="duplicateValues" dxfId="3574" priority="597"/>
    <cfRule type="duplicateValues" dxfId="3573" priority="598"/>
    <cfRule type="duplicateValues" dxfId="3572" priority="599"/>
    <cfRule type="duplicateValues" dxfId="3571" priority="600"/>
    <cfRule type="duplicateValues" dxfId="3570" priority="601"/>
    <cfRule type="duplicateValues" dxfId="3569" priority="602"/>
    <cfRule type="duplicateValues" dxfId="3568" priority="603"/>
    <cfRule type="duplicateValues" dxfId="3567" priority="604"/>
  </conditionalFormatting>
  <conditionalFormatting sqref="B1449">
    <cfRule type="duplicateValues" dxfId="3566" priority="519"/>
    <cfRule type="duplicateValues" dxfId="3565" priority="520"/>
    <cfRule type="duplicateValues" dxfId="3564" priority="521"/>
    <cfRule type="duplicateValues" dxfId="3563" priority="522"/>
    <cfRule type="duplicateValues" dxfId="3562" priority="523"/>
    <cfRule type="duplicateValues" dxfId="3561" priority="524"/>
    <cfRule type="duplicateValues" dxfId="3560" priority="525"/>
    <cfRule type="duplicateValues" dxfId="3559" priority="526"/>
    <cfRule type="duplicateValues" dxfId="3558" priority="527"/>
    <cfRule type="duplicateValues" dxfId="3557" priority="528"/>
    <cfRule type="duplicateValues" dxfId="3556" priority="529"/>
    <cfRule type="duplicateValues" dxfId="3555" priority="530"/>
    <cfRule type="duplicateValues" dxfId="3554" priority="531"/>
    <cfRule type="duplicateValues" dxfId="3553" priority="532"/>
    <cfRule type="duplicateValues" dxfId="3552" priority="533"/>
    <cfRule type="duplicateValues" dxfId="3551" priority="534"/>
    <cfRule type="duplicateValues" dxfId="3550" priority="535"/>
    <cfRule type="duplicateValues" dxfId="3549" priority="536"/>
    <cfRule type="duplicateValues" dxfId="3548" priority="537"/>
    <cfRule type="duplicateValues" dxfId="3547" priority="538"/>
    <cfRule type="duplicateValues" dxfId="3546" priority="539"/>
    <cfRule type="duplicateValues" dxfId="3545" priority="540"/>
    <cfRule type="duplicateValues" dxfId="3544" priority="541"/>
    <cfRule type="duplicateValues" dxfId="3543" priority="542"/>
    <cfRule type="duplicateValues" dxfId="3542" priority="543"/>
    <cfRule type="duplicateValues" dxfId="3541" priority="544"/>
    <cfRule type="duplicateValues" dxfId="3540" priority="545"/>
    <cfRule type="duplicateValues" dxfId="3539" priority="546"/>
    <cfRule type="duplicateValues" dxfId="3538" priority="547"/>
    <cfRule type="duplicateValues" dxfId="3537" priority="548"/>
    <cfRule type="duplicateValues" dxfId="3536" priority="549"/>
    <cfRule type="duplicateValues" dxfId="3535" priority="550"/>
    <cfRule type="duplicateValues" dxfId="3534" priority="551"/>
    <cfRule type="duplicateValues" dxfId="3533" priority="552"/>
    <cfRule type="duplicateValues" dxfId="3532" priority="553"/>
    <cfRule type="duplicateValues" dxfId="3531" priority="554"/>
    <cfRule type="duplicateValues" dxfId="3530" priority="555"/>
    <cfRule type="duplicateValues" dxfId="3529" priority="556"/>
    <cfRule type="duplicateValues" dxfId="3528" priority="557"/>
    <cfRule type="duplicateValues" dxfId="3527" priority="558"/>
    <cfRule type="duplicateValues" dxfId="3526" priority="559"/>
    <cfRule type="duplicateValues" dxfId="3525" priority="560"/>
    <cfRule type="duplicateValues" dxfId="3524" priority="561"/>
  </conditionalFormatting>
  <conditionalFormatting sqref="B1450">
    <cfRule type="duplicateValues" dxfId="3523" priority="476"/>
    <cfRule type="duplicateValues" dxfId="3522" priority="477"/>
    <cfRule type="duplicateValues" dxfId="3521" priority="478"/>
    <cfRule type="duplicateValues" dxfId="3520" priority="479"/>
    <cfRule type="duplicateValues" dxfId="3519" priority="480"/>
    <cfRule type="duplicateValues" dxfId="3518" priority="481"/>
    <cfRule type="duplicateValues" dxfId="3517" priority="482"/>
    <cfRule type="duplicateValues" dxfId="3516" priority="483"/>
    <cfRule type="duplicateValues" dxfId="3515" priority="484"/>
    <cfRule type="duplicateValues" dxfId="3514" priority="485"/>
    <cfRule type="duplicateValues" dxfId="3513" priority="486"/>
    <cfRule type="duplicateValues" dxfId="3512" priority="487"/>
    <cfRule type="duplicateValues" dxfId="3511" priority="488"/>
    <cfRule type="duplicateValues" dxfId="3510" priority="489"/>
    <cfRule type="duplicateValues" dxfId="3509" priority="490"/>
    <cfRule type="duplicateValues" dxfId="3508" priority="491"/>
    <cfRule type="duplicateValues" dxfId="3507" priority="492"/>
    <cfRule type="duplicateValues" dxfId="3506" priority="493"/>
    <cfRule type="duplicateValues" dxfId="3505" priority="494"/>
    <cfRule type="duplicateValues" dxfId="3504" priority="495"/>
    <cfRule type="duplicateValues" dxfId="3503" priority="496"/>
    <cfRule type="duplicateValues" dxfId="3502" priority="497"/>
    <cfRule type="duplicateValues" dxfId="3501" priority="498"/>
    <cfRule type="duplicateValues" dxfId="3500" priority="499"/>
    <cfRule type="duplicateValues" dxfId="3499" priority="500"/>
    <cfRule type="duplicateValues" dxfId="3498" priority="501"/>
    <cfRule type="duplicateValues" dxfId="3497" priority="502"/>
    <cfRule type="duplicateValues" dxfId="3496" priority="503"/>
    <cfRule type="duplicateValues" dxfId="3495" priority="504"/>
    <cfRule type="duplicateValues" dxfId="3494" priority="505"/>
    <cfRule type="duplicateValues" dxfId="3493" priority="506"/>
    <cfRule type="duplicateValues" dxfId="3492" priority="507"/>
    <cfRule type="duplicateValues" dxfId="3491" priority="508"/>
    <cfRule type="duplicateValues" dxfId="3490" priority="509"/>
    <cfRule type="duplicateValues" dxfId="3489" priority="510"/>
    <cfRule type="duplicateValues" dxfId="3488" priority="511"/>
    <cfRule type="duplicateValues" dxfId="3487" priority="512"/>
    <cfRule type="duplicateValues" dxfId="3486" priority="513"/>
    <cfRule type="duplicateValues" dxfId="3485" priority="514"/>
    <cfRule type="duplicateValues" dxfId="3484" priority="515"/>
    <cfRule type="duplicateValues" dxfId="3483" priority="516"/>
    <cfRule type="duplicateValues" dxfId="3482" priority="517"/>
    <cfRule type="duplicateValues" dxfId="3481" priority="518"/>
  </conditionalFormatting>
  <conditionalFormatting sqref="B1451">
    <cfRule type="duplicateValues" dxfId="3480" priority="433"/>
    <cfRule type="duplicateValues" dxfId="3479" priority="434"/>
    <cfRule type="duplicateValues" dxfId="3478" priority="435"/>
    <cfRule type="duplicateValues" dxfId="3477" priority="436"/>
    <cfRule type="duplicateValues" dxfId="3476" priority="437"/>
    <cfRule type="duplicateValues" dxfId="3475" priority="438"/>
    <cfRule type="duplicateValues" dxfId="3474" priority="439"/>
    <cfRule type="duplicateValues" dxfId="3473" priority="440"/>
    <cfRule type="duplicateValues" dxfId="3472" priority="441"/>
    <cfRule type="duplicateValues" dxfId="3471" priority="442"/>
    <cfRule type="duplicateValues" dxfId="3470" priority="443"/>
    <cfRule type="duplicateValues" dxfId="3469" priority="444"/>
    <cfRule type="duplicateValues" dxfId="3468" priority="445"/>
    <cfRule type="duplicateValues" dxfId="3467" priority="446"/>
    <cfRule type="duplicateValues" dxfId="3466" priority="447"/>
    <cfRule type="duplicateValues" dxfId="3465" priority="448"/>
    <cfRule type="duplicateValues" dxfId="3464" priority="449"/>
    <cfRule type="duplicateValues" dxfId="3463" priority="450"/>
    <cfRule type="duplicateValues" dxfId="3462" priority="451"/>
    <cfRule type="duplicateValues" dxfId="3461" priority="452"/>
    <cfRule type="duplicateValues" dxfId="3460" priority="453"/>
    <cfRule type="duplicateValues" dxfId="3459" priority="454"/>
    <cfRule type="duplicateValues" dxfId="3458" priority="455"/>
    <cfRule type="duplicateValues" dxfId="3457" priority="456"/>
    <cfRule type="duplicateValues" dxfId="3456" priority="457"/>
    <cfRule type="duplicateValues" dxfId="3455" priority="458"/>
    <cfRule type="duplicateValues" dxfId="3454" priority="459"/>
    <cfRule type="duplicateValues" dxfId="3453" priority="460"/>
    <cfRule type="duplicateValues" dxfId="3452" priority="461"/>
    <cfRule type="duplicateValues" dxfId="3451" priority="462"/>
    <cfRule type="duplicateValues" dxfId="3450" priority="463"/>
    <cfRule type="duplicateValues" dxfId="3449" priority="464"/>
    <cfRule type="duplicateValues" dxfId="3448" priority="465"/>
    <cfRule type="duplicateValues" dxfId="3447" priority="466"/>
    <cfRule type="duplicateValues" dxfId="3446" priority="467"/>
    <cfRule type="duplicateValues" dxfId="3445" priority="468"/>
    <cfRule type="duplicateValues" dxfId="3444" priority="469"/>
    <cfRule type="duplicateValues" dxfId="3443" priority="470"/>
    <cfRule type="duplicateValues" dxfId="3442" priority="471"/>
    <cfRule type="duplicateValues" dxfId="3441" priority="472"/>
    <cfRule type="duplicateValues" dxfId="3440" priority="473"/>
    <cfRule type="duplicateValues" dxfId="3439" priority="474"/>
    <cfRule type="duplicateValues" dxfId="3438" priority="475"/>
  </conditionalFormatting>
  <conditionalFormatting sqref="B1452 B1454:B1457 B1459:B1048576 B1:B1439">
    <cfRule type="duplicateValues" dxfId="3437" priority="993"/>
    <cfRule type="duplicateValues" dxfId="3436" priority="2874"/>
    <cfRule type="duplicateValues" dxfId="3435" priority="2875"/>
    <cfRule type="duplicateValues" dxfId="3434" priority="2961"/>
  </conditionalFormatting>
  <conditionalFormatting sqref="B1452 B1454:B1457 B1459:B1048576 B2:B1439">
    <cfRule type="duplicateValues" dxfId="3433" priority="122311"/>
    <cfRule type="duplicateValues" dxfId="3432" priority="122312"/>
    <cfRule type="duplicateValues" dxfId="3431" priority="122313"/>
    <cfRule type="duplicateValues" dxfId="3430" priority="122314"/>
    <cfRule type="duplicateValues" dxfId="3429" priority="122315"/>
    <cfRule type="duplicateValues" dxfId="3428" priority="122316"/>
    <cfRule type="duplicateValues" dxfId="3427" priority="122317"/>
    <cfRule type="duplicateValues" dxfId="3426" priority="122318"/>
  </conditionalFormatting>
  <conditionalFormatting sqref="B1452">
    <cfRule type="duplicateValues" dxfId="3425" priority="340"/>
    <cfRule type="duplicateValues" dxfId="3424" priority="341"/>
    <cfRule type="duplicateValues" dxfId="3423" priority="342"/>
    <cfRule type="duplicateValues" dxfId="3422" priority="343"/>
    <cfRule type="duplicateValues" dxfId="3421" priority="344"/>
    <cfRule type="duplicateValues" dxfId="3420" priority="345"/>
    <cfRule type="duplicateValues" dxfId="3419" priority="346"/>
    <cfRule type="duplicateValues" dxfId="3418" priority="347"/>
    <cfRule type="duplicateValues" dxfId="3417" priority="348"/>
    <cfRule type="duplicateValues" dxfId="3416" priority="349"/>
    <cfRule type="duplicateValues" dxfId="3415" priority="350"/>
    <cfRule type="duplicateValues" dxfId="3414" priority="351"/>
    <cfRule type="duplicateValues" dxfId="3413" priority="352"/>
    <cfRule type="duplicateValues" dxfId="3412" priority="353"/>
    <cfRule type="duplicateValues" dxfId="3411" priority="354"/>
    <cfRule type="duplicateValues" dxfId="3410" priority="355"/>
    <cfRule type="duplicateValues" dxfId="3409" priority="356"/>
    <cfRule type="duplicateValues" dxfId="3408" priority="357"/>
    <cfRule type="duplicateValues" dxfId="3407" priority="358"/>
    <cfRule type="duplicateValues" dxfId="3406" priority="359"/>
    <cfRule type="duplicateValues" dxfId="3405" priority="360"/>
    <cfRule type="duplicateValues" dxfId="3404" priority="361"/>
    <cfRule type="duplicateValues" dxfId="3403" priority="362"/>
    <cfRule type="duplicateValues" dxfId="3402" priority="363"/>
    <cfRule type="duplicateValues" dxfId="3401" priority="364"/>
    <cfRule type="duplicateValues" dxfId="3400" priority="365"/>
    <cfRule type="duplicateValues" dxfId="3399" priority="366"/>
    <cfRule type="duplicateValues" dxfId="3398" priority="367"/>
    <cfRule type="duplicateValues" dxfId="3397" priority="368"/>
    <cfRule type="duplicateValues" dxfId="3396" priority="369"/>
    <cfRule type="duplicateValues" dxfId="3395" priority="370"/>
  </conditionalFormatting>
  <conditionalFormatting sqref="B1453">
    <cfRule type="duplicateValues" dxfId="3394" priority="297"/>
    <cfRule type="duplicateValues" dxfId="3393" priority="298"/>
    <cfRule type="duplicateValues" dxfId="3392" priority="299"/>
    <cfRule type="duplicateValues" dxfId="3391" priority="300"/>
    <cfRule type="duplicateValues" dxfId="3390" priority="301"/>
    <cfRule type="duplicateValues" dxfId="3389" priority="302"/>
    <cfRule type="duplicateValues" dxfId="3388" priority="303"/>
    <cfRule type="duplicateValues" dxfId="3387" priority="304"/>
    <cfRule type="duplicateValues" dxfId="3386" priority="305"/>
    <cfRule type="duplicateValues" dxfId="3385" priority="306"/>
    <cfRule type="duplicateValues" dxfId="3384" priority="307"/>
    <cfRule type="duplicateValues" dxfId="3383" priority="308"/>
    <cfRule type="duplicateValues" dxfId="3382" priority="309"/>
    <cfRule type="duplicateValues" dxfId="3381" priority="310"/>
    <cfRule type="duplicateValues" dxfId="3380" priority="311"/>
    <cfRule type="duplicateValues" dxfId="3379" priority="312"/>
    <cfRule type="duplicateValues" dxfId="3378" priority="313"/>
    <cfRule type="duplicateValues" dxfId="3377" priority="314"/>
    <cfRule type="duplicateValues" dxfId="3376" priority="315"/>
    <cfRule type="duplicateValues" dxfId="3375" priority="316"/>
    <cfRule type="duplicateValues" dxfId="3374" priority="317"/>
    <cfRule type="duplicateValues" dxfId="3373" priority="318"/>
    <cfRule type="duplicateValues" dxfId="3372" priority="319"/>
    <cfRule type="duplicateValues" dxfId="3371" priority="320"/>
    <cfRule type="duplicateValues" dxfId="3370" priority="321"/>
    <cfRule type="duplicateValues" dxfId="3369" priority="322"/>
    <cfRule type="duplicateValues" dxfId="3368" priority="323"/>
    <cfRule type="duplicateValues" dxfId="3367" priority="324"/>
    <cfRule type="duplicateValues" dxfId="3366" priority="325"/>
    <cfRule type="duplicateValues" dxfId="3365" priority="326"/>
    <cfRule type="duplicateValues" dxfId="3364" priority="327"/>
    <cfRule type="duplicateValues" dxfId="3363" priority="328"/>
    <cfRule type="duplicateValues" dxfId="3362" priority="329"/>
    <cfRule type="duplicateValues" dxfId="3361" priority="330"/>
    <cfRule type="duplicateValues" dxfId="3360" priority="331"/>
    <cfRule type="duplicateValues" dxfId="3359" priority="332"/>
    <cfRule type="duplicateValues" dxfId="3358" priority="333"/>
    <cfRule type="duplicateValues" dxfId="3357" priority="334"/>
    <cfRule type="duplicateValues" dxfId="3356" priority="335"/>
    <cfRule type="duplicateValues" dxfId="3355" priority="336"/>
    <cfRule type="duplicateValues" dxfId="3354" priority="337"/>
    <cfRule type="duplicateValues" dxfId="3353" priority="338"/>
    <cfRule type="duplicateValues" dxfId="3352" priority="339"/>
  </conditionalFormatting>
  <conditionalFormatting sqref="B1454 B1456">
    <cfRule type="duplicateValues" dxfId="3351" priority="195594"/>
    <cfRule type="duplicateValues" dxfId="3350" priority="195595"/>
    <cfRule type="duplicateValues" dxfId="3349" priority="195596"/>
    <cfRule type="duplicateValues" dxfId="3348" priority="195597"/>
    <cfRule type="duplicateValues" dxfId="3347" priority="195598"/>
    <cfRule type="duplicateValues" dxfId="3346" priority="195599"/>
    <cfRule type="duplicateValues" dxfId="3345" priority="195600"/>
    <cfRule type="duplicateValues" dxfId="3344" priority="195601"/>
    <cfRule type="duplicateValues" dxfId="3343" priority="195602"/>
    <cfRule type="duplicateValues" dxfId="3342" priority="195603"/>
    <cfRule type="duplicateValues" dxfId="3341" priority="195604"/>
    <cfRule type="duplicateValues" dxfId="3340" priority="195605"/>
    <cfRule type="duplicateValues" dxfId="3339" priority="195606"/>
    <cfRule type="duplicateValues" dxfId="3338" priority="195607"/>
    <cfRule type="duplicateValues" dxfId="3337" priority="195608"/>
    <cfRule type="duplicateValues" dxfId="3336" priority="195609"/>
    <cfRule type="duplicateValues" dxfId="3335" priority="195610"/>
    <cfRule type="duplicateValues" dxfId="3334" priority="195611"/>
    <cfRule type="duplicateValues" dxfId="3333" priority="195612"/>
    <cfRule type="duplicateValues" dxfId="3332" priority="195613"/>
    <cfRule type="duplicateValues" dxfId="3331" priority="195614"/>
    <cfRule type="duplicateValues" dxfId="3330" priority="195615"/>
    <cfRule type="duplicateValues" dxfId="3329" priority="195616"/>
    <cfRule type="duplicateValues" dxfId="3328" priority="195617"/>
    <cfRule type="duplicateValues" dxfId="3327" priority="195618"/>
    <cfRule type="duplicateValues" dxfId="3326" priority="195619"/>
    <cfRule type="duplicateValues" dxfId="3325" priority="195620"/>
    <cfRule type="duplicateValues" dxfId="3324" priority="195621"/>
    <cfRule type="duplicateValues" dxfId="3323" priority="195622"/>
    <cfRule type="duplicateValues" dxfId="3322" priority="195623"/>
    <cfRule type="duplicateValues" dxfId="3321" priority="195624"/>
  </conditionalFormatting>
  <conditionalFormatting sqref="B1455">
    <cfRule type="duplicateValues" dxfId="3320" priority="235"/>
    <cfRule type="duplicateValues" dxfId="3319" priority="236"/>
    <cfRule type="duplicateValues" dxfId="3318" priority="237"/>
    <cfRule type="duplicateValues" dxfId="3317" priority="238"/>
    <cfRule type="duplicateValues" dxfId="3316" priority="239"/>
    <cfRule type="duplicateValues" dxfId="3315" priority="240"/>
    <cfRule type="duplicateValues" dxfId="3314" priority="241"/>
    <cfRule type="duplicateValues" dxfId="3313" priority="242"/>
    <cfRule type="duplicateValues" dxfId="3312" priority="243"/>
    <cfRule type="duplicateValues" dxfId="3311" priority="244"/>
    <cfRule type="duplicateValues" dxfId="3310" priority="245"/>
    <cfRule type="duplicateValues" dxfId="3309" priority="246"/>
    <cfRule type="duplicateValues" dxfId="3308" priority="247"/>
    <cfRule type="duplicateValues" dxfId="3307" priority="248"/>
    <cfRule type="duplicateValues" dxfId="3306" priority="249"/>
    <cfRule type="duplicateValues" dxfId="3305" priority="250"/>
    <cfRule type="duplicateValues" dxfId="3304" priority="251"/>
    <cfRule type="duplicateValues" dxfId="3303" priority="252"/>
    <cfRule type="duplicateValues" dxfId="3302" priority="253"/>
    <cfRule type="duplicateValues" dxfId="3301" priority="254"/>
    <cfRule type="duplicateValues" dxfId="3300" priority="255"/>
    <cfRule type="duplicateValues" dxfId="3299" priority="256"/>
    <cfRule type="duplicateValues" dxfId="3298" priority="257"/>
    <cfRule type="duplicateValues" dxfId="3297" priority="258"/>
    <cfRule type="duplicateValues" dxfId="3296" priority="259"/>
    <cfRule type="duplicateValues" dxfId="3295" priority="260"/>
    <cfRule type="duplicateValues" dxfId="3294" priority="261"/>
    <cfRule type="duplicateValues" dxfId="3293" priority="262"/>
    <cfRule type="duplicateValues" dxfId="3292" priority="263"/>
    <cfRule type="duplicateValues" dxfId="3291" priority="264"/>
    <cfRule type="duplicateValues" dxfId="3290" priority="265"/>
  </conditionalFormatting>
  <conditionalFormatting sqref="B1457">
    <cfRule type="duplicateValues" dxfId="3289" priority="204"/>
    <cfRule type="duplicateValues" dxfId="3288" priority="205"/>
    <cfRule type="duplicateValues" dxfId="3287" priority="206"/>
    <cfRule type="duplicateValues" dxfId="3286" priority="207"/>
    <cfRule type="duplicateValues" dxfId="3285" priority="208"/>
    <cfRule type="duplicateValues" dxfId="3284" priority="209"/>
    <cfRule type="duplicateValues" dxfId="3283" priority="210"/>
    <cfRule type="duplicateValues" dxfId="3282" priority="211"/>
    <cfRule type="duplicateValues" dxfId="3281" priority="212"/>
    <cfRule type="duplicateValues" dxfId="3280" priority="213"/>
    <cfRule type="duplicateValues" dxfId="3279" priority="214"/>
    <cfRule type="duplicateValues" dxfId="3278" priority="215"/>
    <cfRule type="duplicateValues" dxfId="3277" priority="216"/>
    <cfRule type="duplicateValues" dxfId="3276" priority="217"/>
    <cfRule type="duplicateValues" dxfId="3275" priority="218"/>
    <cfRule type="duplicateValues" dxfId="3274" priority="219"/>
    <cfRule type="duplicateValues" dxfId="3273" priority="220"/>
    <cfRule type="duplicateValues" dxfId="3272" priority="221"/>
    <cfRule type="duplicateValues" dxfId="3271" priority="222"/>
    <cfRule type="duplicateValues" dxfId="3270" priority="223"/>
    <cfRule type="duplicateValues" dxfId="3269" priority="224"/>
    <cfRule type="duplicateValues" dxfId="3268" priority="225"/>
    <cfRule type="duplicateValues" dxfId="3267" priority="226"/>
    <cfRule type="duplicateValues" dxfId="3266" priority="227"/>
    <cfRule type="duplicateValues" dxfId="3265" priority="228"/>
    <cfRule type="duplicateValues" dxfId="3264" priority="229"/>
    <cfRule type="duplicateValues" dxfId="3263" priority="230"/>
    <cfRule type="duplicateValues" dxfId="3262" priority="231"/>
    <cfRule type="duplicateValues" dxfId="3261" priority="232"/>
    <cfRule type="duplicateValues" dxfId="3260" priority="233"/>
    <cfRule type="duplicateValues" dxfId="3259" priority="234"/>
  </conditionalFormatting>
  <conditionalFormatting sqref="B1458">
    <cfRule type="duplicateValues" dxfId="3258" priority="161"/>
    <cfRule type="duplicateValues" dxfId="3257" priority="162"/>
    <cfRule type="duplicateValues" dxfId="3256" priority="163"/>
    <cfRule type="duplicateValues" dxfId="3255" priority="164"/>
    <cfRule type="duplicateValues" dxfId="3254" priority="165"/>
    <cfRule type="duplicateValues" dxfId="3253" priority="166"/>
    <cfRule type="duplicateValues" dxfId="3252" priority="167"/>
    <cfRule type="duplicateValues" dxfId="3251" priority="168"/>
    <cfRule type="duplicateValues" dxfId="3250" priority="169"/>
    <cfRule type="duplicateValues" dxfId="3249" priority="170"/>
    <cfRule type="duplicateValues" dxfId="3248" priority="171"/>
    <cfRule type="duplicateValues" dxfId="3247" priority="172"/>
    <cfRule type="duplicateValues" dxfId="3246" priority="173"/>
    <cfRule type="duplicateValues" dxfId="3245" priority="174"/>
    <cfRule type="duplicateValues" dxfId="3244" priority="175"/>
    <cfRule type="duplicateValues" dxfId="3243" priority="176"/>
    <cfRule type="duplicateValues" dxfId="3242" priority="177"/>
    <cfRule type="duplicateValues" dxfId="3241" priority="178"/>
    <cfRule type="duplicateValues" dxfId="3240" priority="179"/>
    <cfRule type="duplicateValues" dxfId="3239" priority="180"/>
    <cfRule type="duplicateValues" dxfId="3238" priority="181"/>
    <cfRule type="duplicateValues" dxfId="3237" priority="182"/>
    <cfRule type="duplicateValues" dxfId="3236" priority="183"/>
    <cfRule type="duplicateValues" dxfId="3235" priority="184"/>
    <cfRule type="duplicateValues" dxfId="3234" priority="185"/>
    <cfRule type="duplicateValues" dxfId="3233" priority="186"/>
    <cfRule type="duplicateValues" dxfId="3232" priority="187"/>
    <cfRule type="duplicateValues" dxfId="3231" priority="188"/>
    <cfRule type="duplicateValues" dxfId="3230" priority="189"/>
    <cfRule type="duplicateValues" dxfId="3229" priority="190"/>
    <cfRule type="duplicateValues" dxfId="3228" priority="191"/>
    <cfRule type="duplicateValues" dxfId="3227" priority="192"/>
    <cfRule type="duplicateValues" dxfId="3226" priority="193"/>
    <cfRule type="duplicateValues" dxfId="3225" priority="194"/>
    <cfRule type="duplicateValues" dxfId="3224" priority="195"/>
    <cfRule type="duplicateValues" dxfId="3223" priority="196"/>
    <cfRule type="duplicateValues" dxfId="3222" priority="197"/>
    <cfRule type="duplicateValues" dxfId="3221" priority="198"/>
    <cfRule type="duplicateValues" dxfId="3220" priority="199"/>
    <cfRule type="duplicateValues" dxfId="3219" priority="200"/>
    <cfRule type="duplicateValues" dxfId="3218" priority="201"/>
    <cfRule type="duplicateValues" dxfId="3217" priority="202"/>
    <cfRule type="duplicateValues" dxfId="3216" priority="203"/>
  </conditionalFormatting>
  <conditionalFormatting sqref="AD1129:XFD1129">
    <cfRule type="duplicateValues" dxfId="3215" priority="992"/>
  </conditionalFormatting>
  <pageMargins left="0.7" right="0.7" top="0.75" bottom="0.75" header="0.3" footer="0.3"/>
  <pageSetup scale="58"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L314"/>
  <sheetViews>
    <sheetView zoomScale="85" zoomScaleNormal="85" workbookViewId="0">
      <pane ySplit="1" topLeftCell="A308" activePane="bottomLeft" state="frozen"/>
      <selection activeCell="A2" sqref="A2:XFD2"/>
      <selection pane="bottomLeft" activeCell="D314" sqref="D314"/>
    </sheetView>
  </sheetViews>
  <sheetFormatPr defaultColWidth="9.109375" defaultRowHeight="14.4" x14ac:dyDescent="0.3"/>
  <cols>
    <col min="1" max="1" width="9.109375" style="1"/>
    <col min="2" max="2" width="11.5546875" style="1" customWidth="1"/>
    <col min="3" max="3" width="15.6640625" style="1" customWidth="1"/>
    <col min="4" max="4" width="31.88671875" style="1" customWidth="1"/>
    <col min="5" max="5" width="15.88671875" style="1" customWidth="1"/>
    <col min="6" max="6" width="16.33203125" style="1" bestFit="1" customWidth="1"/>
    <col min="7" max="7" width="18.5546875" style="1" customWidth="1"/>
    <col min="8" max="8" width="24.6640625" style="1" bestFit="1" customWidth="1"/>
    <col min="9" max="9" width="18.109375" style="1" customWidth="1"/>
    <col min="10" max="10" width="14.5546875" style="1" customWidth="1"/>
    <col min="11" max="11" width="19.44140625" style="1" customWidth="1"/>
    <col min="12" max="12" width="16.88671875" style="1" customWidth="1"/>
    <col min="13" max="13" width="13.5546875" style="1" bestFit="1" customWidth="1"/>
    <col min="14" max="16384" width="9.109375" style="1"/>
  </cols>
  <sheetData>
    <row r="1" spans="1:12" ht="69.599999999999994" thickBot="1" x14ac:dyDescent="0.35">
      <c r="A1" s="17" t="s">
        <v>185</v>
      </c>
      <c r="B1" s="17" t="s">
        <v>73</v>
      </c>
      <c r="C1" s="18" t="s">
        <v>74</v>
      </c>
      <c r="D1" s="18" t="s">
        <v>191</v>
      </c>
      <c r="E1" s="18" t="s">
        <v>75</v>
      </c>
      <c r="F1" s="18" t="s">
        <v>76</v>
      </c>
      <c r="G1" s="18" t="s">
        <v>177</v>
      </c>
      <c r="H1" s="18" t="s">
        <v>77</v>
      </c>
      <c r="I1" s="18" t="s">
        <v>78</v>
      </c>
      <c r="J1" s="18" t="s">
        <v>79</v>
      </c>
      <c r="K1" s="18" t="s">
        <v>80</v>
      </c>
      <c r="L1" s="18" t="s">
        <v>81</v>
      </c>
    </row>
    <row r="2" spans="1:12" ht="15.6" hidden="1" x14ac:dyDescent="0.3">
      <c r="A2" s="25">
        <v>1</v>
      </c>
      <c r="B2" s="25">
        <v>8053796</v>
      </c>
      <c r="C2" s="26" t="s">
        <v>303</v>
      </c>
      <c r="D2" s="26" t="s">
        <v>304</v>
      </c>
      <c r="E2" s="27" t="s">
        <v>53</v>
      </c>
      <c r="F2" s="25" t="s">
        <v>229</v>
      </c>
      <c r="G2" s="38">
        <v>46205.368055555555</v>
      </c>
      <c r="H2" s="38">
        <v>46205.458333333336</v>
      </c>
      <c r="I2" s="28">
        <f t="shared" ref="I2:I16" si="0">H2-G2</f>
        <v>9.0277777781011537E-2</v>
      </c>
      <c r="J2" s="29">
        <v>6.25E-2</v>
      </c>
      <c r="K2" s="28">
        <f t="shared" ref="K2:K16" si="1">I2-J2</f>
        <v>2.7777777781011537E-2</v>
      </c>
      <c r="L2" s="30" t="s">
        <v>235</v>
      </c>
    </row>
    <row r="3" spans="1:12" ht="15.6" hidden="1" x14ac:dyDescent="0.3">
      <c r="A3" s="25">
        <v>2</v>
      </c>
      <c r="B3" s="25">
        <v>8053881</v>
      </c>
      <c r="C3" s="26" t="s">
        <v>303</v>
      </c>
      <c r="D3" s="26" t="s">
        <v>228</v>
      </c>
      <c r="E3" s="27" t="s">
        <v>84</v>
      </c>
      <c r="F3" s="25" t="s">
        <v>174</v>
      </c>
      <c r="G3" s="38">
        <v>46205.354166666664</v>
      </c>
      <c r="H3" s="38">
        <v>46205.443055555559</v>
      </c>
      <c r="I3" s="28">
        <f t="shared" si="0"/>
        <v>8.8888888894871343E-2</v>
      </c>
      <c r="J3" s="29">
        <v>6.25E-2</v>
      </c>
      <c r="K3" s="28">
        <f t="shared" si="1"/>
        <v>2.6388888894871343E-2</v>
      </c>
      <c r="L3" s="30" t="s">
        <v>235</v>
      </c>
    </row>
    <row r="4" spans="1:12" ht="15.6" hidden="1" x14ac:dyDescent="0.3">
      <c r="A4" s="25">
        <v>3</v>
      </c>
      <c r="B4" s="25">
        <v>8053978</v>
      </c>
      <c r="C4" s="26" t="s">
        <v>303</v>
      </c>
      <c r="D4" s="26" t="s">
        <v>215</v>
      </c>
      <c r="E4" s="27" t="s">
        <v>16</v>
      </c>
      <c r="F4" s="25" t="s">
        <v>98</v>
      </c>
      <c r="G4" s="38">
        <v>46205.375</v>
      </c>
      <c r="H4" s="38">
        <v>46205.561805555553</v>
      </c>
      <c r="I4" s="28">
        <f t="shared" si="0"/>
        <v>0.18680555555329192</v>
      </c>
      <c r="J4" s="29">
        <v>8.3333333333333329E-2</v>
      </c>
      <c r="K4" s="28">
        <f t="shared" si="1"/>
        <v>0.1034722222199586</v>
      </c>
      <c r="L4" s="30" t="s">
        <v>235</v>
      </c>
    </row>
    <row r="5" spans="1:12" ht="15.6" hidden="1" x14ac:dyDescent="0.3">
      <c r="A5" s="25">
        <v>4</v>
      </c>
      <c r="B5" s="25">
        <v>8054637</v>
      </c>
      <c r="C5" s="26" t="s">
        <v>303</v>
      </c>
      <c r="D5" s="26" t="s">
        <v>188</v>
      </c>
      <c r="E5" s="27" t="s">
        <v>25</v>
      </c>
      <c r="F5" s="25" t="s">
        <v>13</v>
      </c>
      <c r="G5" s="38">
        <v>46205.818749999999</v>
      </c>
      <c r="H5" s="38">
        <v>46206.025694444441</v>
      </c>
      <c r="I5" s="28">
        <f t="shared" si="0"/>
        <v>0.2069444444423425</v>
      </c>
      <c r="J5" s="29">
        <v>8.3333333333333329E-2</v>
      </c>
      <c r="K5" s="28">
        <f t="shared" si="1"/>
        <v>0.12361111110900917</v>
      </c>
      <c r="L5" s="30" t="s">
        <v>235</v>
      </c>
    </row>
    <row r="6" spans="1:12" ht="15.6" hidden="1" x14ac:dyDescent="0.3">
      <c r="A6" s="25">
        <v>5</v>
      </c>
      <c r="B6" s="25">
        <v>8054400</v>
      </c>
      <c r="C6" s="26" t="s">
        <v>303</v>
      </c>
      <c r="D6" s="26" t="s">
        <v>209</v>
      </c>
      <c r="E6" s="27" t="s">
        <v>83</v>
      </c>
      <c r="F6" s="25" t="s">
        <v>204</v>
      </c>
      <c r="G6" s="38">
        <v>46205.375</v>
      </c>
      <c r="H6" s="38">
        <v>46205.457638888889</v>
      </c>
      <c r="I6" s="28">
        <f t="shared" si="0"/>
        <v>8.2638888889050577E-2</v>
      </c>
      <c r="J6" s="29">
        <v>6.25E-2</v>
      </c>
      <c r="K6" s="28">
        <f t="shared" si="1"/>
        <v>2.0138888889050577E-2</v>
      </c>
      <c r="L6" s="30" t="s">
        <v>235</v>
      </c>
    </row>
    <row r="7" spans="1:12" ht="15.6" hidden="1" x14ac:dyDescent="0.3">
      <c r="A7" s="25">
        <v>6</v>
      </c>
      <c r="B7" s="25">
        <v>8054675</v>
      </c>
      <c r="C7" s="26" t="s">
        <v>303</v>
      </c>
      <c r="D7" s="26" t="s">
        <v>197</v>
      </c>
      <c r="E7" s="27" t="s">
        <v>40</v>
      </c>
      <c r="F7" s="25" t="s">
        <v>45</v>
      </c>
      <c r="G7" s="38">
        <v>46206.069444444445</v>
      </c>
      <c r="H7" s="38">
        <v>46206.263888888891</v>
      </c>
      <c r="I7" s="28">
        <f t="shared" si="0"/>
        <v>0.19444444444525288</v>
      </c>
      <c r="J7" s="29">
        <v>8.3333333333333329E-2</v>
      </c>
      <c r="K7" s="28">
        <f t="shared" si="1"/>
        <v>0.11111111111191956</v>
      </c>
      <c r="L7" s="30" t="s">
        <v>235</v>
      </c>
    </row>
    <row r="8" spans="1:12" ht="15.6" hidden="1" x14ac:dyDescent="0.3">
      <c r="A8" s="25">
        <v>7</v>
      </c>
      <c r="B8" s="25">
        <v>8054697</v>
      </c>
      <c r="C8" s="26" t="s">
        <v>303</v>
      </c>
      <c r="D8" s="26" t="s">
        <v>198</v>
      </c>
      <c r="E8" s="27" t="s">
        <v>51</v>
      </c>
      <c r="F8" s="25" t="s">
        <v>13</v>
      </c>
      <c r="G8" s="38">
        <v>46205.879861111112</v>
      </c>
      <c r="H8" s="38">
        <v>46206.011805555558</v>
      </c>
      <c r="I8" s="28">
        <f t="shared" si="0"/>
        <v>0.13194444444525288</v>
      </c>
      <c r="J8" s="29">
        <v>8.3333333333333329E-2</v>
      </c>
      <c r="K8" s="28">
        <f t="shared" si="1"/>
        <v>4.8611111111919555E-2</v>
      </c>
      <c r="L8" s="30" t="s">
        <v>235</v>
      </c>
    </row>
    <row r="9" spans="1:12" ht="15.6" hidden="1" x14ac:dyDescent="0.3">
      <c r="A9" s="25">
        <v>8</v>
      </c>
      <c r="B9" s="25">
        <v>8050996</v>
      </c>
      <c r="C9" s="26" t="s">
        <v>302</v>
      </c>
      <c r="D9" s="26" t="s">
        <v>228</v>
      </c>
      <c r="E9" s="27" t="s">
        <v>87</v>
      </c>
      <c r="F9" s="25" t="s">
        <v>174</v>
      </c>
      <c r="G9" s="38">
        <v>46204.354166666664</v>
      </c>
      <c r="H9" s="38">
        <v>46204.488194444442</v>
      </c>
      <c r="I9" s="28">
        <f t="shared" si="0"/>
        <v>0.13402777777810115</v>
      </c>
      <c r="J9" s="29">
        <v>6.25E-2</v>
      </c>
      <c r="K9" s="28">
        <f t="shared" si="1"/>
        <v>7.1527777778101154E-2</v>
      </c>
      <c r="L9" s="30" t="s">
        <v>235</v>
      </c>
    </row>
    <row r="10" spans="1:12" ht="15.6" hidden="1" x14ac:dyDescent="0.3">
      <c r="A10" s="25">
        <v>9</v>
      </c>
      <c r="B10" s="25">
        <v>8051195</v>
      </c>
      <c r="C10" s="26" t="s">
        <v>302</v>
      </c>
      <c r="D10" s="26" t="s">
        <v>188</v>
      </c>
      <c r="E10" s="27" t="s">
        <v>82</v>
      </c>
      <c r="F10" s="25" t="s">
        <v>13</v>
      </c>
      <c r="G10" s="38">
        <v>46204.665277777778</v>
      </c>
      <c r="H10" s="38">
        <v>46204.819444444445</v>
      </c>
      <c r="I10" s="28">
        <f t="shared" si="0"/>
        <v>0.15416666666715173</v>
      </c>
      <c r="J10" s="29">
        <v>8.3333333333333329E-2</v>
      </c>
      <c r="K10" s="28">
        <f t="shared" si="1"/>
        <v>7.0833333333818402E-2</v>
      </c>
      <c r="L10" s="30" t="s">
        <v>235</v>
      </c>
    </row>
    <row r="11" spans="1:12" ht="15.6" hidden="1" x14ac:dyDescent="0.3">
      <c r="A11" s="25">
        <v>10</v>
      </c>
      <c r="B11" s="25">
        <v>8051542</v>
      </c>
      <c r="C11" s="26" t="s">
        <v>302</v>
      </c>
      <c r="D11" s="26" t="s">
        <v>195</v>
      </c>
      <c r="E11" s="27" t="s">
        <v>37</v>
      </c>
      <c r="F11" s="25" t="s">
        <v>126</v>
      </c>
      <c r="G11" s="38">
        <v>46204.375</v>
      </c>
      <c r="H11" s="38">
        <v>46204.461805555555</v>
      </c>
      <c r="I11" s="28">
        <f t="shared" si="0"/>
        <v>8.6805555554747116E-2</v>
      </c>
      <c r="J11" s="29">
        <v>6.25E-2</v>
      </c>
      <c r="K11" s="28">
        <f t="shared" si="1"/>
        <v>2.4305555554747116E-2</v>
      </c>
      <c r="L11" s="30" t="s">
        <v>235</v>
      </c>
    </row>
    <row r="12" spans="1:12" ht="15.6" hidden="1" x14ac:dyDescent="0.3">
      <c r="A12" s="25">
        <v>11</v>
      </c>
      <c r="B12" s="25">
        <v>8051822</v>
      </c>
      <c r="C12" s="26" t="s">
        <v>302</v>
      </c>
      <c r="D12" s="26" t="s">
        <v>197</v>
      </c>
      <c r="E12" s="27" t="s">
        <v>30</v>
      </c>
      <c r="F12" s="25" t="s">
        <v>45</v>
      </c>
      <c r="G12" s="38">
        <v>46204.90625</v>
      </c>
      <c r="H12" s="38">
        <v>46205.013888888891</v>
      </c>
      <c r="I12" s="28">
        <f t="shared" si="0"/>
        <v>0.10763888889050577</v>
      </c>
      <c r="J12" s="29">
        <v>8.3333333333333329E-2</v>
      </c>
      <c r="K12" s="28">
        <f t="shared" si="1"/>
        <v>2.430555555717244E-2</v>
      </c>
      <c r="L12" s="30" t="s">
        <v>235</v>
      </c>
    </row>
    <row r="13" spans="1:12" ht="15.6" hidden="1" x14ac:dyDescent="0.3">
      <c r="A13" s="25">
        <v>12</v>
      </c>
      <c r="B13" s="25">
        <v>8051837</v>
      </c>
      <c r="C13" s="26" t="s">
        <v>302</v>
      </c>
      <c r="D13" s="26" t="s">
        <v>198</v>
      </c>
      <c r="E13" s="27" t="s">
        <v>48</v>
      </c>
      <c r="F13" s="25" t="s">
        <v>13</v>
      </c>
      <c r="G13" s="38">
        <v>46204.884722222225</v>
      </c>
      <c r="H13" s="38">
        <v>46204.96875</v>
      </c>
      <c r="I13" s="28">
        <f t="shared" si="0"/>
        <v>8.4027777775190771E-2</v>
      </c>
      <c r="J13" s="29">
        <v>8.3333333333333329E-2</v>
      </c>
      <c r="K13" s="28">
        <f t="shared" si="1"/>
        <v>6.9444444185744192E-4</v>
      </c>
      <c r="L13" s="30" t="s">
        <v>235</v>
      </c>
    </row>
    <row r="14" spans="1:12" ht="15.6" hidden="1" x14ac:dyDescent="0.3">
      <c r="A14" s="25">
        <v>13</v>
      </c>
      <c r="B14" s="25">
        <v>8052235</v>
      </c>
      <c r="C14" s="26" t="s">
        <v>302</v>
      </c>
      <c r="D14" s="26" t="s">
        <v>231</v>
      </c>
      <c r="E14" s="27" t="s">
        <v>99</v>
      </c>
      <c r="F14" s="25" t="s">
        <v>13</v>
      </c>
      <c r="G14" s="38">
        <v>46205.209027777775</v>
      </c>
      <c r="H14" s="38">
        <v>46205.319444444445</v>
      </c>
      <c r="I14" s="28">
        <f t="shared" si="0"/>
        <v>0.11041666667006211</v>
      </c>
      <c r="J14" s="29">
        <v>8.3333333333333329E-2</v>
      </c>
      <c r="K14" s="28">
        <f t="shared" si="1"/>
        <v>2.7083333336728785E-2</v>
      </c>
      <c r="L14" s="30" t="s">
        <v>235</v>
      </c>
    </row>
    <row r="15" spans="1:12" ht="15.6" hidden="1" x14ac:dyDescent="0.3">
      <c r="A15" s="25">
        <v>14</v>
      </c>
      <c r="B15" s="25">
        <v>8052727</v>
      </c>
      <c r="C15" s="26" t="s">
        <v>302</v>
      </c>
      <c r="D15" s="26" t="s">
        <v>207</v>
      </c>
      <c r="E15" s="27" t="s">
        <v>18</v>
      </c>
      <c r="F15" s="25" t="s">
        <v>95</v>
      </c>
      <c r="G15" s="38">
        <v>46204.916666666664</v>
      </c>
      <c r="H15" s="38">
        <v>46205.416666666664</v>
      </c>
      <c r="I15" s="28">
        <f t="shared" si="0"/>
        <v>0.5</v>
      </c>
      <c r="J15" s="29">
        <v>8.3333333333333329E-2</v>
      </c>
      <c r="K15" s="28">
        <f t="shared" si="1"/>
        <v>0.41666666666666669</v>
      </c>
      <c r="L15" s="30" t="s">
        <v>235</v>
      </c>
    </row>
    <row r="16" spans="1:12" ht="15.6" hidden="1" x14ac:dyDescent="0.3">
      <c r="A16" s="25">
        <v>15</v>
      </c>
      <c r="B16" s="25">
        <v>8053526</v>
      </c>
      <c r="C16" s="26" t="s">
        <v>302</v>
      </c>
      <c r="D16" s="26" t="s">
        <v>190</v>
      </c>
      <c r="E16" s="27" t="s">
        <v>46</v>
      </c>
      <c r="F16" s="25" t="s">
        <v>96</v>
      </c>
      <c r="G16" s="38">
        <v>46205.09375</v>
      </c>
      <c r="H16" s="38">
        <v>46205.304166666669</v>
      </c>
      <c r="I16" s="28">
        <f t="shared" si="0"/>
        <v>0.21041666666860692</v>
      </c>
      <c r="J16" s="29">
        <v>8.3333333333333329E-2</v>
      </c>
      <c r="K16" s="28">
        <f t="shared" si="1"/>
        <v>0.12708333333527361</v>
      </c>
      <c r="L16" s="30" t="s">
        <v>235</v>
      </c>
    </row>
    <row r="17" spans="1:12" ht="15.6" hidden="1" x14ac:dyDescent="0.3">
      <c r="A17" s="25">
        <v>1</v>
      </c>
      <c r="B17" s="25">
        <v>8056723</v>
      </c>
      <c r="C17" s="26" t="s">
        <v>308</v>
      </c>
      <c r="D17" s="26" t="s">
        <v>228</v>
      </c>
      <c r="E17" s="27" t="s">
        <v>87</v>
      </c>
      <c r="F17" s="25" t="s">
        <v>174</v>
      </c>
      <c r="G17" s="38">
        <v>46206.357638888891</v>
      </c>
      <c r="H17" s="38">
        <v>46206.536111111112</v>
      </c>
      <c r="I17" s="28">
        <f>H17-G17</f>
        <v>0.17847222222189885</v>
      </c>
      <c r="J17" s="29">
        <v>6.25E-2</v>
      </c>
      <c r="K17" s="28">
        <f>I17-J17</f>
        <v>0.11597222222189885</v>
      </c>
      <c r="L17" s="30" t="s">
        <v>235</v>
      </c>
    </row>
    <row r="18" spans="1:12" ht="15.6" hidden="1" x14ac:dyDescent="0.3">
      <c r="A18" s="25">
        <v>2</v>
      </c>
      <c r="B18" s="25">
        <v>8056811</v>
      </c>
      <c r="C18" s="26" t="s">
        <v>308</v>
      </c>
      <c r="D18" s="26" t="s">
        <v>215</v>
      </c>
      <c r="E18" s="27" t="s">
        <v>29</v>
      </c>
      <c r="F18" s="25" t="s">
        <v>98</v>
      </c>
      <c r="G18" s="38">
        <v>46206.375</v>
      </c>
      <c r="H18" s="38">
        <v>46206.5</v>
      </c>
      <c r="I18" s="28">
        <f>H18-G18</f>
        <v>0.125</v>
      </c>
      <c r="J18" s="29">
        <v>8.3333333333333329E-2</v>
      </c>
      <c r="K18" s="28">
        <f>I18-J18</f>
        <v>4.1666666666666671E-2</v>
      </c>
      <c r="L18" s="30" t="s">
        <v>235</v>
      </c>
    </row>
    <row r="19" spans="1:12" ht="15.6" hidden="1" x14ac:dyDescent="0.3">
      <c r="A19" s="25">
        <v>3</v>
      </c>
      <c r="B19" s="25">
        <v>8057640</v>
      </c>
      <c r="C19" s="26" t="s">
        <v>308</v>
      </c>
      <c r="D19" s="26" t="s">
        <v>188</v>
      </c>
      <c r="E19" s="27" t="s">
        <v>82</v>
      </c>
      <c r="F19" s="25" t="s">
        <v>13</v>
      </c>
      <c r="G19" s="38">
        <v>46207.040972222225</v>
      </c>
      <c r="H19" s="38">
        <v>46207.162499999999</v>
      </c>
      <c r="I19" s="28">
        <f>H19-G19</f>
        <v>0.12152777777373558</v>
      </c>
      <c r="J19" s="29">
        <v>8.3333333333333329E-2</v>
      </c>
      <c r="K19" s="28">
        <f>I19-J19</f>
        <v>3.819444444040225E-2</v>
      </c>
      <c r="L19" s="30" t="s">
        <v>235</v>
      </c>
    </row>
    <row r="20" spans="1:12" ht="15.6" hidden="1" x14ac:dyDescent="0.3">
      <c r="A20" s="25">
        <v>4</v>
      </c>
      <c r="B20" s="25">
        <v>8057525</v>
      </c>
      <c r="C20" s="26" t="s">
        <v>308</v>
      </c>
      <c r="D20" s="26" t="s">
        <v>197</v>
      </c>
      <c r="E20" s="27" t="s">
        <v>44</v>
      </c>
      <c r="F20" s="25" t="s">
        <v>45</v>
      </c>
      <c r="G20" s="38">
        <v>46206.9</v>
      </c>
      <c r="H20" s="38">
        <v>46207.006944444445</v>
      </c>
      <c r="I20" s="28">
        <f>H20-G20</f>
        <v>0.10694444444379769</v>
      </c>
      <c r="J20" s="29">
        <v>8.3333333333333329E-2</v>
      </c>
      <c r="K20" s="28">
        <f>I20-J20</f>
        <v>2.3611111110464364E-2</v>
      </c>
      <c r="L20" s="30" t="s">
        <v>235</v>
      </c>
    </row>
    <row r="21" spans="1:12" ht="15.6" hidden="1" x14ac:dyDescent="0.3">
      <c r="A21" s="25">
        <v>5</v>
      </c>
      <c r="B21" s="25">
        <v>8057535</v>
      </c>
      <c r="C21" s="26" t="s">
        <v>308</v>
      </c>
      <c r="D21" s="26" t="s">
        <v>198</v>
      </c>
      <c r="E21" s="27" t="s">
        <v>48</v>
      </c>
      <c r="F21" s="25" t="s">
        <v>13</v>
      </c>
      <c r="G21" s="38">
        <v>46206.870833333334</v>
      </c>
      <c r="H21" s="38">
        <v>46207.142361111109</v>
      </c>
      <c r="I21" s="28">
        <f>H21-G21</f>
        <v>0.27152777777519077</v>
      </c>
      <c r="J21" s="29">
        <v>8.3333333333333329E-2</v>
      </c>
      <c r="K21" s="28">
        <f>I21-J21</f>
        <v>0.18819444444185746</v>
      </c>
      <c r="L21" s="30" t="s">
        <v>235</v>
      </c>
    </row>
    <row r="22" spans="1:12" ht="15.6" hidden="1" x14ac:dyDescent="0.3">
      <c r="A22" s="25">
        <v>1</v>
      </c>
      <c r="B22" s="25">
        <v>8059648</v>
      </c>
      <c r="C22" s="26" t="s">
        <v>309</v>
      </c>
      <c r="D22" s="26" t="s">
        <v>215</v>
      </c>
      <c r="E22" s="27" t="s">
        <v>16</v>
      </c>
      <c r="F22" s="25" t="s">
        <v>98</v>
      </c>
      <c r="G22" s="38">
        <v>46207.375</v>
      </c>
      <c r="H22" s="38">
        <v>46207.480555555558</v>
      </c>
      <c r="I22" s="28">
        <f t="shared" ref="I22:I35" si="2">H22-G22</f>
        <v>0.1055555555576575</v>
      </c>
      <c r="J22" s="29">
        <v>8.3333333333333329E-2</v>
      </c>
      <c r="K22" s="28">
        <f t="shared" ref="K22:K35" si="3">I22-J22</f>
        <v>2.222222222432417E-2</v>
      </c>
      <c r="L22" s="30" t="s">
        <v>235</v>
      </c>
    </row>
    <row r="23" spans="1:12" s="92" customFormat="1" ht="15.6" hidden="1" x14ac:dyDescent="0.3">
      <c r="A23" s="85">
        <v>2</v>
      </c>
      <c r="B23" s="85">
        <v>8059972</v>
      </c>
      <c r="C23" s="86" t="s">
        <v>309</v>
      </c>
      <c r="D23" s="86" t="s">
        <v>193</v>
      </c>
      <c r="E23" s="87" t="s">
        <v>44</v>
      </c>
      <c r="F23" s="85" t="s">
        <v>13</v>
      </c>
      <c r="G23" s="88">
        <v>46207.884722222225</v>
      </c>
      <c r="H23" s="88">
        <v>46208.079861111109</v>
      </c>
      <c r="I23" s="89">
        <f t="shared" si="2"/>
        <v>0.195138888884685</v>
      </c>
      <c r="J23" s="90">
        <v>8.3333333333333329E-2</v>
      </c>
      <c r="K23" s="89">
        <f t="shared" si="3"/>
        <v>0.11180555555135167</v>
      </c>
      <c r="L23" s="91" t="s">
        <v>235</v>
      </c>
    </row>
    <row r="24" spans="1:12" s="92" customFormat="1" ht="15.6" hidden="1" x14ac:dyDescent="0.3">
      <c r="A24" s="85">
        <v>3</v>
      </c>
      <c r="B24" s="85">
        <v>8060302</v>
      </c>
      <c r="C24" s="86" t="s">
        <v>309</v>
      </c>
      <c r="D24" s="86" t="s">
        <v>188</v>
      </c>
      <c r="E24" s="87" t="s">
        <v>25</v>
      </c>
      <c r="F24" s="85" t="s">
        <v>13</v>
      </c>
      <c r="G24" s="88">
        <v>46207.698611111111</v>
      </c>
      <c r="H24" s="88">
        <v>46207.865277777775</v>
      </c>
      <c r="I24" s="89">
        <f t="shared" si="2"/>
        <v>0.16666666666424135</v>
      </c>
      <c r="J24" s="90">
        <v>8.3333333333333329E-2</v>
      </c>
      <c r="K24" s="89">
        <f t="shared" si="3"/>
        <v>8.3333333330908019E-2</v>
      </c>
      <c r="L24" s="91" t="s">
        <v>235</v>
      </c>
    </row>
    <row r="25" spans="1:12" ht="15.6" hidden="1" x14ac:dyDescent="0.3">
      <c r="A25" s="25">
        <v>4</v>
      </c>
      <c r="B25" s="25">
        <v>8060094</v>
      </c>
      <c r="C25" s="26" t="s">
        <v>309</v>
      </c>
      <c r="D25" s="26" t="s">
        <v>195</v>
      </c>
      <c r="E25" s="27" t="s">
        <v>83</v>
      </c>
      <c r="F25" s="25" t="s">
        <v>126</v>
      </c>
      <c r="G25" s="38">
        <v>46207.375</v>
      </c>
      <c r="H25" s="38">
        <v>46207.451388888891</v>
      </c>
      <c r="I25" s="28">
        <f t="shared" si="2"/>
        <v>7.6388888890505768E-2</v>
      </c>
      <c r="J25" s="29">
        <v>6.25E-2</v>
      </c>
      <c r="K25" s="28">
        <f t="shared" si="3"/>
        <v>1.3888888890505768E-2</v>
      </c>
      <c r="L25" s="30" t="s">
        <v>235</v>
      </c>
    </row>
    <row r="26" spans="1:12" ht="15.6" hidden="1" x14ac:dyDescent="0.3">
      <c r="A26" s="25">
        <v>5</v>
      </c>
      <c r="B26" s="25">
        <v>8060128</v>
      </c>
      <c r="C26" s="26" t="s">
        <v>309</v>
      </c>
      <c r="D26" s="26" t="s">
        <v>311</v>
      </c>
      <c r="E26" s="27" t="s">
        <v>56</v>
      </c>
      <c r="F26" s="25" t="s">
        <v>205</v>
      </c>
      <c r="G26" s="38">
        <v>46207.375</v>
      </c>
      <c r="H26" s="38">
        <v>46207.420138888891</v>
      </c>
      <c r="I26" s="28">
        <f t="shared" si="2"/>
        <v>4.5138888890505768E-2</v>
      </c>
      <c r="J26" s="29">
        <v>4.1666666666666664E-2</v>
      </c>
      <c r="K26" s="28">
        <f t="shared" si="3"/>
        <v>3.472222223839104E-3</v>
      </c>
      <c r="L26" s="30" t="s">
        <v>235</v>
      </c>
    </row>
    <row r="27" spans="1:12" ht="15.6" hidden="1" x14ac:dyDescent="0.3">
      <c r="A27" s="25">
        <v>6</v>
      </c>
      <c r="B27" s="25">
        <v>8060364</v>
      </c>
      <c r="C27" s="26" t="s">
        <v>309</v>
      </c>
      <c r="D27" s="26" t="s">
        <v>197</v>
      </c>
      <c r="E27" s="27" t="s">
        <v>86</v>
      </c>
      <c r="F27" s="25" t="s">
        <v>45</v>
      </c>
      <c r="G27" s="38">
        <v>46207.951388888891</v>
      </c>
      <c r="H27" s="38">
        <v>46208.138888888891</v>
      </c>
      <c r="I27" s="28">
        <f t="shared" si="2"/>
        <v>0.1875</v>
      </c>
      <c r="J27" s="29">
        <v>8.3333333333333329E-2</v>
      </c>
      <c r="K27" s="28">
        <f t="shared" si="3"/>
        <v>0.10416666666666667</v>
      </c>
      <c r="L27" s="30" t="s">
        <v>235</v>
      </c>
    </row>
    <row r="28" spans="1:12" ht="15.6" hidden="1" x14ac:dyDescent="0.3">
      <c r="A28" s="25">
        <v>7</v>
      </c>
      <c r="B28" s="25">
        <v>8060388</v>
      </c>
      <c r="C28" s="26" t="s">
        <v>309</v>
      </c>
      <c r="D28" s="26" t="s">
        <v>201</v>
      </c>
      <c r="E28" s="27" t="s">
        <v>46</v>
      </c>
      <c r="F28" s="25" t="s">
        <v>96</v>
      </c>
      <c r="G28" s="38">
        <v>46209.037499999999</v>
      </c>
      <c r="H28" s="38">
        <v>46209.177777777775</v>
      </c>
      <c r="I28" s="28">
        <f t="shared" si="2"/>
        <v>0.14027777777664596</v>
      </c>
      <c r="J28" s="29">
        <v>8.3333333333333329E-2</v>
      </c>
      <c r="K28" s="28">
        <f t="shared" si="3"/>
        <v>5.6944444443312633E-2</v>
      </c>
      <c r="L28" s="30" t="s">
        <v>235</v>
      </c>
    </row>
    <row r="29" spans="1:12" s="92" customFormat="1" ht="15.6" hidden="1" x14ac:dyDescent="0.3">
      <c r="A29" s="85">
        <v>8</v>
      </c>
      <c r="B29" s="85">
        <v>8060737</v>
      </c>
      <c r="C29" s="86" t="s">
        <v>309</v>
      </c>
      <c r="D29" s="86" t="s">
        <v>198</v>
      </c>
      <c r="E29" s="87" t="s">
        <v>51</v>
      </c>
      <c r="F29" s="85" t="s">
        <v>13</v>
      </c>
      <c r="G29" s="88">
        <v>46208.052777777775</v>
      </c>
      <c r="H29" s="88">
        <v>46208.28125</v>
      </c>
      <c r="I29" s="89">
        <f t="shared" si="2"/>
        <v>0.22847222222480923</v>
      </c>
      <c r="J29" s="90">
        <v>8.3333333333333329E-2</v>
      </c>
      <c r="K29" s="89">
        <f t="shared" si="3"/>
        <v>0.14513888889147591</v>
      </c>
      <c r="L29" s="91" t="s">
        <v>235</v>
      </c>
    </row>
    <row r="30" spans="1:12" ht="15.6" hidden="1" x14ac:dyDescent="0.3">
      <c r="A30" s="25">
        <v>9</v>
      </c>
      <c r="B30" s="25">
        <v>8062269</v>
      </c>
      <c r="C30" s="26" t="s">
        <v>310</v>
      </c>
      <c r="D30" s="26" t="s">
        <v>292</v>
      </c>
      <c r="E30" s="27" t="s">
        <v>18</v>
      </c>
      <c r="F30" s="25" t="s">
        <v>95</v>
      </c>
      <c r="G30" s="38">
        <v>46208.354166666664</v>
      </c>
      <c r="H30" s="38">
        <v>46208.458333333336</v>
      </c>
      <c r="I30" s="28">
        <f t="shared" si="2"/>
        <v>0.10416666667151731</v>
      </c>
      <c r="J30" s="29">
        <v>6.25E-2</v>
      </c>
      <c r="K30" s="28">
        <f t="shared" si="3"/>
        <v>4.1666666671517305E-2</v>
      </c>
      <c r="L30" s="30" t="s">
        <v>235</v>
      </c>
    </row>
    <row r="31" spans="1:12" ht="15.6" hidden="1" x14ac:dyDescent="0.3">
      <c r="A31" s="25">
        <v>10</v>
      </c>
      <c r="B31" s="25">
        <v>8062350</v>
      </c>
      <c r="C31" s="26" t="s">
        <v>310</v>
      </c>
      <c r="D31" s="26" t="s">
        <v>228</v>
      </c>
      <c r="E31" s="27" t="s">
        <v>87</v>
      </c>
      <c r="F31" s="25" t="s">
        <v>174</v>
      </c>
      <c r="G31" s="38">
        <v>46208.364583333336</v>
      </c>
      <c r="H31" s="38">
        <v>46208.445138888892</v>
      </c>
      <c r="I31" s="28">
        <f t="shared" si="2"/>
        <v>8.0555555556202307E-2</v>
      </c>
      <c r="J31" s="29">
        <v>6.25E-2</v>
      </c>
      <c r="K31" s="28">
        <f t="shared" si="3"/>
        <v>1.8055555556202307E-2</v>
      </c>
      <c r="L31" s="30" t="s">
        <v>235</v>
      </c>
    </row>
    <row r="32" spans="1:12" ht="15.6" hidden="1" x14ac:dyDescent="0.3">
      <c r="A32" s="25">
        <v>11</v>
      </c>
      <c r="B32" s="25">
        <v>8062464</v>
      </c>
      <c r="C32" s="26" t="s">
        <v>310</v>
      </c>
      <c r="D32" s="26" t="s">
        <v>215</v>
      </c>
      <c r="E32" s="27" t="s">
        <v>29</v>
      </c>
      <c r="F32" s="25" t="s">
        <v>98</v>
      </c>
      <c r="G32" s="38">
        <v>46208.375</v>
      </c>
      <c r="H32" s="38">
        <v>46208.527777777781</v>
      </c>
      <c r="I32" s="28">
        <f t="shared" si="2"/>
        <v>0.15277777778101154</v>
      </c>
      <c r="J32" s="29">
        <v>8.3333333333333329E-2</v>
      </c>
      <c r="K32" s="28">
        <f t="shared" si="3"/>
        <v>6.9444444447678208E-2</v>
      </c>
      <c r="L32" s="30" t="s">
        <v>235</v>
      </c>
    </row>
    <row r="33" spans="1:12" ht="15.6" hidden="1" x14ac:dyDescent="0.3">
      <c r="A33" s="25">
        <v>12</v>
      </c>
      <c r="B33" s="25">
        <v>8062881</v>
      </c>
      <c r="C33" s="26" t="s">
        <v>310</v>
      </c>
      <c r="D33" s="26" t="s">
        <v>209</v>
      </c>
      <c r="E33" s="27" t="s">
        <v>37</v>
      </c>
      <c r="F33" s="25" t="s">
        <v>204</v>
      </c>
      <c r="G33" s="38">
        <v>46208.375</v>
      </c>
      <c r="H33" s="38">
        <v>46208.513888888891</v>
      </c>
      <c r="I33" s="28">
        <f t="shared" si="2"/>
        <v>0.13888888889050577</v>
      </c>
      <c r="J33" s="29">
        <v>6.25E-2</v>
      </c>
      <c r="K33" s="28">
        <f t="shared" si="3"/>
        <v>7.6388888890505768E-2</v>
      </c>
      <c r="L33" s="30" t="s">
        <v>235</v>
      </c>
    </row>
    <row r="34" spans="1:12" s="92" customFormat="1" ht="15.6" hidden="1" x14ac:dyDescent="0.3">
      <c r="A34" s="85">
        <v>13</v>
      </c>
      <c r="B34" s="85">
        <v>8063453</v>
      </c>
      <c r="C34" s="86" t="s">
        <v>310</v>
      </c>
      <c r="D34" s="86" t="s">
        <v>198</v>
      </c>
      <c r="E34" s="87" t="s">
        <v>48</v>
      </c>
      <c r="F34" s="85" t="s">
        <v>13</v>
      </c>
      <c r="G34" s="88">
        <v>46208.988888888889</v>
      </c>
      <c r="H34" s="88">
        <v>46209.097222222219</v>
      </c>
      <c r="I34" s="89">
        <f t="shared" si="2"/>
        <v>0.10833333332993789</v>
      </c>
      <c r="J34" s="90">
        <v>8.3333333333333329E-2</v>
      </c>
      <c r="K34" s="89">
        <f t="shared" si="3"/>
        <v>2.4999999996604558E-2</v>
      </c>
      <c r="L34" s="91" t="s">
        <v>235</v>
      </c>
    </row>
    <row r="35" spans="1:12" s="92" customFormat="1" ht="15.6" hidden="1" x14ac:dyDescent="0.3">
      <c r="A35" s="85">
        <v>14</v>
      </c>
      <c r="B35" s="85">
        <v>8062150</v>
      </c>
      <c r="C35" s="86" t="s">
        <v>310</v>
      </c>
      <c r="D35" s="86" t="s">
        <v>208</v>
      </c>
      <c r="E35" s="87" t="s">
        <v>90</v>
      </c>
      <c r="F35" s="85" t="s">
        <v>13</v>
      </c>
      <c r="G35" s="88">
        <v>46208.023611111108</v>
      </c>
      <c r="H35" s="88">
        <v>46208.083333333336</v>
      </c>
      <c r="I35" s="89">
        <f t="shared" si="2"/>
        <v>5.9722222227719612E-2</v>
      </c>
      <c r="J35" s="90">
        <v>4.1666666666666664E-2</v>
      </c>
      <c r="K35" s="89">
        <f t="shared" si="3"/>
        <v>1.8055555561052948E-2</v>
      </c>
      <c r="L35" s="91" t="s">
        <v>235</v>
      </c>
    </row>
    <row r="36" spans="1:12" s="92" customFormat="1" ht="15.6" hidden="1" x14ac:dyDescent="0.3">
      <c r="A36" s="85">
        <v>15</v>
      </c>
      <c r="B36" s="85">
        <v>8058339</v>
      </c>
      <c r="C36" s="86" t="s">
        <v>308</v>
      </c>
      <c r="D36" s="86" t="s">
        <v>193</v>
      </c>
      <c r="E36" s="87" t="s">
        <v>40</v>
      </c>
      <c r="F36" s="85" t="s">
        <v>13</v>
      </c>
      <c r="G36" s="88">
        <v>46207.321527777778</v>
      </c>
      <c r="H36" s="88">
        <v>46207.746527777781</v>
      </c>
      <c r="I36" s="89">
        <f t="shared" ref="I36:I39" si="4">H36-G36</f>
        <v>0.42500000000291038</v>
      </c>
      <c r="J36" s="90">
        <v>8.3333333333333329E-2</v>
      </c>
      <c r="K36" s="89">
        <f t="shared" ref="K36:K39" si="5">I36-J36</f>
        <v>0.34166666666957707</v>
      </c>
      <c r="L36" s="91" t="s">
        <v>235</v>
      </c>
    </row>
    <row r="37" spans="1:12" ht="15.6" hidden="1" x14ac:dyDescent="0.3">
      <c r="A37" s="25">
        <v>16</v>
      </c>
      <c r="B37" s="25">
        <v>8057528</v>
      </c>
      <c r="C37" s="26" t="s">
        <v>308</v>
      </c>
      <c r="D37" s="26" t="s">
        <v>201</v>
      </c>
      <c r="E37" s="27" t="s">
        <v>171</v>
      </c>
      <c r="F37" s="25" t="s">
        <v>96</v>
      </c>
      <c r="G37" s="38">
        <v>46208.036111111112</v>
      </c>
      <c r="H37" s="38">
        <v>46208.276388888888</v>
      </c>
      <c r="I37" s="28">
        <f t="shared" si="4"/>
        <v>0.24027777777519077</v>
      </c>
      <c r="J37" s="29">
        <v>8.3333333333333329E-2</v>
      </c>
      <c r="K37" s="28">
        <f t="shared" si="5"/>
        <v>0.15694444444185746</v>
      </c>
      <c r="L37" s="30" t="s">
        <v>235</v>
      </c>
    </row>
    <row r="38" spans="1:12" ht="15.6" hidden="1" x14ac:dyDescent="0.3">
      <c r="A38" s="25">
        <v>17</v>
      </c>
      <c r="B38" s="25">
        <v>8058688</v>
      </c>
      <c r="C38" s="26" t="s">
        <v>308</v>
      </c>
      <c r="D38" s="26" t="s">
        <v>218</v>
      </c>
      <c r="E38" s="27" t="s">
        <v>50</v>
      </c>
      <c r="F38" s="25" t="s">
        <v>45</v>
      </c>
      <c r="G38" s="38">
        <v>46206.995138888888</v>
      </c>
      <c r="H38" s="38">
        <v>46207.713888888888</v>
      </c>
      <c r="I38" s="28">
        <f t="shared" si="4"/>
        <v>0.71875</v>
      </c>
      <c r="J38" s="29">
        <v>8.3333333333333329E-2</v>
      </c>
      <c r="K38" s="28">
        <f t="shared" si="5"/>
        <v>0.63541666666666663</v>
      </c>
      <c r="L38" s="30" t="s">
        <v>235</v>
      </c>
    </row>
    <row r="39" spans="1:12" ht="15.6" hidden="1" x14ac:dyDescent="0.3">
      <c r="A39" s="25">
        <v>18</v>
      </c>
      <c r="B39" s="25">
        <v>8059223</v>
      </c>
      <c r="C39" s="26" t="s">
        <v>308</v>
      </c>
      <c r="D39" s="26" t="s">
        <v>190</v>
      </c>
      <c r="E39" s="27" t="s">
        <v>175</v>
      </c>
      <c r="F39" s="25" t="s">
        <v>96</v>
      </c>
      <c r="G39" s="38">
        <v>46207.09375</v>
      </c>
      <c r="H39" s="38">
        <v>46207.392361111109</v>
      </c>
      <c r="I39" s="28">
        <f t="shared" si="4"/>
        <v>0.29861111110949423</v>
      </c>
      <c r="J39" s="29">
        <v>8.3333333333333329E-2</v>
      </c>
      <c r="K39" s="28">
        <f t="shared" si="5"/>
        <v>0.21527777777616092</v>
      </c>
      <c r="L39" s="30" t="s">
        <v>235</v>
      </c>
    </row>
    <row r="40" spans="1:12" ht="15.6" hidden="1" x14ac:dyDescent="0.3">
      <c r="A40" s="25">
        <v>1</v>
      </c>
      <c r="B40" s="25">
        <v>8063154</v>
      </c>
      <c r="C40" s="26" t="s">
        <v>310</v>
      </c>
      <c r="D40" s="26" t="s">
        <v>197</v>
      </c>
      <c r="E40" s="27" t="s">
        <v>50</v>
      </c>
      <c r="F40" s="25" t="s">
        <v>45</v>
      </c>
      <c r="G40" s="38">
        <v>46209.420138888891</v>
      </c>
      <c r="H40" s="38">
        <v>46209.534722222219</v>
      </c>
      <c r="I40" s="28">
        <f t="shared" ref="I40:I46" si="6">H40-G40</f>
        <v>0.11458333332848269</v>
      </c>
      <c r="J40" s="29">
        <v>8.3333333333333329E-2</v>
      </c>
      <c r="K40" s="28">
        <f t="shared" ref="K40:K46" si="7">I40-J40</f>
        <v>3.1249999995149366E-2</v>
      </c>
      <c r="L40" s="30" t="s">
        <v>235</v>
      </c>
    </row>
    <row r="41" spans="1:12" ht="15.6" hidden="1" x14ac:dyDescent="0.3">
      <c r="A41" s="25">
        <v>2</v>
      </c>
      <c r="B41" s="25">
        <v>8063156</v>
      </c>
      <c r="C41" s="26" t="s">
        <v>310</v>
      </c>
      <c r="D41" s="26" t="s">
        <v>201</v>
      </c>
      <c r="E41" s="27" t="s">
        <v>203</v>
      </c>
      <c r="F41" s="25" t="s">
        <v>96</v>
      </c>
      <c r="G41" s="38">
        <v>46209.970833333333</v>
      </c>
      <c r="H41" s="38">
        <v>46210.220138888886</v>
      </c>
      <c r="I41" s="28">
        <f t="shared" si="6"/>
        <v>0.24930555555329192</v>
      </c>
      <c r="J41" s="29">
        <v>8.3333333333333329E-2</v>
      </c>
      <c r="K41" s="28">
        <f t="shared" si="7"/>
        <v>0.16597222221995861</v>
      </c>
      <c r="L41" s="30" t="s">
        <v>235</v>
      </c>
    </row>
    <row r="42" spans="1:12" ht="15.6" hidden="1" x14ac:dyDescent="0.3">
      <c r="A42" s="25">
        <v>3</v>
      </c>
      <c r="B42" s="25">
        <v>8065137</v>
      </c>
      <c r="C42" s="26" t="s">
        <v>313</v>
      </c>
      <c r="D42" s="26" t="s">
        <v>215</v>
      </c>
      <c r="E42" s="27" t="s">
        <v>16</v>
      </c>
      <c r="F42" s="25" t="s">
        <v>98</v>
      </c>
      <c r="G42" s="38">
        <v>46209.375</v>
      </c>
      <c r="H42" s="38">
        <v>46209.574999999997</v>
      </c>
      <c r="I42" s="28">
        <f t="shared" si="6"/>
        <v>0.19999999999708962</v>
      </c>
      <c r="J42" s="29">
        <v>8.3333333333333329E-2</v>
      </c>
      <c r="K42" s="28">
        <f t="shared" si="7"/>
        <v>0.11666666666375629</v>
      </c>
      <c r="L42" s="30" t="s">
        <v>235</v>
      </c>
    </row>
    <row r="43" spans="1:12" ht="15.6" hidden="1" x14ac:dyDescent="0.3">
      <c r="A43" s="25">
        <v>4</v>
      </c>
      <c r="B43" s="25">
        <v>8066641</v>
      </c>
      <c r="C43" s="26" t="s">
        <v>313</v>
      </c>
      <c r="D43" s="26" t="s">
        <v>194</v>
      </c>
      <c r="E43" s="27" t="s">
        <v>36</v>
      </c>
      <c r="F43" s="25" t="s">
        <v>15</v>
      </c>
      <c r="G43" s="38">
        <v>46209.991666666669</v>
      </c>
      <c r="H43" s="38">
        <v>46210.18472222222</v>
      </c>
      <c r="I43" s="28">
        <f t="shared" si="6"/>
        <v>0.19305555555183673</v>
      </c>
      <c r="J43" s="29">
        <v>6.25E-2</v>
      </c>
      <c r="K43" s="28">
        <f t="shared" si="7"/>
        <v>0.13055555555183673</v>
      </c>
      <c r="L43" s="30" t="s">
        <v>235</v>
      </c>
    </row>
    <row r="44" spans="1:12" ht="15.6" hidden="1" x14ac:dyDescent="0.3">
      <c r="A44" s="25">
        <v>5</v>
      </c>
      <c r="B44" s="25">
        <v>8065553</v>
      </c>
      <c r="C44" s="26" t="s">
        <v>313</v>
      </c>
      <c r="D44" s="26" t="s">
        <v>195</v>
      </c>
      <c r="E44" s="27" t="s">
        <v>12</v>
      </c>
      <c r="F44" s="25" t="s">
        <v>126</v>
      </c>
      <c r="G44" s="38">
        <v>46209.375</v>
      </c>
      <c r="H44" s="38">
        <v>46209.496527777781</v>
      </c>
      <c r="I44" s="28">
        <f t="shared" si="6"/>
        <v>0.12152777778101154</v>
      </c>
      <c r="J44" s="29">
        <v>6.25E-2</v>
      </c>
      <c r="K44" s="28">
        <f t="shared" si="7"/>
        <v>5.9027777781011537E-2</v>
      </c>
      <c r="L44" s="30" t="s">
        <v>235</v>
      </c>
    </row>
    <row r="45" spans="1:12" ht="15.6" hidden="1" x14ac:dyDescent="0.3">
      <c r="A45" s="25">
        <v>6</v>
      </c>
      <c r="B45" s="25">
        <v>8065806</v>
      </c>
      <c r="C45" s="26" t="s">
        <v>313</v>
      </c>
      <c r="D45" s="26" t="s">
        <v>197</v>
      </c>
      <c r="E45" s="27" t="s">
        <v>86</v>
      </c>
      <c r="F45" s="25" t="s">
        <v>45</v>
      </c>
      <c r="G45" s="38">
        <v>46210.020833333336</v>
      </c>
      <c r="H45" s="38">
        <v>46210.111111111109</v>
      </c>
      <c r="I45" s="28">
        <f t="shared" si="6"/>
        <v>9.0277777773735579E-2</v>
      </c>
      <c r="J45" s="29">
        <v>8.3333333333333329E-2</v>
      </c>
      <c r="K45" s="28">
        <f t="shared" si="7"/>
        <v>6.9444444404022504E-3</v>
      </c>
      <c r="L45" s="30" t="s">
        <v>235</v>
      </c>
    </row>
    <row r="46" spans="1:12" ht="15.6" hidden="1" x14ac:dyDescent="0.3">
      <c r="A46" s="25">
        <v>7</v>
      </c>
      <c r="B46" s="25">
        <v>8067240</v>
      </c>
      <c r="C46" s="26" t="s">
        <v>313</v>
      </c>
      <c r="D46" s="26" t="s">
        <v>190</v>
      </c>
      <c r="E46" s="27" t="s">
        <v>46</v>
      </c>
      <c r="F46" s="25" t="s">
        <v>96</v>
      </c>
      <c r="G46" s="38">
        <v>46210.104861111111</v>
      </c>
      <c r="H46" s="38">
        <v>46210.279166666667</v>
      </c>
      <c r="I46" s="28">
        <f t="shared" si="6"/>
        <v>0.17430555555620231</v>
      </c>
      <c r="J46" s="29">
        <v>8.3333333333333329E-2</v>
      </c>
      <c r="K46" s="28">
        <f t="shared" si="7"/>
        <v>9.0972222222868979E-2</v>
      </c>
      <c r="L46" s="30" t="s">
        <v>235</v>
      </c>
    </row>
    <row r="47" spans="1:12" ht="15.6" hidden="1" x14ac:dyDescent="0.3">
      <c r="A47" s="25">
        <v>1</v>
      </c>
      <c r="B47" s="25">
        <v>8067627</v>
      </c>
      <c r="C47" s="26" t="s">
        <v>314</v>
      </c>
      <c r="D47" s="26" t="s">
        <v>214</v>
      </c>
      <c r="E47" s="27" t="s">
        <v>82</v>
      </c>
      <c r="F47" s="25" t="s">
        <v>179</v>
      </c>
      <c r="G47" s="38">
        <v>46210.347222222219</v>
      </c>
      <c r="H47" s="38">
        <v>46210.402083333334</v>
      </c>
      <c r="I47" s="28">
        <f t="shared" ref="I47:I51" si="8">H47-G47</f>
        <v>5.4861111115314998E-2</v>
      </c>
      <c r="J47" s="29">
        <v>4.1666666666666664E-2</v>
      </c>
      <c r="K47" s="28">
        <f t="shared" ref="K47:K51" si="9">I47-J47</f>
        <v>1.3194444448648333E-2</v>
      </c>
      <c r="L47" s="30" t="s">
        <v>235</v>
      </c>
    </row>
    <row r="48" spans="1:12" ht="15.6" hidden="1" x14ac:dyDescent="0.3">
      <c r="A48" s="25">
        <v>2</v>
      </c>
      <c r="B48" s="25">
        <v>8067694</v>
      </c>
      <c r="C48" s="26" t="s">
        <v>314</v>
      </c>
      <c r="D48" s="26" t="s">
        <v>215</v>
      </c>
      <c r="E48" s="27" t="s">
        <v>29</v>
      </c>
      <c r="F48" s="25" t="s">
        <v>98</v>
      </c>
      <c r="G48" s="38">
        <v>46210.375</v>
      </c>
      <c r="H48" s="38">
        <v>46210.541666666664</v>
      </c>
      <c r="I48" s="28">
        <f t="shared" si="8"/>
        <v>0.16666666666424135</v>
      </c>
      <c r="J48" s="29">
        <v>8.3333333333333329E-2</v>
      </c>
      <c r="K48" s="28">
        <f t="shared" si="9"/>
        <v>8.3333333330908019E-2</v>
      </c>
      <c r="L48" s="30" t="s">
        <v>235</v>
      </c>
    </row>
    <row r="49" spans="1:12" ht="15.6" hidden="1" x14ac:dyDescent="0.3">
      <c r="A49" s="25">
        <v>3</v>
      </c>
      <c r="B49" s="25">
        <v>8068755</v>
      </c>
      <c r="C49" s="26" t="s">
        <v>314</v>
      </c>
      <c r="D49" s="26" t="s">
        <v>210</v>
      </c>
      <c r="E49" s="27" t="s">
        <v>99</v>
      </c>
      <c r="F49" s="25" t="s">
        <v>13</v>
      </c>
      <c r="G49" s="38">
        <v>46211.143750000003</v>
      </c>
      <c r="H49" s="38">
        <v>46211.23333333333</v>
      </c>
      <c r="I49" s="28">
        <f t="shared" si="8"/>
        <v>8.9583333327027503E-2</v>
      </c>
      <c r="J49" s="29">
        <v>8.3333333333333329E-2</v>
      </c>
      <c r="K49" s="28">
        <f t="shared" si="9"/>
        <v>6.2499999936941747E-3</v>
      </c>
      <c r="L49" s="30" t="s">
        <v>235</v>
      </c>
    </row>
    <row r="50" spans="1:12" ht="15.6" hidden="1" x14ac:dyDescent="0.3">
      <c r="A50" s="25">
        <v>4</v>
      </c>
      <c r="B50" s="25">
        <v>8068383</v>
      </c>
      <c r="C50" s="26" t="s">
        <v>314</v>
      </c>
      <c r="D50" s="26" t="s">
        <v>197</v>
      </c>
      <c r="E50" s="27" t="s">
        <v>40</v>
      </c>
      <c r="F50" s="25" t="s">
        <v>45</v>
      </c>
      <c r="G50" s="38">
        <v>46210.895833333336</v>
      </c>
      <c r="H50" s="38">
        <v>46211.020833333336</v>
      </c>
      <c r="I50" s="28">
        <f t="shared" si="8"/>
        <v>0.125</v>
      </c>
      <c r="J50" s="29">
        <v>8.3333333333333329E-2</v>
      </c>
      <c r="K50" s="28">
        <f t="shared" si="9"/>
        <v>4.1666666666666671E-2</v>
      </c>
      <c r="L50" s="30" t="s">
        <v>235</v>
      </c>
    </row>
    <row r="51" spans="1:12" ht="15.6" hidden="1" x14ac:dyDescent="0.3">
      <c r="A51" s="25">
        <v>5</v>
      </c>
      <c r="B51" s="25">
        <v>8069999</v>
      </c>
      <c r="C51" s="26" t="s">
        <v>314</v>
      </c>
      <c r="D51" s="26" t="s">
        <v>190</v>
      </c>
      <c r="E51" s="27" t="s">
        <v>203</v>
      </c>
      <c r="F51" s="25" t="s">
        <v>96</v>
      </c>
      <c r="G51" s="38">
        <v>46211.086111111108</v>
      </c>
      <c r="H51" s="38">
        <v>46211.231249999997</v>
      </c>
      <c r="I51" s="28">
        <f t="shared" si="8"/>
        <v>0.14513888888905058</v>
      </c>
      <c r="J51" s="29">
        <v>8.3333333333333329E-2</v>
      </c>
      <c r="K51" s="28">
        <f t="shared" si="9"/>
        <v>6.1805555555717248E-2</v>
      </c>
      <c r="L51" s="30" t="s">
        <v>235</v>
      </c>
    </row>
    <row r="52" spans="1:12" ht="15.6" hidden="1" x14ac:dyDescent="0.3">
      <c r="A52" s="25">
        <v>1</v>
      </c>
      <c r="B52" s="25">
        <v>8070398</v>
      </c>
      <c r="C52" s="26" t="s">
        <v>315</v>
      </c>
      <c r="D52" s="26" t="s">
        <v>291</v>
      </c>
      <c r="E52" s="27" t="s">
        <v>25</v>
      </c>
      <c r="F52" s="25" t="s">
        <v>179</v>
      </c>
      <c r="G52" s="38">
        <v>46211.354166666664</v>
      </c>
      <c r="H52" s="38">
        <v>46211.412499999999</v>
      </c>
      <c r="I52" s="28">
        <f t="shared" ref="I52:I54" si="10">H52-G52</f>
        <v>5.8333333334303461E-2</v>
      </c>
      <c r="J52" s="29">
        <v>4.1666666666666664E-2</v>
      </c>
      <c r="K52" s="28">
        <f t="shared" ref="K52:K54" si="11">I52-J52</f>
        <v>1.6666666667636797E-2</v>
      </c>
      <c r="L52" s="30" t="s">
        <v>235</v>
      </c>
    </row>
    <row r="53" spans="1:12" ht="15.6" hidden="1" x14ac:dyDescent="0.3">
      <c r="A53" s="25">
        <v>2</v>
      </c>
      <c r="B53" s="25">
        <v>8070448</v>
      </c>
      <c r="C53" s="26" t="s">
        <v>315</v>
      </c>
      <c r="D53" s="26" t="s">
        <v>215</v>
      </c>
      <c r="E53" s="27" t="s">
        <v>16</v>
      </c>
      <c r="F53" s="25" t="s">
        <v>98</v>
      </c>
      <c r="G53" s="38">
        <v>46211.375</v>
      </c>
      <c r="H53" s="38">
        <v>46211.541666666664</v>
      </c>
      <c r="I53" s="28">
        <f t="shared" si="10"/>
        <v>0.16666666666424135</v>
      </c>
      <c r="J53" s="29">
        <v>8.3333333333333329E-2</v>
      </c>
      <c r="K53" s="28">
        <f t="shared" si="11"/>
        <v>8.3333333330908019E-2</v>
      </c>
      <c r="L53" s="30" t="s">
        <v>235</v>
      </c>
    </row>
    <row r="54" spans="1:12" ht="15.6" hidden="1" x14ac:dyDescent="0.3">
      <c r="A54" s="25">
        <v>3</v>
      </c>
      <c r="B54" s="25">
        <v>8070892</v>
      </c>
      <c r="C54" s="26" t="s">
        <v>315</v>
      </c>
      <c r="D54" s="26" t="s">
        <v>195</v>
      </c>
      <c r="E54" s="27" t="s">
        <v>12</v>
      </c>
      <c r="F54" s="25" t="s">
        <v>126</v>
      </c>
      <c r="G54" s="38">
        <v>46211.375</v>
      </c>
      <c r="H54" s="38">
        <v>46211.495138888888</v>
      </c>
      <c r="I54" s="28">
        <f t="shared" si="10"/>
        <v>0.12013888888759539</v>
      </c>
      <c r="J54" s="29">
        <v>6.25E-2</v>
      </c>
      <c r="K54" s="28">
        <f t="shared" si="11"/>
        <v>5.7638888887595385E-2</v>
      </c>
      <c r="L54" s="30" t="s">
        <v>235</v>
      </c>
    </row>
    <row r="55" spans="1:12" ht="15.6" hidden="1" x14ac:dyDescent="0.3">
      <c r="A55" s="25">
        <v>1</v>
      </c>
      <c r="B55" s="25">
        <v>8071387</v>
      </c>
      <c r="C55" s="26" t="s">
        <v>315</v>
      </c>
      <c r="D55" s="26" t="s">
        <v>197</v>
      </c>
      <c r="E55" s="27" t="s">
        <v>44</v>
      </c>
      <c r="F55" s="25" t="s">
        <v>45</v>
      </c>
      <c r="G55" s="38">
        <v>46211.4375</v>
      </c>
      <c r="H55" s="38">
        <v>46211.52847222222</v>
      </c>
      <c r="I55" s="28">
        <f t="shared" ref="I55:I59" si="12">H55-G55</f>
        <v>9.0972222220443655E-2</v>
      </c>
      <c r="J55" s="29">
        <v>6.25E-2</v>
      </c>
      <c r="K55" s="28">
        <f t="shared" ref="K55:K59" si="13">I55-J55</f>
        <v>2.8472222220443655E-2</v>
      </c>
      <c r="L55" s="30" t="s">
        <v>235</v>
      </c>
    </row>
    <row r="56" spans="1:12" ht="15.6" hidden="1" x14ac:dyDescent="0.3">
      <c r="A56" s="25">
        <v>2</v>
      </c>
      <c r="B56" s="25">
        <v>8072966</v>
      </c>
      <c r="C56" s="26" t="s">
        <v>317</v>
      </c>
      <c r="D56" s="26" t="s">
        <v>304</v>
      </c>
      <c r="E56" s="27" t="s">
        <v>18</v>
      </c>
      <c r="F56" s="25" t="s">
        <v>305</v>
      </c>
      <c r="G56" s="38">
        <v>46211.371527777781</v>
      </c>
      <c r="H56" s="38">
        <v>46211.447916666664</v>
      </c>
      <c r="I56" s="28">
        <f t="shared" si="12"/>
        <v>7.6388888883229811E-2</v>
      </c>
      <c r="J56" s="29">
        <v>6.25E-2</v>
      </c>
      <c r="K56" s="28">
        <f t="shared" si="13"/>
        <v>1.3888888883229811E-2</v>
      </c>
      <c r="L56" s="30" t="s">
        <v>235</v>
      </c>
    </row>
    <row r="57" spans="1:12" ht="15.6" hidden="1" x14ac:dyDescent="0.3">
      <c r="A57" s="25">
        <v>3</v>
      </c>
      <c r="B57" s="25">
        <v>8073065</v>
      </c>
      <c r="C57" s="26" t="s">
        <v>317</v>
      </c>
      <c r="D57" s="26" t="s">
        <v>228</v>
      </c>
      <c r="E57" s="27" t="s">
        <v>84</v>
      </c>
      <c r="F57" s="25" t="s">
        <v>174</v>
      </c>
      <c r="G57" s="38">
        <v>46211.354166666664</v>
      </c>
      <c r="H57" s="38">
        <v>46211.429861111108</v>
      </c>
      <c r="I57" s="28">
        <f t="shared" si="12"/>
        <v>7.5694444443797693E-2</v>
      </c>
      <c r="J57" s="29">
        <v>6.25E-2</v>
      </c>
      <c r="K57" s="28">
        <f t="shared" si="13"/>
        <v>1.3194444443797693E-2</v>
      </c>
      <c r="L57" s="30" t="s">
        <v>235</v>
      </c>
    </row>
    <row r="58" spans="1:12" ht="15.6" hidden="1" x14ac:dyDescent="0.3">
      <c r="A58" s="25">
        <v>4</v>
      </c>
      <c r="B58" s="25">
        <v>8073253</v>
      </c>
      <c r="C58" s="26" t="s">
        <v>317</v>
      </c>
      <c r="D58" s="26" t="s">
        <v>215</v>
      </c>
      <c r="E58" s="27" t="s">
        <v>29</v>
      </c>
      <c r="F58" s="25" t="s">
        <v>98</v>
      </c>
      <c r="G58" s="38">
        <v>46211.399305555555</v>
      </c>
      <c r="H58" s="38">
        <v>46211.492361111108</v>
      </c>
      <c r="I58" s="28">
        <f t="shared" si="12"/>
        <v>9.3055555553291924E-2</v>
      </c>
      <c r="J58" s="29">
        <v>6.25E-2</v>
      </c>
      <c r="K58" s="28">
        <f t="shared" si="13"/>
        <v>3.0555555553291924E-2</v>
      </c>
      <c r="L58" s="30" t="s">
        <v>235</v>
      </c>
    </row>
    <row r="59" spans="1:12" ht="15.6" hidden="1" x14ac:dyDescent="0.3">
      <c r="A59" s="25">
        <v>5</v>
      </c>
      <c r="B59" s="25">
        <v>8075527</v>
      </c>
      <c r="C59" s="26" t="s">
        <v>317</v>
      </c>
      <c r="D59" s="26" t="s">
        <v>230</v>
      </c>
      <c r="E59" s="27" t="s">
        <v>175</v>
      </c>
      <c r="F59" s="25" t="s">
        <v>96</v>
      </c>
      <c r="G59" s="38">
        <v>46213.109722222223</v>
      </c>
      <c r="H59" s="38">
        <v>46213.205555555556</v>
      </c>
      <c r="I59" s="28">
        <f t="shared" si="12"/>
        <v>9.5833333332848269E-2</v>
      </c>
      <c r="J59" s="29">
        <v>6.25E-2</v>
      </c>
      <c r="K59" s="28">
        <f t="shared" si="13"/>
        <v>3.3333333332848269E-2</v>
      </c>
      <c r="L59" s="30" t="s">
        <v>235</v>
      </c>
    </row>
    <row r="60" spans="1:12" ht="15.6" hidden="1" x14ac:dyDescent="0.3">
      <c r="A60" s="25">
        <v>1</v>
      </c>
      <c r="B60" s="25">
        <v>8073846</v>
      </c>
      <c r="C60" s="26" t="s">
        <v>317</v>
      </c>
      <c r="D60" s="26" t="s">
        <v>201</v>
      </c>
      <c r="E60" s="27" t="s">
        <v>46</v>
      </c>
      <c r="F60" s="25" t="s">
        <v>96</v>
      </c>
      <c r="G60" s="38">
        <v>46213.966666666667</v>
      </c>
      <c r="H60" s="38">
        <v>46214.076388888891</v>
      </c>
      <c r="I60" s="28">
        <f t="shared" ref="I60:I63" si="14">H60-G60</f>
        <v>0.10972222222335404</v>
      </c>
      <c r="J60" s="29">
        <v>8.3333333333333329E-2</v>
      </c>
      <c r="K60" s="28">
        <f t="shared" ref="K60:K63" si="15">I60-J60</f>
        <v>2.6388888890020709E-2</v>
      </c>
      <c r="L60" s="30" t="s">
        <v>235</v>
      </c>
    </row>
    <row r="61" spans="1:12" ht="15.6" hidden="1" x14ac:dyDescent="0.3">
      <c r="A61" s="25">
        <v>2</v>
      </c>
      <c r="B61" s="25">
        <v>8075656</v>
      </c>
      <c r="C61" s="26" t="s">
        <v>318</v>
      </c>
      <c r="D61" s="26" t="s">
        <v>291</v>
      </c>
      <c r="E61" s="27" t="s">
        <v>25</v>
      </c>
      <c r="F61" s="25" t="s">
        <v>312</v>
      </c>
      <c r="G61" s="38">
        <v>46213.25</v>
      </c>
      <c r="H61" s="38">
        <v>46213.377083333333</v>
      </c>
      <c r="I61" s="28">
        <f t="shared" si="14"/>
        <v>0.12708333333284827</v>
      </c>
      <c r="J61" s="29">
        <v>4.1666666666666664E-2</v>
      </c>
      <c r="K61" s="28">
        <f t="shared" si="15"/>
        <v>8.5416666666181612E-2</v>
      </c>
      <c r="L61" s="30" t="s">
        <v>235</v>
      </c>
    </row>
    <row r="62" spans="1:12" ht="15.6" hidden="1" x14ac:dyDescent="0.3">
      <c r="A62" s="25">
        <v>3</v>
      </c>
      <c r="B62" s="25">
        <v>8075944</v>
      </c>
      <c r="C62" s="26" t="s">
        <v>318</v>
      </c>
      <c r="D62" s="26" t="s">
        <v>215</v>
      </c>
      <c r="E62" s="27" t="s">
        <v>16</v>
      </c>
      <c r="F62" s="25" t="s">
        <v>98</v>
      </c>
      <c r="G62" s="38">
        <v>46213.375</v>
      </c>
      <c r="H62" s="38">
        <v>46213.724999999999</v>
      </c>
      <c r="I62" s="28">
        <f t="shared" si="14"/>
        <v>0.34999999999854481</v>
      </c>
      <c r="J62" s="29">
        <v>8.3333333333333329E-2</v>
      </c>
      <c r="K62" s="28">
        <f t="shared" si="15"/>
        <v>0.26666666666521149</v>
      </c>
      <c r="L62" s="30" t="s">
        <v>235</v>
      </c>
    </row>
    <row r="63" spans="1:12" ht="15.6" hidden="1" x14ac:dyDescent="0.3">
      <c r="A63" s="25">
        <v>4</v>
      </c>
      <c r="B63" s="25">
        <v>8076597</v>
      </c>
      <c r="C63" s="26" t="s">
        <v>318</v>
      </c>
      <c r="D63" s="26" t="s">
        <v>198</v>
      </c>
      <c r="E63" s="27" t="s">
        <v>51</v>
      </c>
      <c r="F63" s="25" t="s">
        <v>178</v>
      </c>
      <c r="G63" s="38">
        <v>46213.855555555558</v>
      </c>
      <c r="H63" s="38">
        <v>46214</v>
      </c>
      <c r="I63" s="28">
        <f t="shared" si="14"/>
        <v>0.1444444444423425</v>
      </c>
      <c r="J63" s="29">
        <v>8.3333333333333329E-2</v>
      </c>
      <c r="K63" s="28">
        <f t="shared" si="15"/>
        <v>6.1111111109009172E-2</v>
      </c>
      <c r="L63" s="30" t="s">
        <v>235</v>
      </c>
    </row>
    <row r="64" spans="1:12" ht="15.6" hidden="1" x14ac:dyDescent="0.3">
      <c r="A64" s="25">
        <v>1</v>
      </c>
      <c r="B64" s="25">
        <v>8078387</v>
      </c>
      <c r="C64" s="26" t="s">
        <v>320</v>
      </c>
      <c r="D64" s="26" t="s">
        <v>291</v>
      </c>
      <c r="E64" s="27" t="s">
        <v>82</v>
      </c>
      <c r="F64" s="25" t="s">
        <v>312</v>
      </c>
      <c r="G64" s="38">
        <v>46214.25</v>
      </c>
      <c r="H64" s="38">
        <v>46214.366666666669</v>
      </c>
      <c r="I64" s="28">
        <f t="shared" ref="I64:I68" si="16">H64-G64</f>
        <v>0.11666666666860692</v>
      </c>
      <c r="J64" s="29">
        <v>4.1666666666666664E-2</v>
      </c>
      <c r="K64" s="28">
        <f t="shared" ref="K64:K68" si="17">I64-J64</f>
        <v>7.5000000001940265E-2</v>
      </c>
      <c r="L64" s="30" t="s">
        <v>235</v>
      </c>
    </row>
    <row r="65" spans="1:12" ht="15.6" hidden="1" x14ac:dyDescent="0.3">
      <c r="A65" s="25">
        <v>2</v>
      </c>
      <c r="B65" s="25">
        <v>8078762</v>
      </c>
      <c r="C65" s="26" t="s">
        <v>320</v>
      </c>
      <c r="D65" s="26" t="s">
        <v>215</v>
      </c>
      <c r="E65" s="27" t="s">
        <v>29</v>
      </c>
      <c r="F65" s="25" t="s">
        <v>98</v>
      </c>
      <c r="G65" s="38">
        <v>46214.417361111111</v>
      </c>
      <c r="H65" s="38">
        <v>46214.563888888886</v>
      </c>
      <c r="I65" s="28">
        <f t="shared" si="16"/>
        <v>0.14652777777519077</v>
      </c>
      <c r="J65" s="29">
        <v>8.3333333333333329E-2</v>
      </c>
      <c r="K65" s="28">
        <f t="shared" si="17"/>
        <v>6.3194444441857442E-2</v>
      </c>
      <c r="L65" s="30" t="s">
        <v>235</v>
      </c>
    </row>
    <row r="66" spans="1:12" ht="15.6" hidden="1" x14ac:dyDescent="0.3">
      <c r="A66" s="25">
        <v>3</v>
      </c>
      <c r="B66" s="25">
        <v>8079086</v>
      </c>
      <c r="C66" s="26" t="s">
        <v>320</v>
      </c>
      <c r="D66" s="26" t="s">
        <v>195</v>
      </c>
      <c r="E66" s="27" t="s">
        <v>12</v>
      </c>
      <c r="F66" s="25" t="s">
        <v>126</v>
      </c>
      <c r="G66" s="38">
        <v>46214.375</v>
      </c>
      <c r="H66" s="38">
        <v>46214.449305555558</v>
      </c>
      <c r="I66" s="28">
        <f t="shared" si="16"/>
        <v>7.4305555557657499E-2</v>
      </c>
      <c r="J66" s="29">
        <v>6.25E-2</v>
      </c>
      <c r="K66" s="28">
        <f t="shared" si="17"/>
        <v>1.1805555557657499E-2</v>
      </c>
      <c r="L66" s="30" t="s">
        <v>235</v>
      </c>
    </row>
    <row r="67" spans="1:12" ht="15.6" hidden="1" x14ac:dyDescent="0.3">
      <c r="A67" s="25">
        <v>4</v>
      </c>
      <c r="B67" s="25">
        <v>8079327</v>
      </c>
      <c r="C67" s="26" t="s">
        <v>320</v>
      </c>
      <c r="D67" s="26" t="s">
        <v>197</v>
      </c>
      <c r="E67" s="27" t="s">
        <v>40</v>
      </c>
      <c r="F67" s="25" t="s">
        <v>45</v>
      </c>
      <c r="G67" s="38">
        <v>46214.888888888891</v>
      </c>
      <c r="H67" s="38">
        <v>46215.020833333336</v>
      </c>
      <c r="I67" s="28">
        <f t="shared" si="16"/>
        <v>0.13194444444525288</v>
      </c>
      <c r="J67" s="29">
        <v>8.3333333333333329E-2</v>
      </c>
      <c r="K67" s="28">
        <f t="shared" si="17"/>
        <v>4.8611111111919555E-2</v>
      </c>
      <c r="L67" s="30" t="s">
        <v>235</v>
      </c>
    </row>
    <row r="68" spans="1:12" ht="15.6" hidden="1" x14ac:dyDescent="0.3">
      <c r="A68" s="25">
        <v>5</v>
      </c>
      <c r="B68" s="25">
        <v>8079435</v>
      </c>
      <c r="C68" s="26" t="s">
        <v>320</v>
      </c>
      <c r="D68" s="26" t="s">
        <v>218</v>
      </c>
      <c r="E68" s="27" t="s">
        <v>50</v>
      </c>
      <c r="F68" s="25" t="s">
        <v>45</v>
      </c>
      <c r="G68" s="38">
        <v>46214.572916666664</v>
      </c>
      <c r="H68" s="38">
        <v>46214.663194444445</v>
      </c>
      <c r="I68" s="28">
        <f t="shared" si="16"/>
        <v>9.0277777781011537E-2</v>
      </c>
      <c r="J68" s="29">
        <v>8.3333333333333329E-2</v>
      </c>
      <c r="K68" s="28">
        <f t="shared" si="17"/>
        <v>6.944444447678208E-3</v>
      </c>
      <c r="L68" s="30" t="s">
        <v>235</v>
      </c>
    </row>
    <row r="69" spans="1:12" ht="15.6" hidden="1" x14ac:dyDescent="0.3">
      <c r="A69" s="25">
        <v>1</v>
      </c>
      <c r="B69" s="25">
        <v>8081136</v>
      </c>
      <c r="C69" s="26" t="s">
        <v>321</v>
      </c>
      <c r="D69" s="26" t="s">
        <v>291</v>
      </c>
      <c r="E69" s="27" t="s">
        <v>25</v>
      </c>
      <c r="F69" s="25" t="s">
        <v>312</v>
      </c>
      <c r="G69" s="38">
        <v>46215.25</v>
      </c>
      <c r="H69" s="38">
        <v>46215.377083333333</v>
      </c>
      <c r="I69" s="28">
        <f t="shared" ref="I69:I78" si="18">H69-G69</f>
        <v>0.12708333333284827</v>
      </c>
      <c r="J69" s="29">
        <v>4.1666666666666664E-2</v>
      </c>
      <c r="K69" s="28">
        <f t="shared" ref="K69:K78" si="19">I69-J69</f>
        <v>8.5416666666181612E-2</v>
      </c>
      <c r="L69" s="30" t="s">
        <v>235</v>
      </c>
    </row>
    <row r="70" spans="1:12" ht="15.6" hidden="1" x14ac:dyDescent="0.3">
      <c r="A70" s="25">
        <v>2</v>
      </c>
      <c r="B70" s="25">
        <v>8081455</v>
      </c>
      <c r="C70" s="26" t="s">
        <v>321</v>
      </c>
      <c r="D70" s="26" t="s">
        <v>188</v>
      </c>
      <c r="E70" s="27" t="s">
        <v>82</v>
      </c>
      <c r="F70" s="25" t="s">
        <v>13</v>
      </c>
      <c r="G70" s="38">
        <v>46215.595138888886</v>
      </c>
      <c r="H70" s="38">
        <v>46215.708333333336</v>
      </c>
      <c r="I70" s="28">
        <f t="shared" si="18"/>
        <v>0.11319444444961846</v>
      </c>
      <c r="J70" s="29">
        <v>8.3333333333333329E-2</v>
      </c>
      <c r="K70" s="28">
        <f t="shared" si="19"/>
        <v>2.986111111628513E-2</v>
      </c>
      <c r="L70" s="30" t="s">
        <v>235</v>
      </c>
    </row>
    <row r="71" spans="1:12" ht="15.6" hidden="1" x14ac:dyDescent="0.3">
      <c r="A71" s="25">
        <v>3</v>
      </c>
      <c r="B71" s="25">
        <v>8081863</v>
      </c>
      <c r="C71" s="26" t="s">
        <v>321</v>
      </c>
      <c r="D71" s="26" t="s">
        <v>323</v>
      </c>
      <c r="E71" s="27" t="s">
        <v>56</v>
      </c>
      <c r="F71" s="25" t="s">
        <v>176</v>
      </c>
      <c r="G71" s="38">
        <v>46215.378472222219</v>
      </c>
      <c r="H71" s="38">
        <v>46215.430555555555</v>
      </c>
      <c r="I71" s="28">
        <f t="shared" si="18"/>
        <v>5.2083333335758653E-2</v>
      </c>
      <c r="J71" s="29">
        <v>4.1666666666666664E-2</v>
      </c>
      <c r="K71" s="28">
        <f t="shared" si="19"/>
        <v>1.0416666669091988E-2</v>
      </c>
      <c r="L71" s="30" t="s">
        <v>235</v>
      </c>
    </row>
    <row r="72" spans="1:12" ht="15.6" hidden="1" x14ac:dyDescent="0.3">
      <c r="A72" s="25">
        <v>4</v>
      </c>
      <c r="B72" s="25">
        <v>8082041</v>
      </c>
      <c r="C72" s="26" t="s">
        <v>321</v>
      </c>
      <c r="D72" s="26" t="s">
        <v>198</v>
      </c>
      <c r="E72" s="27" t="s">
        <v>51</v>
      </c>
      <c r="F72" s="25" t="s">
        <v>13</v>
      </c>
      <c r="G72" s="38">
        <v>46215.977777777778</v>
      </c>
      <c r="H72" s="38">
        <v>46216.078472222223</v>
      </c>
      <c r="I72" s="28">
        <f t="shared" si="18"/>
        <v>0.10069444444525288</v>
      </c>
      <c r="J72" s="29">
        <v>8.3333333333333329E-2</v>
      </c>
      <c r="K72" s="28">
        <f t="shared" si="19"/>
        <v>1.7361111111919555E-2</v>
      </c>
      <c r="L72" s="30" t="s">
        <v>235</v>
      </c>
    </row>
    <row r="73" spans="1:12" ht="15.6" hidden="1" x14ac:dyDescent="0.3">
      <c r="A73" s="25">
        <v>5</v>
      </c>
      <c r="B73" s="25">
        <v>8083670</v>
      </c>
      <c r="C73" s="26" t="s">
        <v>322</v>
      </c>
      <c r="D73" s="26" t="s">
        <v>291</v>
      </c>
      <c r="E73" s="27" t="s">
        <v>82</v>
      </c>
      <c r="F73" s="25" t="s">
        <v>312</v>
      </c>
      <c r="G73" s="38">
        <v>46215.25</v>
      </c>
      <c r="H73" s="38">
        <v>46215.372916666667</v>
      </c>
      <c r="I73" s="28">
        <f t="shared" si="18"/>
        <v>0.12291666666715173</v>
      </c>
      <c r="J73" s="29">
        <v>4.1666666666666664E-2</v>
      </c>
      <c r="K73" s="28">
        <f t="shared" si="19"/>
        <v>8.1250000000485073E-2</v>
      </c>
      <c r="L73" s="30" t="s">
        <v>235</v>
      </c>
    </row>
    <row r="74" spans="1:12" ht="15.6" hidden="1" x14ac:dyDescent="0.3">
      <c r="A74" s="25">
        <v>6</v>
      </c>
      <c r="B74" s="25">
        <v>8083880</v>
      </c>
      <c r="C74" s="26" t="s">
        <v>322</v>
      </c>
      <c r="D74" s="26" t="s">
        <v>193</v>
      </c>
      <c r="E74" s="27" t="s">
        <v>44</v>
      </c>
      <c r="F74" s="25" t="s">
        <v>13</v>
      </c>
      <c r="G74" s="38">
        <v>46217.004166666666</v>
      </c>
      <c r="H74" s="38">
        <v>46217.159722222219</v>
      </c>
      <c r="I74" s="28">
        <f t="shared" si="18"/>
        <v>0.15555555555329192</v>
      </c>
      <c r="J74" s="29">
        <v>8.3333333333333329E-2</v>
      </c>
      <c r="K74" s="28">
        <f t="shared" si="19"/>
        <v>7.2222222219958596E-2</v>
      </c>
      <c r="L74" s="30" t="s">
        <v>235</v>
      </c>
    </row>
    <row r="75" spans="1:12" ht="15.6" hidden="1" x14ac:dyDescent="0.3">
      <c r="A75" s="25">
        <v>7</v>
      </c>
      <c r="B75" s="25">
        <v>8083921</v>
      </c>
      <c r="C75" s="26" t="s">
        <v>322</v>
      </c>
      <c r="D75" s="26" t="s">
        <v>215</v>
      </c>
      <c r="E75" s="27" t="s">
        <v>29</v>
      </c>
      <c r="F75" s="25" t="s">
        <v>98</v>
      </c>
      <c r="G75" s="38">
        <v>46216.375</v>
      </c>
      <c r="H75" s="38">
        <v>46216.640972222223</v>
      </c>
      <c r="I75" s="28">
        <f t="shared" si="18"/>
        <v>0.26597222222335404</v>
      </c>
      <c r="J75" s="29">
        <v>8.3333333333333329E-2</v>
      </c>
      <c r="K75" s="28">
        <f t="shared" si="19"/>
        <v>0.18263888889002072</v>
      </c>
      <c r="L75" s="30" t="s">
        <v>235</v>
      </c>
    </row>
    <row r="76" spans="1:12" ht="15.6" hidden="1" x14ac:dyDescent="0.3">
      <c r="A76" s="25">
        <v>8</v>
      </c>
      <c r="B76" s="25">
        <v>8084389</v>
      </c>
      <c r="C76" s="26" t="s">
        <v>322</v>
      </c>
      <c r="D76" s="26" t="s">
        <v>323</v>
      </c>
      <c r="E76" s="27" t="s">
        <v>56</v>
      </c>
      <c r="F76" s="25" t="s">
        <v>176</v>
      </c>
      <c r="G76" s="38">
        <v>46216.378472222219</v>
      </c>
      <c r="H76" s="38">
        <v>46216.451388888891</v>
      </c>
      <c r="I76" s="28">
        <f t="shared" si="18"/>
        <v>7.2916666671517305E-2</v>
      </c>
      <c r="J76" s="29">
        <v>4.1666666666666664E-2</v>
      </c>
      <c r="K76" s="28">
        <f t="shared" si="19"/>
        <v>3.1250000004850641E-2</v>
      </c>
      <c r="L76" s="30" t="s">
        <v>235</v>
      </c>
    </row>
    <row r="77" spans="1:12" ht="15.6" hidden="1" x14ac:dyDescent="0.3">
      <c r="A77" s="25">
        <v>9</v>
      </c>
      <c r="B77" s="25">
        <v>8084573</v>
      </c>
      <c r="C77" s="26" t="s">
        <v>322</v>
      </c>
      <c r="D77" s="26" t="s">
        <v>197</v>
      </c>
      <c r="E77" s="27" t="s">
        <v>30</v>
      </c>
      <c r="F77" s="25" t="s">
        <v>45</v>
      </c>
      <c r="G77" s="38">
        <v>46216.864583333336</v>
      </c>
      <c r="H77" s="38">
        <v>46216.951388888891</v>
      </c>
      <c r="I77" s="28">
        <f t="shared" si="18"/>
        <v>8.6805555554747116E-2</v>
      </c>
      <c r="J77" s="29">
        <v>8.3333333333333329E-2</v>
      </c>
      <c r="K77" s="28">
        <f t="shared" si="19"/>
        <v>3.4722222214137871E-3</v>
      </c>
      <c r="L77" s="30" t="s">
        <v>235</v>
      </c>
    </row>
    <row r="78" spans="1:12" ht="15.6" hidden="1" x14ac:dyDescent="0.3">
      <c r="A78" s="25">
        <v>10</v>
      </c>
      <c r="B78" s="25">
        <v>8084530</v>
      </c>
      <c r="C78" s="26" t="s">
        <v>322</v>
      </c>
      <c r="D78" s="26" t="s">
        <v>198</v>
      </c>
      <c r="E78" s="27" t="s">
        <v>48</v>
      </c>
      <c r="F78" s="25" t="s">
        <v>13</v>
      </c>
      <c r="G78" s="38">
        <v>46216.836805555555</v>
      </c>
      <c r="H78" s="38">
        <v>46216.986111111109</v>
      </c>
      <c r="I78" s="28">
        <f t="shared" si="18"/>
        <v>0.14930555555474712</v>
      </c>
      <c r="J78" s="29">
        <v>8.3333333333333329E-2</v>
      </c>
      <c r="K78" s="28">
        <f t="shared" si="19"/>
        <v>6.5972222221413787E-2</v>
      </c>
      <c r="L78" s="30" t="s">
        <v>235</v>
      </c>
    </row>
    <row r="79" spans="1:12" ht="15.6" hidden="1" x14ac:dyDescent="0.3">
      <c r="A79" s="25">
        <v>1</v>
      </c>
      <c r="B79" s="25">
        <v>8087802</v>
      </c>
      <c r="C79" s="26" t="s">
        <v>324</v>
      </c>
      <c r="D79" s="26" t="s">
        <v>207</v>
      </c>
      <c r="E79" s="27" t="s">
        <v>53</v>
      </c>
      <c r="F79" s="25" t="s">
        <v>95</v>
      </c>
      <c r="G79" s="38">
        <v>46217.756944444445</v>
      </c>
      <c r="H79" s="38">
        <v>46217.850694444445</v>
      </c>
      <c r="I79" s="28">
        <f t="shared" ref="I79" si="20">H79-G79</f>
        <v>9.375E-2</v>
      </c>
      <c r="J79" s="29">
        <v>8.3333333333333329E-2</v>
      </c>
      <c r="K79" s="28">
        <f t="shared" ref="K79" si="21">I79-J79</f>
        <v>1.0416666666666671E-2</v>
      </c>
      <c r="L79" s="30" t="s">
        <v>235</v>
      </c>
    </row>
    <row r="80" spans="1:12" ht="15.6" hidden="1" x14ac:dyDescent="0.3">
      <c r="A80" s="25">
        <v>2</v>
      </c>
      <c r="B80" s="25">
        <v>8084577</v>
      </c>
      <c r="C80" s="26" t="s">
        <v>322</v>
      </c>
      <c r="D80" s="26" t="s">
        <v>201</v>
      </c>
      <c r="E80" s="27" t="s">
        <v>175</v>
      </c>
      <c r="F80" s="25" t="s">
        <v>96</v>
      </c>
      <c r="G80" s="38">
        <v>46218.061111111114</v>
      </c>
      <c r="H80" s="38">
        <v>46218.15</v>
      </c>
      <c r="I80" s="28">
        <f t="shared" ref="I80" si="22">H80-G80</f>
        <v>8.8888888887595385E-2</v>
      </c>
      <c r="J80" s="29">
        <v>8.3333333333333329E-2</v>
      </c>
      <c r="K80" s="28">
        <f t="shared" ref="K80" si="23">I80-J80</f>
        <v>5.5555555542620566E-3</v>
      </c>
      <c r="L80" s="30" t="s">
        <v>235</v>
      </c>
    </row>
    <row r="81" spans="1:12" ht="15.6" hidden="1" x14ac:dyDescent="0.3">
      <c r="A81" s="25">
        <v>1</v>
      </c>
      <c r="B81" s="25">
        <v>8088862</v>
      </c>
      <c r="C81" s="26" t="s">
        <v>325</v>
      </c>
      <c r="D81" s="26" t="s">
        <v>214</v>
      </c>
      <c r="E81" s="27" t="s">
        <v>82</v>
      </c>
      <c r="F81" s="25" t="s">
        <v>179</v>
      </c>
      <c r="G81" s="38">
        <v>46218.25</v>
      </c>
      <c r="H81" s="38">
        <v>46218.375</v>
      </c>
      <c r="I81" s="28">
        <f t="shared" ref="I81:I84" si="24">H81-G81</f>
        <v>0.125</v>
      </c>
      <c r="J81" s="29">
        <v>4.1666666666666664E-2</v>
      </c>
      <c r="K81" s="28">
        <f t="shared" ref="K81:K84" si="25">I81-J81</f>
        <v>8.3333333333333343E-2</v>
      </c>
      <c r="L81" s="30" t="s">
        <v>235</v>
      </c>
    </row>
    <row r="82" spans="1:12" ht="15.6" hidden="1" x14ac:dyDescent="0.3">
      <c r="A82" s="25">
        <v>2</v>
      </c>
      <c r="B82" s="25">
        <v>8089014</v>
      </c>
      <c r="C82" s="26" t="s">
        <v>325</v>
      </c>
      <c r="D82" s="26" t="s">
        <v>228</v>
      </c>
      <c r="E82" s="27" t="s">
        <v>87</v>
      </c>
      <c r="F82" s="25" t="s">
        <v>174</v>
      </c>
      <c r="G82" s="38">
        <v>46218.361111111109</v>
      </c>
      <c r="H82" s="38">
        <v>46218.429166666669</v>
      </c>
      <c r="I82" s="28">
        <f t="shared" si="24"/>
        <v>6.805555555911269E-2</v>
      </c>
      <c r="J82" s="29">
        <v>6.25E-2</v>
      </c>
      <c r="K82" s="28">
        <f t="shared" si="25"/>
        <v>5.5555555591126904E-3</v>
      </c>
      <c r="L82" s="30" t="s">
        <v>235</v>
      </c>
    </row>
    <row r="83" spans="1:12" ht="15.6" hidden="1" x14ac:dyDescent="0.3">
      <c r="A83" s="25">
        <v>3</v>
      </c>
      <c r="B83" s="25">
        <v>8089199</v>
      </c>
      <c r="C83" s="26" t="s">
        <v>325</v>
      </c>
      <c r="D83" s="26" t="s">
        <v>215</v>
      </c>
      <c r="E83" s="27" t="s">
        <v>29</v>
      </c>
      <c r="F83" s="25" t="s">
        <v>98</v>
      </c>
      <c r="G83" s="38">
        <v>46218.447916666664</v>
      </c>
      <c r="H83" s="38">
        <v>46218.534722222219</v>
      </c>
      <c r="I83" s="28">
        <f t="shared" si="24"/>
        <v>8.6805555554747116E-2</v>
      </c>
      <c r="J83" s="29">
        <v>8.3333333333333329E-2</v>
      </c>
      <c r="K83" s="28">
        <f t="shared" si="25"/>
        <v>3.4722222214137871E-3</v>
      </c>
      <c r="L83" s="30" t="s">
        <v>235</v>
      </c>
    </row>
    <row r="84" spans="1:12" ht="15.6" hidden="1" x14ac:dyDescent="0.3">
      <c r="A84" s="25">
        <v>4</v>
      </c>
      <c r="B84" s="25">
        <v>8089574</v>
      </c>
      <c r="C84" s="26" t="s">
        <v>325</v>
      </c>
      <c r="D84" s="26" t="s">
        <v>195</v>
      </c>
      <c r="E84" s="27" t="s">
        <v>83</v>
      </c>
      <c r="F84" s="25" t="s">
        <v>126</v>
      </c>
      <c r="G84" s="38">
        <v>46218.375</v>
      </c>
      <c r="H84" s="38">
        <v>46218.642361111109</v>
      </c>
      <c r="I84" s="28">
        <f t="shared" si="24"/>
        <v>0.26736111110949423</v>
      </c>
      <c r="J84" s="29">
        <v>6.25E-2</v>
      </c>
      <c r="K84" s="28">
        <f t="shared" si="25"/>
        <v>0.20486111110949423</v>
      </c>
      <c r="L84" s="30" t="s">
        <v>235</v>
      </c>
    </row>
    <row r="85" spans="1:12" ht="15.6" hidden="1" x14ac:dyDescent="0.3">
      <c r="A85" s="25">
        <v>1</v>
      </c>
      <c r="B85" s="25">
        <v>8091599</v>
      </c>
      <c r="C85" s="26" t="s">
        <v>327</v>
      </c>
      <c r="D85" s="26" t="s">
        <v>291</v>
      </c>
      <c r="E85" s="27" t="s">
        <v>25</v>
      </c>
      <c r="F85" s="25" t="s">
        <v>179</v>
      </c>
      <c r="G85" s="38">
        <v>46219.270833333336</v>
      </c>
      <c r="H85" s="38">
        <v>46219.371527777781</v>
      </c>
      <c r="I85" s="28">
        <f t="shared" ref="I85:I88" si="26">H85-G85</f>
        <v>0.10069444444525288</v>
      </c>
      <c r="J85" s="29">
        <v>4.1666666666666664E-2</v>
      </c>
      <c r="K85" s="28">
        <f t="shared" ref="K85:K88" si="27">I85-J85</f>
        <v>5.902777777858622E-2</v>
      </c>
      <c r="L85" s="30" t="s">
        <v>235</v>
      </c>
    </row>
    <row r="86" spans="1:12" ht="15.6" hidden="1" x14ac:dyDescent="0.3">
      <c r="A86" s="25">
        <v>2</v>
      </c>
      <c r="B86" s="25">
        <v>8092293</v>
      </c>
      <c r="C86" s="26" t="s">
        <v>327</v>
      </c>
      <c r="D86" s="26" t="s">
        <v>194</v>
      </c>
      <c r="E86" s="27" t="s">
        <v>36</v>
      </c>
      <c r="F86" s="25" t="s">
        <v>15</v>
      </c>
      <c r="G86" s="38">
        <v>46219.501388888886</v>
      </c>
      <c r="H86" s="38">
        <v>46219.602083333331</v>
      </c>
      <c r="I86" s="28">
        <f t="shared" si="26"/>
        <v>0.10069444444525288</v>
      </c>
      <c r="J86" s="29">
        <v>6.25E-2</v>
      </c>
      <c r="K86" s="28">
        <f t="shared" si="27"/>
        <v>3.8194444445252884E-2</v>
      </c>
      <c r="L86" s="30" t="s">
        <v>235</v>
      </c>
    </row>
    <row r="87" spans="1:12" ht="15.6" hidden="1" x14ac:dyDescent="0.3">
      <c r="A87" s="25">
        <v>3</v>
      </c>
      <c r="B87" s="25">
        <v>8092289</v>
      </c>
      <c r="C87" s="26" t="s">
        <v>327</v>
      </c>
      <c r="D87" s="26" t="s">
        <v>195</v>
      </c>
      <c r="E87" s="27" t="s">
        <v>12</v>
      </c>
      <c r="F87" s="25" t="s">
        <v>204</v>
      </c>
      <c r="G87" s="38">
        <v>46219.375</v>
      </c>
      <c r="H87" s="38">
        <v>46219.451388888891</v>
      </c>
      <c r="I87" s="28">
        <f t="shared" si="26"/>
        <v>7.6388888890505768E-2</v>
      </c>
      <c r="J87" s="29">
        <v>6.25E-2</v>
      </c>
      <c r="K87" s="28">
        <f t="shared" si="27"/>
        <v>1.3888888890505768E-2</v>
      </c>
      <c r="L87" s="30" t="s">
        <v>235</v>
      </c>
    </row>
    <row r="88" spans="1:12" ht="15.6" hidden="1" x14ac:dyDescent="0.3">
      <c r="A88" s="25">
        <v>4</v>
      </c>
      <c r="B88" s="25">
        <v>8093452</v>
      </c>
      <c r="C88" s="26" t="s">
        <v>327</v>
      </c>
      <c r="D88" s="26" t="s">
        <v>198</v>
      </c>
      <c r="E88" s="27" t="s">
        <v>307</v>
      </c>
      <c r="F88" s="25" t="s">
        <v>13</v>
      </c>
      <c r="G88" s="38">
        <v>46220.245138888888</v>
      </c>
      <c r="H88" s="38">
        <v>46220.34375</v>
      </c>
      <c r="I88" s="28">
        <f t="shared" si="26"/>
        <v>9.8611111112404615E-2</v>
      </c>
      <c r="J88" s="29">
        <v>8.3333333333333329E-2</v>
      </c>
      <c r="K88" s="28">
        <f t="shared" si="27"/>
        <v>1.5277777779071286E-2</v>
      </c>
      <c r="L88" s="30" t="s">
        <v>235</v>
      </c>
    </row>
    <row r="89" spans="1:12" ht="15.6" hidden="1" x14ac:dyDescent="0.3">
      <c r="A89" s="25">
        <v>1</v>
      </c>
      <c r="B89" s="25">
        <v>8094352</v>
      </c>
      <c r="C89" s="26" t="s">
        <v>328</v>
      </c>
      <c r="D89" s="26" t="s">
        <v>291</v>
      </c>
      <c r="E89" s="27" t="s">
        <v>82</v>
      </c>
      <c r="F89" s="25" t="s">
        <v>179</v>
      </c>
      <c r="G89" s="38">
        <v>46220.25</v>
      </c>
      <c r="H89" s="38">
        <v>46220.370138888888</v>
      </c>
      <c r="I89" s="28">
        <f t="shared" ref="I89:I93" si="28">H89-G89</f>
        <v>0.12013888888759539</v>
      </c>
      <c r="J89" s="29">
        <v>4.1666666666666664E-2</v>
      </c>
      <c r="K89" s="28">
        <f t="shared" ref="K89:K93" si="29">I89-J89</f>
        <v>7.8472222220928728E-2</v>
      </c>
      <c r="L89" s="30" t="s">
        <v>235</v>
      </c>
    </row>
    <row r="90" spans="1:12" ht="15.6" hidden="1" x14ac:dyDescent="0.3">
      <c r="A90" s="25">
        <v>2</v>
      </c>
      <c r="B90" s="25">
        <v>8094887</v>
      </c>
      <c r="C90" s="26" t="s">
        <v>328</v>
      </c>
      <c r="D90" s="26" t="s">
        <v>188</v>
      </c>
      <c r="E90" s="27" t="s">
        <v>25</v>
      </c>
      <c r="F90" s="25" t="s">
        <v>13</v>
      </c>
      <c r="G90" s="38">
        <v>46220.80972222222</v>
      </c>
      <c r="H90" s="38">
        <v>46220.984027777777</v>
      </c>
      <c r="I90" s="28">
        <f t="shared" si="28"/>
        <v>0.17430555555620231</v>
      </c>
      <c r="J90" s="29">
        <v>8.3333333333333329E-2</v>
      </c>
      <c r="K90" s="28">
        <f t="shared" si="29"/>
        <v>9.0972222222868979E-2</v>
      </c>
      <c r="L90" s="30" t="s">
        <v>235</v>
      </c>
    </row>
    <row r="91" spans="1:12" ht="15.6" hidden="1" x14ac:dyDescent="0.3">
      <c r="A91" s="25">
        <v>3</v>
      </c>
      <c r="B91" s="25">
        <v>8095033</v>
      </c>
      <c r="C91" s="26" t="s">
        <v>328</v>
      </c>
      <c r="D91" s="26" t="s">
        <v>195</v>
      </c>
      <c r="E91" s="27" t="s">
        <v>37</v>
      </c>
      <c r="F91" s="25" t="s">
        <v>126</v>
      </c>
      <c r="G91" s="38">
        <v>46220.423611111109</v>
      </c>
      <c r="H91" s="38">
        <v>46220.493055555555</v>
      </c>
      <c r="I91" s="28">
        <f t="shared" si="28"/>
        <v>6.9444444445252884E-2</v>
      </c>
      <c r="J91" s="29">
        <v>6.25E-2</v>
      </c>
      <c r="K91" s="28">
        <f t="shared" si="29"/>
        <v>6.9444444452528842E-3</v>
      </c>
      <c r="L91" s="30" t="s">
        <v>235</v>
      </c>
    </row>
    <row r="92" spans="1:12" ht="15.6" hidden="1" x14ac:dyDescent="0.3">
      <c r="A92" s="25">
        <v>4</v>
      </c>
      <c r="B92" s="25">
        <v>8095261</v>
      </c>
      <c r="C92" s="26" t="s">
        <v>328</v>
      </c>
      <c r="D92" s="26" t="s">
        <v>197</v>
      </c>
      <c r="E92" s="27" t="s">
        <v>44</v>
      </c>
      <c r="F92" s="25" t="s">
        <v>45</v>
      </c>
      <c r="G92" s="38">
        <v>46220.927777777775</v>
      </c>
      <c r="H92" s="38">
        <v>46221.054861111108</v>
      </c>
      <c r="I92" s="28">
        <f t="shared" si="28"/>
        <v>0.12708333333284827</v>
      </c>
      <c r="J92" s="29">
        <v>8.3333333333333329E-2</v>
      </c>
      <c r="K92" s="28">
        <f t="shared" si="29"/>
        <v>4.3749999999514941E-2</v>
      </c>
      <c r="L92" s="30" t="s">
        <v>235</v>
      </c>
    </row>
    <row r="93" spans="1:12" ht="15.6" hidden="1" x14ac:dyDescent="0.3">
      <c r="A93" s="25">
        <v>5</v>
      </c>
      <c r="B93" s="25">
        <v>8095224</v>
      </c>
      <c r="C93" s="26" t="s">
        <v>328</v>
      </c>
      <c r="D93" s="26" t="s">
        <v>197</v>
      </c>
      <c r="E93" s="27" t="s">
        <v>50</v>
      </c>
      <c r="F93" s="25" t="s">
        <v>45</v>
      </c>
      <c r="G93" s="38">
        <v>46220.861111111109</v>
      </c>
      <c r="H93" s="38">
        <v>46220.953472222223</v>
      </c>
      <c r="I93" s="28">
        <f t="shared" si="28"/>
        <v>9.2361111113859806E-2</v>
      </c>
      <c r="J93" s="29">
        <v>8.3333333333333329E-2</v>
      </c>
      <c r="K93" s="28">
        <f t="shared" si="29"/>
        <v>9.0277777805264775E-3</v>
      </c>
      <c r="L93" s="30" t="s">
        <v>235</v>
      </c>
    </row>
    <row r="94" spans="1:12" ht="15.6" hidden="1" x14ac:dyDescent="0.3">
      <c r="A94" s="25">
        <v>1</v>
      </c>
      <c r="B94" s="25">
        <v>8097778</v>
      </c>
      <c r="C94" s="26" t="s">
        <v>330</v>
      </c>
      <c r="D94" s="26" t="s">
        <v>195</v>
      </c>
      <c r="E94" s="27" t="s">
        <v>12</v>
      </c>
      <c r="F94" s="25" t="s">
        <v>126</v>
      </c>
      <c r="G94" s="38">
        <v>46221.375</v>
      </c>
      <c r="H94" s="38">
        <v>46221.478472222225</v>
      </c>
      <c r="I94" s="28">
        <f t="shared" ref="I94:I103" si="30">H94-G94</f>
        <v>0.10347222222480923</v>
      </c>
      <c r="J94" s="29">
        <v>6.25E-2</v>
      </c>
      <c r="K94" s="28">
        <f t="shared" ref="K94:K103" si="31">I94-J94</f>
        <v>4.0972222224809229E-2</v>
      </c>
      <c r="L94" s="30" t="s">
        <v>235</v>
      </c>
    </row>
    <row r="95" spans="1:12" ht="15.6" hidden="1" x14ac:dyDescent="0.3">
      <c r="A95" s="25">
        <v>2</v>
      </c>
      <c r="B95" s="25">
        <v>8098058</v>
      </c>
      <c r="C95" s="26" t="s">
        <v>330</v>
      </c>
      <c r="D95" s="26" t="s">
        <v>197</v>
      </c>
      <c r="E95" s="27" t="s">
        <v>30</v>
      </c>
      <c r="F95" s="25" t="s">
        <v>45</v>
      </c>
      <c r="G95" s="38">
        <v>46221.899305555555</v>
      </c>
      <c r="H95" s="38">
        <v>46222.010416666664</v>
      </c>
      <c r="I95" s="28">
        <f t="shared" si="30"/>
        <v>0.11111111110949423</v>
      </c>
      <c r="J95" s="29">
        <v>8.3333333333333329E-2</v>
      </c>
      <c r="K95" s="28">
        <f t="shared" si="31"/>
        <v>2.7777777776160903E-2</v>
      </c>
      <c r="L95" s="30" t="s">
        <v>235</v>
      </c>
    </row>
    <row r="96" spans="1:12" ht="15.6" hidden="1" x14ac:dyDescent="0.3">
      <c r="A96" s="25">
        <v>3</v>
      </c>
      <c r="B96" s="25">
        <v>8098063</v>
      </c>
      <c r="C96" s="26" t="s">
        <v>330</v>
      </c>
      <c r="D96" s="26" t="s">
        <v>197</v>
      </c>
      <c r="E96" s="27" t="s">
        <v>86</v>
      </c>
      <c r="F96" s="25" t="s">
        <v>45</v>
      </c>
      <c r="G96" s="38">
        <v>46221.537499999999</v>
      </c>
      <c r="H96" s="38">
        <v>46221.625</v>
      </c>
      <c r="I96" s="28">
        <f t="shared" si="30"/>
        <v>8.7500000001455192E-2</v>
      </c>
      <c r="J96" s="29">
        <v>8.3333333333333329E-2</v>
      </c>
      <c r="K96" s="28">
        <f t="shared" si="31"/>
        <v>4.1666666681218628E-3</v>
      </c>
      <c r="L96" s="30" t="s">
        <v>235</v>
      </c>
    </row>
    <row r="97" spans="1:12" ht="15.6" hidden="1" x14ac:dyDescent="0.3">
      <c r="A97" s="25">
        <v>4</v>
      </c>
      <c r="B97" s="25">
        <v>8098104</v>
      </c>
      <c r="C97" s="26" t="s">
        <v>330</v>
      </c>
      <c r="D97" s="26" t="s">
        <v>218</v>
      </c>
      <c r="E97" s="27" t="s">
        <v>44</v>
      </c>
      <c r="F97" s="25" t="s">
        <v>45</v>
      </c>
      <c r="G97" s="38">
        <v>46221.537499999999</v>
      </c>
      <c r="H97" s="38">
        <v>46221.625</v>
      </c>
      <c r="I97" s="28">
        <f t="shared" si="30"/>
        <v>8.7500000001455192E-2</v>
      </c>
      <c r="J97" s="29">
        <v>8.3333333333333329E-2</v>
      </c>
      <c r="K97" s="28">
        <f t="shared" si="31"/>
        <v>4.1666666681218628E-3</v>
      </c>
      <c r="L97" s="30" t="s">
        <v>235</v>
      </c>
    </row>
    <row r="98" spans="1:12" ht="15.6" hidden="1" x14ac:dyDescent="0.3">
      <c r="A98" s="25">
        <v>5</v>
      </c>
      <c r="B98" s="25">
        <v>8099891</v>
      </c>
      <c r="C98" s="26" t="s">
        <v>331</v>
      </c>
      <c r="D98" s="26" t="s">
        <v>291</v>
      </c>
      <c r="E98" s="27" t="s">
        <v>82</v>
      </c>
      <c r="F98" s="25" t="s">
        <v>312</v>
      </c>
      <c r="G98" s="38">
        <v>46222.270833333336</v>
      </c>
      <c r="H98" s="38">
        <v>46222.395833333336</v>
      </c>
      <c r="I98" s="28">
        <f t="shared" si="30"/>
        <v>0.125</v>
      </c>
      <c r="J98" s="29">
        <v>4.1666666666666664E-2</v>
      </c>
      <c r="K98" s="28">
        <f t="shared" si="31"/>
        <v>8.3333333333333343E-2</v>
      </c>
      <c r="L98" s="30" t="s">
        <v>235</v>
      </c>
    </row>
    <row r="99" spans="1:12" ht="15.6" hidden="1" x14ac:dyDescent="0.3">
      <c r="A99" s="25">
        <v>6</v>
      </c>
      <c r="B99" s="25">
        <v>8099926</v>
      </c>
      <c r="C99" s="26" t="s">
        <v>331</v>
      </c>
      <c r="D99" s="26" t="s">
        <v>292</v>
      </c>
      <c r="E99" s="27" t="s">
        <v>18</v>
      </c>
      <c r="F99" s="25" t="s">
        <v>95</v>
      </c>
      <c r="G99" s="38">
        <v>46222.375</v>
      </c>
      <c r="H99" s="38">
        <v>46222.5</v>
      </c>
      <c r="I99" s="28">
        <f t="shared" si="30"/>
        <v>0.125</v>
      </c>
      <c r="J99" s="29">
        <v>6.25E-2</v>
      </c>
      <c r="K99" s="28">
        <f t="shared" si="31"/>
        <v>6.25E-2</v>
      </c>
      <c r="L99" s="30" t="s">
        <v>235</v>
      </c>
    </row>
    <row r="100" spans="1:12" ht="15.6" hidden="1" x14ac:dyDescent="0.3">
      <c r="A100" s="25">
        <v>7</v>
      </c>
      <c r="B100" s="25">
        <v>8100060</v>
      </c>
      <c r="C100" s="26" t="s">
        <v>331</v>
      </c>
      <c r="D100" s="26" t="s">
        <v>186</v>
      </c>
      <c r="E100" s="27" t="s">
        <v>97</v>
      </c>
      <c r="F100" s="25" t="s">
        <v>13</v>
      </c>
      <c r="G100" s="38">
        <v>46223.122916666667</v>
      </c>
      <c r="H100" s="38">
        <v>46223.220138888886</v>
      </c>
      <c r="I100" s="28">
        <f t="shared" si="30"/>
        <v>9.7222222218988463E-2</v>
      </c>
      <c r="J100" s="29">
        <v>8.3333333333333329E-2</v>
      </c>
      <c r="K100" s="28">
        <f t="shared" si="31"/>
        <v>1.3888888885655135E-2</v>
      </c>
      <c r="L100" s="30" t="s">
        <v>235</v>
      </c>
    </row>
    <row r="101" spans="1:12" ht="15.6" hidden="1" x14ac:dyDescent="0.3">
      <c r="A101" s="25">
        <v>8</v>
      </c>
      <c r="B101" s="25">
        <v>8100567</v>
      </c>
      <c r="C101" s="26" t="s">
        <v>331</v>
      </c>
      <c r="D101" s="26" t="s">
        <v>195</v>
      </c>
      <c r="E101" s="27" t="s">
        <v>83</v>
      </c>
      <c r="F101" s="25" t="s">
        <v>126</v>
      </c>
      <c r="G101" s="38">
        <v>46222.375</v>
      </c>
      <c r="H101" s="38">
        <v>46222.46875</v>
      </c>
      <c r="I101" s="28">
        <f t="shared" si="30"/>
        <v>9.375E-2</v>
      </c>
      <c r="J101" s="29">
        <v>6.25E-2</v>
      </c>
      <c r="K101" s="28">
        <f t="shared" si="31"/>
        <v>3.125E-2</v>
      </c>
      <c r="L101" s="30" t="s">
        <v>235</v>
      </c>
    </row>
    <row r="102" spans="1:12" ht="15.6" hidden="1" x14ac:dyDescent="0.3">
      <c r="A102" s="25">
        <v>9</v>
      </c>
      <c r="B102" s="25">
        <v>8100791</v>
      </c>
      <c r="C102" s="26" t="s">
        <v>331</v>
      </c>
      <c r="D102" s="26" t="s">
        <v>197</v>
      </c>
      <c r="E102" s="27" t="s">
        <v>50</v>
      </c>
      <c r="F102" s="25" t="s">
        <v>45</v>
      </c>
      <c r="G102" s="38">
        <v>46222.861111111109</v>
      </c>
      <c r="H102" s="38">
        <v>46223.011805555558</v>
      </c>
      <c r="I102" s="28">
        <f t="shared" si="30"/>
        <v>0.15069444444816327</v>
      </c>
      <c r="J102" s="29">
        <v>8.3333333333333329E-2</v>
      </c>
      <c r="K102" s="28">
        <f t="shared" si="31"/>
        <v>6.7361111114829939E-2</v>
      </c>
      <c r="L102" s="30" t="s">
        <v>235</v>
      </c>
    </row>
    <row r="103" spans="1:12" ht="15.6" hidden="1" x14ac:dyDescent="0.3">
      <c r="A103" s="25">
        <v>10</v>
      </c>
      <c r="B103" s="25">
        <v>8101159</v>
      </c>
      <c r="C103" s="26" t="s">
        <v>331</v>
      </c>
      <c r="D103" s="26" t="s">
        <v>210</v>
      </c>
      <c r="E103" s="27" t="s">
        <v>34</v>
      </c>
      <c r="F103" s="25" t="s">
        <v>13</v>
      </c>
      <c r="G103" s="38">
        <v>46223.127083333333</v>
      </c>
      <c r="H103" s="38">
        <v>46223.23541666667</v>
      </c>
      <c r="I103" s="28">
        <f t="shared" si="30"/>
        <v>0.10833333333721384</v>
      </c>
      <c r="J103" s="29">
        <v>8.3333333333333329E-2</v>
      </c>
      <c r="K103" s="28">
        <f t="shared" si="31"/>
        <v>2.5000000003880515E-2</v>
      </c>
      <c r="L103" s="30" t="s">
        <v>235</v>
      </c>
    </row>
    <row r="104" spans="1:12" ht="15.6" hidden="1" x14ac:dyDescent="0.3">
      <c r="A104" s="25">
        <v>1</v>
      </c>
      <c r="B104" s="25">
        <v>8102471</v>
      </c>
      <c r="C104" s="26" t="s">
        <v>332</v>
      </c>
      <c r="D104" s="26" t="s">
        <v>291</v>
      </c>
      <c r="E104" s="27" t="s">
        <v>25</v>
      </c>
      <c r="F104" s="25" t="s">
        <v>179</v>
      </c>
      <c r="G104" s="38">
        <v>46223.25</v>
      </c>
      <c r="H104" s="38">
        <v>46223.384027777778</v>
      </c>
      <c r="I104" s="28">
        <f t="shared" ref="I104:I108" si="32">H104-G104</f>
        <v>0.13402777777810115</v>
      </c>
      <c r="J104" s="29">
        <v>4.1666666666666664E-2</v>
      </c>
      <c r="K104" s="28">
        <f t="shared" ref="K104:K108" si="33">I104-J104</f>
        <v>9.2361111111434496E-2</v>
      </c>
      <c r="L104" s="30" t="s">
        <v>235</v>
      </c>
    </row>
    <row r="105" spans="1:12" ht="15.6" hidden="1" x14ac:dyDescent="0.3">
      <c r="A105" s="25">
        <v>2</v>
      </c>
      <c r="B105" s="25">
        <v>8102624</v>
      </c>
      <c r="C105" s="26" t="s">
        <v>332</v>
      </c>
      <c r="D105" s="26" t="s">
        <v>228</v>
      </c>
      <c r="E105" s="27" t="s">
        <v>87</v>
      </c>
      <c r="F105" s="25" t="s">
        <v>174</v>
      </c>
      <c r="G105" s="38">
        <v>46223.368055555555</v>
      </c>
      <c r="H105" s="38">
        <v>46223.4375</v>
      </c>
      <c r="I105" s="28">
        <f t="shared" si="32"/>
        <v>6.9444444445252884E-2</v>
      </c>
      <c r="J105" s="29">
        <v>6.25E-2</v>
      </c>
      <c r="K105" s="28">
        <f t="shared" si="33"/>
        <v>6.9444444452528842E-3</v>
      </c>
      <c r="L105" s="30" t="s">
        <v>235</v>
      </c>
    </row>
    <row r="106" spans="1:12" ht="15.6" hidden="1" x14ac:dyDescent="0.3">
      <c r="A106" s="25">
        <v>3</v>
      </c>
      <c r="B106" s="25">
        <v>8103154</v>
      </c>
      <c r="C106" s="26" t="s">
        <v>332</v>
      </c>
      <c r="D106" s="26" t="s">
        <v>195</v>
      </c>
      <c r="E106" s="27" t="s">
        <v>12</v>
      </c>
      <c r="F106" s="25" t="s">
        <v>204</v>
      </c>
      <c r="G106" s="38">
        <v>46223.375</v>
      </c>
      <c r="H106" s="38">
        <v>46223.555555555555</v>
      </c>
      <c r="I106" s="28">
        <f t="shared" si="32"/>
        <v>0.18055555555474712</v>
      </c>
      <c r="J106" s="29">
        <v>6.25E-2</v>
      </c>
      <c r="K106" s="28">
        <f t="shared" si="33"/>
        <v>0.11805555555474712</v>
      </c>
      <c r="L106" s="30" t="s">
        <v>235</v>
      </c>
    </row>
    <row r="107" spans="1:12" ht="15.6" hidden="1" x14ac:dyDescent="0.3">
      <c r="A107" s="25">
        <v>4</v>
      </c>
      <c r="B107" s="25">
        <v>8103377</v>
      </c>
      <c r="C107" s="26" t="s">
        <v>332</v>
      </c>
      <c r="D107" s="26" t="s">
        <v>198</v>
      </c>
      <c r="E107" s="27" t="s">
        <v>51</v>
      </c>
      <c r="F107" s="25" t="s">
        <v>13</v>
      </c>
      <c r="G107" s="38">
        <v>46223.857638888891</v>
      </c>
      <c r="H107" s="38">
        <v>46223.993055555555</v>
      </c>
      <c r="I107" s="28">
        <f t="shared" si="32"/>
        <v>0.13541666666424135</v>
      </c>
      <c r="J107" s="29">
        <v>8.3333333333333329E-2</v>
      </c>
      <c r="K107" s="28">
        <f t="shared" si="33"/>
        <v>5.2083333330908019E-2</v>
      </c>
      <c r="L107" s="30" t="s">
        <v>235</v>
      </c>
    </row>
    <row r="108" spans="1:12" ht="15.6" hidden="1" x14ac:dyDescent="0.3">
      <c r="A108" s="25">
        <v>5</v>
      </c>
      <c r="B108" s="25">
        <v>8103319</v>
      </c>
      <c r="C108" s="26" t="s">
        <v>332</v>
      </c>
      <c r="D108" s="26" t="s">
        <v>197</v>
      </c>
      <c r="E108" s="27" t="s">
        <v>44</v>
      </c>
      <c r="F108" s="25" t="s">
        <v>45</v>
      </c>
      <c r="G108" s="38">
        <v>46223.958333333336</v>
      </c>
      <c r="H108" s="38">
        <v>46224.111111111109</v>
      </c>
      <c r="I108" s="28">
        <f t="shared" si="32"/>
        <v>0.15277777777373558</v>
      </c>
      <c r="J108" s="29">
        <v>8.3333333333333329E-2</v>
      </c>
      <c r="K108" s="28">
        <f t="shared" si="33"/>
        <v>6.944444444040225E-2</v>
      </c>
      <c r="L108" s="30" t="s">
        <v>235</v>
      </c>
    </row>
    <row r="109" spans="1:12" ht="15.6" hidden="1" x14ac:dyDescent="0.3">
      <c r="A109" s="25">
        <v>1</v>
      </c>
      <c r="B109" s="25">
        <v>8103366</v>
      </c>
      <c r="C109" s="26" t="s">
        <v>332</v>
      </c>
      <c r="D109" s="26" t="s">
        <v>201</v>
      </c>
      <c r="E109" s="27" t="s">
        <v>175</v>
      </c>
      <c r="F109" s="25" t="s">
        <v>96</v>
      </c>
      <c r="G109" s="38">
        <v>46225.042361111111</v>
      </c>
      <c r="H109" s="38">
        <v>46225.194444444445</v>
      </c>
      <c r="I109" s="28">
        <f t="shared" ref="I109:I113" si="34">H109-G109</f>
        <v>0.15208333333430346</v>
      </c>
      <c r="J109" s="29">
        <v>8.3333333333333329E-2</v>
      </c>
      <c r="K109" s="28">
        <f t="shared" ref="K109:K113" si="35">I109-J109</f>
        <v>6.8750000000970132E-2</v>
      </c>
      <c r="L109" s="30" t="s">
        <v>235</v>
      </c>
    </row>
    <row r="110" spans="1:12" ht="15.6" hidden="1" x14ac:dyDescent="0.3">
      <c r="A110" s="25">
        <v>2</v>
      </c>
      <c r="B110" s="25">
        <v>8105008</v>
      </c>
      <c r="C110" s="26" t="s">
        <v>334</v>
      </c>
      <c r="D110" s="26" t="s">
        <v>214</v>
      </c>
      <c r="E110" s="27" t="s">
        <v>82</v>
      </c>
      <c r="F110" s="25" t="s">
        <v>179</v>
      </c>
      <c r="G110" s="38">
        <v>46224.270833333336</v>
      </c>
      <c r="H110" s="38">
        <v>46224.375</v>
      </c>
      <c r="I110" s="28">
        <f t="shared" si="34"/>
        <v>0.10416666666424135</v>
      </c>
      <c r="J110" s="29">
        <v>4.1666666666666664E-2</v>
      </c>
      <c r="K110" s="28">
        <f t="shared" si="35"/>
        <v>6.2499999997574683E-2</v>
      </c>
      <c r="L110" s="30" t="s">
        <v>235</v>
      </c>
    </row>
    <row r="111" spans="1:12" ht="15.6" hidden="1" x14ac:dyDescent="0.3">
      <c r="A111" s="25">
        <v>3</v>
      </c>
      <c r="B111" s="25">
        <v>8105151</v>
      </c>
      <c r="C111" s="26" t="s">
        <v>334</v>
      </c>
      <c r="D111" s="26" t="s">
        <v>228</v>
      </c>
      <c r="E111" s="27" t="s">
        <v>84</v>
      </c>
      <c r="F111" s="25" t="s">
        <v>174</v>
      </c>
      <c r="G111" s="38">
        <v>46224.354189814818</v>
      </c>
      <c r="H111" s="38">
        <v>46224.422222222223</v>
      </c>
      <c r="I111" s="28">
        <f t="shared" si="34"/>
        <v>6.8032407405553386E-2</v>
      </c>
      <c r="J111" s="29">
        <v>6.25E-2</v>
      </c>
      <c r="K111" s="28">
        <f t="shared" si="35"/>
        <v>5.5324074055533856E-3</v>
      </c>
      <c r="L111" s="30" t="s">
        <v>235</v>
      </c>
    </row>
    <row r="112" spans="1:12" ht="15.6" hidden="1" x14ac:dyDescent="0.3">
      <c r="A112" s="25">
        <v>4</v>
      </c>
      <c r="B112" s="25">
        <v>8105239</v>
      </c>
      <c r="C112" s="26" t="s">
        <v>334</v>
      </c>
      <c r="D112" s="26" t="s">
        <v>215</v>
      </c>
      <c r="E112" s="27" t="s">
        <v>29</v>
      </c>
      <c r="F112" s="25" t="s">
        <v>98</v>
      </c>
      <c r="G112" s="38">
        <v>46224.375</v>
      </c>
      <c r="H112" s="38">
        <v>46224.484027777777</v>
      </c>
      <c r="I112" s="28">
        <f t="shared" si="34"/>
        <v>0.10902777777664596</v>
      </c>
      <c r="J112" s="29">
        <v>8.3333333333333329E-2</v>
      </c>
      <c r="K112" s="28">
        <f t="shared" si="35"/>
        <v>2.5694444443312633E-2</v>
      </c>
      <c r="L112" s="30" t="s">
        <v>235</v>
      </c>
    </row>
    <row r="113" spans="1:12" ht="15.6" hidden="1" x14ac:dyDescent="0.3">
      <c r="A113" s="25">
        <v>5</v>
      </c>
      <c r="B113" s="25">
        <v>8105690</v>
      </c>
      <c r="C113" s="26" t="s">
        <v>334</v>
      </c>
      <c r="D113" s="26" t="s">
        <v>195</v>
      </c>
      <c r="E113" s="27" t="s">
        <v>83</v>
      </c>
      <c r="F113" s="25" t="s">
        <v>204</v>
      </c>
      <c r="G113" s="38">
        <v>46224.375</v>
      </c>
      <c r="H113" s="38">
        <v>46224.472222222219</v>
      </c>
      <c r="I113" s="28">
        <f t="shared" si="34"/>
        <v>9.7222222218988463E-2</v>
      </c>
      <c r="J113" s="29">
        <v>6.25E-2</v>
      </c>
      <c r="K113" s="28">
        <f t="shared" si="35"/>
        <v>3.4722222218988463E-2</v>
      </c>
      <c r="L113" s="30" t="s">
        <v>235</v>
      </c>
    </row>
    <row r="114" spans="1:12" ht="15.6" hidden="1" x14ac:dyDescent="0.3">
      <c r="A114" s="25">
        <v>1</v>
      </c>
      <c r="B114" s="25">
        <v>8107762</v>
      </c>
      <c r="C114" s="26" t="s">
        <v>335</v>
      </c>
      <c r="D114" s="26" t="s">
        <v>291</v>
      </c>
      <c r="E114" s="27" t="s">
        <v>25</v>
      </c>
      <c r="F114" s="25" t="s">
        <v>312</v>
      </c>
      <c r="G114" s="38">
        <v>46225.25</v>
      </c>
      <c r="H114" s="38">
        <v>46225.40625</v>
      </c>
      <c r="I114" s="28">
        <f t="shared" ref="I114:I118" si="36">H114-G114</f>
        <v>0.15625</v>
      </c>
      <c r="J114" s="29">
        <v>4.1666666666666664E-2</v>
      </c>
      <c r="K114" s="28">
        <f t="shared" ref="K114:K118" si="37">I114-J114</f>
        <v>0.11458333333333334</v>
      </c>
      <c r="L114" s="30" t="s">
        <v>235</v>
      </c>
    </row>
    <row r="115" spans="1:12" ht="15.6" hidden="1" x14ac:dyDescent="0.3">
      <c r="A115" s="25">
        <v>2</v>
      </c>
      <c r="B115" s="25">
        <v>8107917</v>
      </c>
      <c r="C115" s="26" t="s">
        <v>335</v>
      </c>
      <c r="D115" s="26" t="s">
        <v>228</v>
      </c>
      <c r="E115" s="27" t="s">
        <v>87</v>
      </c>
      <c r="F115" s="25" t="s">
        <v>174</v>
      </c>
      <c r="G115" s="38">
        <v>46225.336805555555</v>
      </c>
      <c r="H115" s="38">
        <v>46225.400694444441</v>
      </c>
      <c r="I115" s="28">
        <f t="shared" si="36"/>
        <v>6.3888888886140194E-2</v>
      </c>
      <c r="J115" s="29">
        <v>6.25E-2</v>
      </c>
      <c r="K115" s="28">
        <f t="shared" si="37"/>
        <v>1.3888888861401938E-3</v>
      </c>
      <c r="L115" s="30" t="s">
        <v>235</v>
      </c>
    </row>
    <row r="116" spans="1:12" ht="15.6" hidden="1" x14ac:dyDescent="0.3">
      <c r="A116" s="25">
        <v>3</v>
      </c>
      <c r="B116" s="25">
        <v>8108004</v>
      </c>
      <c r="C116" s="26" t="s">
        <v>335</v>
      </c>
      <c r="D116" s="26" t="s">
        <v>215</v>
      </c>
      <c r="E116" s="27" t="s">
        <v>16</v>
      </c>
      <c r="F116" s="25" t="s">
        <v>98</v>
      </c>
      <c r="G116" s="38">
        <v>46225.375</v>
      </c>
      <c r="H116" s="38">
        <v>46225.46875</v>
      </c>
      <c r="I116" s="28">
        <f t="shared" si="36"/>
        <v>9.375E-2</v>
      </c>
      <c r="J116" s="29">
        <v>8.3333333333333329E-2</v>
      </c>
      <c r="K116" s="28">
        <f t="shared" si="37"/>
        <v>1.0416666666666671E-2</v>
      </c>
      <c r="L116" s="30" t="s">
        <v>235</v>
      </c>
    </row>
    <row r="117" spans="1:12" ht="15.6" hidden="1" x14ac:dyDescent="0.3">
      <c r="A117" s="25">
        <v>4</v>
      </c>
      <c r="B117" s="25">
        <v>8109592</v>
      </c>
      <c r="C117" s="26" t="s">
        <v>335</v>
      </c>
      <c r="D117" s="26" t="s">
        <v>336</v>
      </c>
      <c r="E117" s="27" t="s">
        <v>87</v>
      </c>
      <c r="F117" s="25" t="s">
        <v>174</v>
      </c>
      <c r="G117" s="38">
        <v>46225.6875</v>
      </c>
      <c r="H117" s="38">
        <v>46225.816666666666</v>
      </c>
      <c r="I117" s="28">
        <f t="shared" si="36"/>
        <v>0.12916666666569654</v>
      </c>
      <c r="J117" s="29">
        <v>4.1666666666666664E-2</v>
      </c>
      <c r="K117" s="28">
        <f t="shared" si="37"/>
        <v>8.7499999999029882E-2</v>
      </c>
      <c r="L117" s="30" t="s">
        <v>235</v>
      </c>
    </row>
    <row r="118" spans="1:12" ht="15.6" hidden="1" x14ac:dyDescent="0.3">
      <c r="A118" s="25">
        <v>5</v>
      </c>
      <c r="B118" s="25">
        <v>8107709</v>
      </c>
      <c r="C118" s="26" t="s">
        <v>335</v>
      </c>
      <c r="D118" s="26" t="s">
        <v>190</v>
      </c>
      <c r="E118" s="27" t="s">
        <v>100</v>
      </c>
      <c r="F118" s="25" t="s">
        <v>96</v>
      </c>
      <c r="G118" s="38">
        <v>46225.163888888892</v>
      </c>
      <c r="H118" s="38">
        <v>46225.451388888891</v>
      </c>
      <c r="I118" s="28">
        <f t="shared" si="36"/>
        <v>0.28749999999854481</v>
      </c>
      <c r="J118" s="29">
        <v>8.3333333333333329E-2</v>
      </c>
      <c r="K118" s="28">
        <f t="shared" si="37"/>
        <v>0.20416666666521149</v>
      </c>
      <c r="L118" s="30" t="s">
        <v>235</v>
      </c>
    </row>
    <row r="119" spans="1:12" ht="15.6" hidden="1" x14ac:dyDescent="0.3">
      <c r="A119" s="25">
        <v>1</v>
      </c>
      <c r="B119" s="25">
        <v>8110520</v>
      </c>
      <c r="C119" s="26" t="s">
        <v>338</v>
      </c>
      <c r="D119" s="26" t="s">
        <v>291</v>
      </c>
      <c r="E119" s="27" t="s">
        <v>82</v>
      </c>
      <c r="F119" s="25" t="s">
        <v>179</v>
      </c>
      <c r="G119" s="38">
        <v>46226.25</v>
      </c>
      <c r="H119" s="38">
        <v>46226.447916666664</v>
      </c>
      <c r="I119" s="28">
        <f t="shared" ref="I119:I121" si="38">H119-G119</f>
        <v>0.19791666666424135</v>
      </c>
      <c r="J119" s="29">
        <v>8.3333333333333329E-2</v>
      </c>
      <c r="K119" s="28">
        <f t="shared" ref="K119:K121" si="39">I119-J119</f>
        <v>0.11458333333090802</v>
      </c>
      <c r="L119" s="30" t="s">
        <v>235</v>
      </c>
    </row>
    <row r="120" spans="1:12" ht="15.6" hidden="1" x14ac:dyDescent="0.3">
      <c r="A120" s="25">
        <v>2</v>
      </c>
      <c r="B120" s="25">
        <v>8110759</v>
      </c>
      <c r="C120" s="26" t="s">
        <v>338</v>
      </c>
      <c r="D120" s="26" t="s">
        <v>215</v>
      </c>
      <c r="E120" s="27" t="s">
        <v>29</v>
      </c>
      <c r="F120" s="25" t="s">
        <v>98</v>
      </c>
      <c r="G120" s="38">
        <v>46226.375</v>
      </c>
      <c r="H120" s="38">
        <v>46226.491666666669</v>
      </c>
      <c r="I120" s="28">
        <f t="shared" si="38"/>
        <v>0.11666666666860692</v>
      </c>
      <c r="J120" s="29">
        <v>8.3333333333333329E-2</v>
      </c>
      <c r="K120" s="28">
        <f t="shared" si="39"/>
        <v>3.3333333335273593E-2</v>
      </c>
      <c r="L120" s="30" t="s">
        <v>235</v>
      </c>
    </row>
    <row r="121" spans="1:12" ht="15.6" hidden="1" x14ac:dyDescent="0.3">
      <c r="A121" s="25">
        <v>3</v>
      </c>
      <c r="B121" s="25">
        <v>8111225</v>
      </c>
      <c r="C121" s="26" t="s">
        <v>338</v>
      </c>
      <c r="D121" s="26" t="s">
        <v>195</v>
      </c>
      <c r="E121" s="27" t="s">
        <v>12</v>
      </c>
      <c r="F121" s="25" t="s">
        <v>337</v>
      </c>
      <c r="G121" s="38">
        <v>46226.381944444445</v>
      </c>
      <c r="H121" s="38">
        <v>46226.479166666664</v>
      </c>
      <c r="I121" s="28">
        <f t="shared" si="38"/>
        <v>9.7222222218988463E-2</v>
      </c>
      <c r="J121" s="29">
        <v>8.3333333333333329E-2</v>
      </c>
      <c r="K121" s="28">
        <f t="shared" si="39"/>
        <v>1.3888888885655135E-2</v>
      </c>
      <c r="L121" s="30" t="s">
        <v>235</v>
      </c>
    </row>
    <row r="122" spans="1:12" ht="15.6" hidden="1" x14ac:dyDescent="0.3">
      <c r="A122" s="25">
        <v>1</v>
      </c>
      <c r="B122" s="25">
        <v>8110715</v>
      </c>
      <c r="C122" s="26" t="s">
        <v>338</v>
      </c>
      <c r="D122" s="26" t="s">
        <v>193</v>
      </c>
      <c r="E122" s="27" t="s">
        <v>44</v>
      </c>
      <c r="F122" s="25" t="s">
        <v>13</v>
      </c>
      <c r="G122" s="38">
        <v>46228.081250000003</v>
      </c>
      <c r="H122" s="38">
        <v>46228.251388888886</v>
      </c>
      <c r="I122" s="28">
        <f t="shared" ref="I122:I129" si="40">H122-G122</f>
        <v>0.17013888888322981</v>
      </c>
      <c r="J122" s="29">
        <v>8.3333333333333329E-2</v>
      </c>
      <c r="K122" s="28">
        <f t="shared" ref="K122:K129" si="41">I122-J122</f>
        <v>8.6805555549896482E-2</v>
      </c>
      <c r="L122" s="30" t="s">
        <v>235</v>
      </c>
    </row>
    <row r="123" spans="1:12" ht="15.6" hidden="1" x14ac:dyDescent="0.3">
      <c r="A123" s="25">
        <v>2</v>
      </c>
      <c r="B123" s="25">
        <v>8113277</v>
      </c>
      <c r="C123" s="26" t="s">
        <v>339</v>
      </c>
      <c r="D123" s="26" t="s">
        <v>291</v>
      </c>
      <c r="E123" s="27" t="s">
        <v>163</v>
      </c>
      <c r="F123" s="25" t="s">
        <v>312</v>
      </c>
      <c r="G123" s="38">
        <v>46227.25</v>
      </c>
      <c r="H123" s="38">
        <v>46227.375</v>
      </c>
      <c r="I123" s="28">
        <f t="shared" si="40"/>
        <v>0.125</v>
      </c>
      <c r="J123" s="29">
        <v>4.1666666666666664E-2</v>
      </c>
      <c r="K123" s="28">
        <f t="shared" si="41"/>
        <v>8.3333333333333343E-2</v>
      </c>
      <c r="L123" s="30" t="s">
        <v>235</v>
      </c>
    </row>
    <row r="124" spans="1:12" ht="15.6" hidden="1" x14ac:dyDescent="0.3">
      <c r="A124" s="25">
        <v>3</v>
      </c>
      <c r="B124" s="25">
        <v>8113325</v>
      </c>
      <c r="C124" s="26" t="s">
        <v>339</v>
      </c>
      <c r="D124" s="26" t="s">
        <v>304</v>
      </c>
      <c r="E124" s="27" t="s">
        <v>53</v>
      </c>
      <c r="F124" s="25" t="s">
        <v>229</v>
      </c>
      <c r="G124" s="38">
        <v>46227.388888888891</v>
      </c>
      <c r="H124" s="38">
        <v>46227.513888888891</v>
      </c>
      <c r="I124" s="28">
        <f t="shared" si="40"/>
        <v>0.125</v>
      </c>
      <c r="J124" s="29">
        <v>6.25E-2</v>
      </c>
      <c r="K124" s="28">
        <f t="shared" si="41"/>
        <v>6.25E-2</v>
      </c>
      <c r="L124" s="30" t="s">
        <v>235</v>
      </c>
    </row>
    <row r="125" spans="1:12" ht="15.6" hidden="1" x14ac:dyDescent="0.3">
      <c r="A125" s="25">
        <v>4</v>
      </c>
      <c r="B125" s="25">
        <v>8113418</v>
      </c>
      <c r="C125" s="26" t="s">
        <v>339</v>
      </c>
      <c r="D125" s="26" t="s">
        <v>228</v>
      </c>
      <c r="E125" s="27" t="s">
        <v>87</v>
      </c>
      <c r="F125" s="25" t="s">
        <v>174</v>
      </c>
      <c r="G125" s="38">
        <v>46227.357638888891</v>
      </c>
      <c r="H125" s="38">
        <v>46227.440972222219</v>
      </c>
      <c r="I125" s="28">
        <f t="shared" si="40"/>
        <v>8.3333333328482695E-2</v>
      </c>
      <c r="J125" s="29">
        <v>6.25E-2</v>
      </c>
      <c r="K125" s="28">
        <f t="shared" si="41"/>
        <v>2.0833333328482695E-2</v>
      </c>
      <c r="L125" s="30" t="s">
        <v>235</v>
      </c>
    </row>
    <row r="126" spans="1:12" ht="15.6" hidden="1" x14ac:dyDescent="0.3">
      <c r="A126" s="25">
        <v>5</v>
      </c>
      <c r="B126" s="25">
        <v>8113519</v>
      </c>
      <c r="C126" s="26" t="s">
        <v>339</v>
      </c>
      <c r="D126" s="26" t="s">
        <v>215</v>
      </c>
      <c r="E126" s="27" t="s">
        <v>16</v>
      </c>
      <c r="F126" s="25" t="s">
        <v>98</v>
      </c>
      <c r="G126" s="38">
        <v>46227.375</v>
      </c>
      <c r="H126" s="38">
        <v>46227.523611111108</v>
      </c>
      <c r="I126" s="28">
        <f t="shared" si="40"/>
        <v>0.14861111110803904</v>
      </c>
      <c r="J126" s="29">
        <v>8.3333333333333329E-2</v>
      </c>
      <c r="K126" s="28">
        <f t="shared" si="41"/>
        <v>6.5277777774705711E-2</v>
      </c>
      <c r="L126" s="30" t="s">
        <v>235</v>
      </c>
    </row>
    <row r="127" spans="1:12" ht="15.6" hidden="1" x14ac:dyDescent="0.3">
      <c r="A127" s="25">
        <v>6</v>
      </c>
      <c r="B127" s="25">
        <v>8113945</v>
      </c>
      <c r="C127" s="26" t="s">
        <v>339</v>
      </c>
      <c r="D127" s="26" t="s">
        <v>195</v>
      </c>
      <c r="E127" s="27" t="s">
        <v>83</v>
      </c>
      <c r="F127" s="25" t="s">
        <v>337</v>
      </c>
      <c r="G127" s="38">
        <v>46227.375</v>
      </c>
      <c r="H127" s="38">
        <v>46227.461805555555</v>
      </c>
      <c r="I127" s="28">
        <f t="shared" si="40"/>
        <v>8.6805555554747116E-2</v>
      </c>
      <c r="J127" s="29">
        <v>6.25E-2</v>
      </c>
      <c r="K127" s="28">
        <f t="shared" si="41"/>
        <v>2.4305555554747116E-2</v>
      </c>
      <c r="L127" s="30" t="s">
        <v>235</v>
      </c>
    </row>
    <row r="128" spans="1:12" ht="15.6" hidden="1" x14ac:dyDescent="0.3">
      <c r="A128" s="25">
        <v>7</v>
      </c>
      <c r="B128" s="25">
        <v>8113991</v>
      </c>
      <c r="C128" s="26" t="s">
        <v>339</v>
      </c>
      <c r="D128" s="26" t="s">
        <v>311</v>
      </c>
      <c r="E128" s="27" t="s">
        <v>56</v>
      </c>
      <c r="F128" s="25" t="s">
        <v>205</v>
      </c>
      <c r="G128" s="38">
        <v>46227.378472222219</v>
      </c>
      <c r="H128" s="38">
        <v>46227.4375</v>
      </c>
      <c r="I128" s="28">
        <f t="shared" si="40"/>
        <v>5.9027777781011537E-2</v>
      </c>
      <c r="J128" s="29">
        <v>4.1666666666666664E-2</v>
      </c>
      <c r="K128" s="28">
        <f t="shared" si="41"/>
        <v>1.7361111114344872E-2</v>
      </c>
      <c r="L128" s="30" t="s">
        <v>235</v>
      </c>
    </row>
    <row r="129" spans="1:12" ht="15.6" hidden="1" x14ac:dyDescent="0.3">
      <c r="A129" s="25">
        <v>8</v>
      </c>
      <c r="B129" s="25">
        <v>8115067</v>
      </c>
      <c r="C129" s="26" t="s">
        <v>339</v>
      </c>
      <c r="D129" s="26" t="s">
        <v>207</v>
      </c>
      <c r="E129" s="27" t="s">
        <v>53</v>
      </c>
      <c r="F129" s="25" t="s">
        <v>229</v>
      </c>
      <c r="G129" s="38">
        <v>46227.916666666664</v>
      </c>
      <c r="H129" s="38">
        <v>46228.270833333336</v>
      </c>
      <c r="I129" s="28">
        <f t="shared" si="40"/>
        <v>0.35416666667151731</v>
      </c>
      <c r="J129" s="29">
        <v>8.3333333333333329E-2</v>
      </c>
      <c r="K129" s="28">
        <f t="shared" si="41"/>
        <v>0.27083333333818399</v>
      </c>
      <c r="L129" s="30" t="s">
        <v>235</v>
      </c>
    </row>
    <row r="130" spans="1:12" ht="15.6" hidden="1" x14ac:dyDescent="0.3">
      <c r="A130" s="25">
        <v>1</v>
      </c>
      <c r="B130" s="25">
        <v>8115974</v>
      </c>
      <c r="C130" s="26" t="s">
        <v>340</v>
      </c>
      <c r="D130" s="26" t="s">
        <v>214</v>
      </c>
      <c r="E130" s="27" t="s">
        <v>82</v>
      </c>
      <c r="F130" s="25" t="s">
        <v>179</v>
      </c>
      <c r="G130" s="38">
        <v>46228.270833333336</v>
      </c>
      <c r="H130" s="38">
        <v>46228.37222222222</v>
      </c>
      <c r="I130" s="28">
        <f t="shared" ref="I130:I143" si="42">H130-G130</f>
        <v>0.101388888884685</v>
      </c>
      <c r="J130" s="29">
        <v>4.1666666666666664E-2</v>
      </c>
      <c r="K130" s="28">
        <f t="shared" ref="K130:K143" si="43">I130-J130</f>
        <v>5.9722222218018338E-2</v>
      </c>
      <c r="L130" s="30" t="s">
        <v>235</v>
      </c>
    </row>
    <row r="131" spans="1:12" ht="15.6" hidden="1" x14ac:dyDescent="0.3">
      <c r="A131" s="25">
        <v>2</v>
      </c>
      <c r="B131" s="25">
        <v>8116112</v>
      </c>
      <c r="C131" s="26" t="s">
        <v>340</v>
      </c>
      <c r="D131" s="26" t="s">
        <v>228</v>
      </c>
      <c r="E131" s="27" t="s">
        <v>84</v>
      </c>
      <c r="F131" s="25" t="s">
        <v>174</v>
      </c>
      <c r="G131" s="38">
        <v>46228.379166666666</v>
      </c>
      <c r="H131" s="38">
        <v>46228.445833333331</v>
      </c>
      <c r="I131" s="28">
        <f t="shared" si="42"/>
        <v>6.6666666665696539E-2</v>
      </c>
      <c r="J131" s="29">
        <v>6.25E-2</v>
      </c>
      <c r="K131" s="28">
        <f t="shared" si="43"/>
        <v>4.166666665696539E-3</v>
      </c>
      <c r="L131" s="30" t="s">
        <v>235</v>
      </c>
    </row>
    <row r="132" spans="1:12" ht="15.6" hidden="1" x14ac:dyDescent="0.3">
      <c r="A132" s="25">
        <v>3</v>
      </c>
      <c r="B132" s="25">
        <v>8116264</v>
      </c>
      <c r="C132" s="26" t="s">
        <v>340</v>
      </c>
      <c r="D132" s="26" t="s">
        <v>215</v>
      </c>
      <c r="E132" s="27" t="s">
        <v>29</v>
      </c>
      <c r="F132" s="25" t="s">
        <v>98</v>
      </c>
      <c r="G132" s="38">
        <v>46228.375</v>
      </c>
      <c r="H132" s="38">
        <v>46228.475694444445</v>
      </c>
      <c r="I132" s="28">
        <f t="shared" si="42"/>
        <v>0.10069444444525288</v>
      </c>
      <c r="J132" s="29">
        <v>8.3333333333333329E-2</v>
      </c>
      <c r="K132" s="28">
        <f t="shared" si="43"/>
        <v>1.7361111111919555E-2</v>
      </c>
      <c r="L132" s="30" t="s">
        <v>235</v>
      </c>
    </row>
    <row r="133" spans="1:12" ht="15.6" hidden="1" x14ac:dyDescent="0.3">
      <c r="A133" s="25">
        <v>4</v>
      </c>
      <c r="B133" s="25">
        <v>8116711</v>
      </c>
      <c r="C133" s="26" t="s">
        <v>340</v>
      </c>
      <c r="D133" s="26" t="s">
        <v>311</v>
      </c>
      <c r="E133" s="27" t="s">
        <v>56</v>
      </c>
      <c r="F133" s="25" t="s">
        <v>205</v>
      </c>
      <c r="G133" s="38">
        <v>46228.378472222219</v>
      </c>
      <c r="H133" s="38">
        <v>46228.430555555555</v>
      </c>
      <c r="I133" s="28">
        <f t="shared" si="42"/>
        <v>5.2083333335758653E-2</v>
      </c>
      <c r="J133" s="29">
        <v>4.1666666666666664E-2</v>
      </c>
      <c r="K133" s="28">
        <f t="shared" si="43"/>
        <v>1.0416666669091988E-2</v>
      </c>
      <c r="L133" s="30" t="s">
        <v>235</v>
      </c>
    </row>
    <row r="134" spans="1:12" ht="15.6" hidden="1" x14ac:dyDescent="0.3">
      <c r="A134" s="25">
        <v>5</v>
      </c>
      <c r="B134" s="25">
        <v>8116880</v>
      </c>
      <c r="C134" s="26" t="s">
        <v>340</v>
      </c>
      <c r="D134" s="26" t="s">
        <v>198</v>
      </c>
      <c r="E134" s="27" t="s">
        <v>51</v>
      </c>
      <c r="F134" s="25" t="s">
        <v>13</v>
      </c>
      <c r="G134" s="38">
        <v>46229.004861111112</v>
      </c>
      <c r="H134" s="38">
        <v>46229.12777777778</v>
      </c>
      <c r="I134" s="28">
        <f t="shared" si="42"/>
        <v>0.12291666666715173</v>
      </c>
      <c r="J134" s="29">
        <v>8.3333333333333329E-2</v>
      </c>
      <c r="K134" s="28">
        <f t="shared" si="43"/>
        <v>3.9583333333818402E-2</v>
      </c>
      <c r="L134" s="30" t="s">
        <v>235</v>
      </c>
    </row>
    <row r="135" spans="1:12" ht="15.6" hidden="1" x14ac:dyDescent="0.3">
      <c r="A135" s="25">
        <v>6</v>
      </c>
      <c r="B135" s="25">
        <v>8117634</v>
      </c>
      <c r="C135" s="26" t="s">
        <v>340</v>
      </c>
      <c r="D135" s="26" t="s">
        <v>342</v>
      </c>
      <c r="E135" s="27" t="s">
        <v>18</v>
      </c>
      <c r="F135" s="25" t="s">
        <v>229</v>
      </c>
      <c r="G135" s="38">
        <v>46228.763888888891</v>
      </c>
      <c r="H135" s="38">
        <v>46228.854861111111</v>
      </c>
      <c r="I135" s="28">
        <f t="shared" si="42"/>
        <v>9.0972222220443655E-2</v>
      </c>
      <c r="J135" s="29">
        <v>8.3333333333333329E-2</v>
      </c>
      <c r="K135" s="28">
        <f t="shared" si="43"/>
        <v>7.6388888871103261E-3</v>
      </c>
      <c r="L135" s="30" t="s">
        <v>235</v>
      </c>
    </row>
    <row r="136" spans="1:12" ht="15.6" hidden="1" x14ac:dyDescent="0.3">
      <c r="A136" s="25">
        <v>7</v>
      </c>
      <c r="B136" s="25">
        <v>8118829</v>
      </c>
      <c r="C136" s="26" t="s">
        <v>341</v>
      </c>
      <c r="D136" s="26" t="s">
        <v>214</v>
      </c>
      <c r="E136" s="27" t="s">
        <v>25</v>
      </c>
      <c r="F136" s="25" t="s">
        <v>179</v>
      </c>
      <c r="G136" s="38">
        <v>46228.25</v>
      </c>
      <c r="H136" s="38">
        <v>46229.380555555559</v>
      </c>
      <c r="I136" s="28">
        <f t="shared" si="42"/>
        <v>1.1305555555591127</v>
      </c>
      <c r="J136" s="29">
        <v>4.1666666666666664E-2</v>
      </c>
      <c r="K136" s="28">
        <f t="shared" si="43"/>
        <v>1.0888888888924459</v>
      </c>
      <c r="L136" s="30" t="s">
        <v>235</v>
      </c>
    </row>
    <row r="137" spans="1:12" ht="15.6" hidden="1" x14ac:dyDescent="0.3">
      <c r="A137" s="25">
        <v>8</v>
      </c>
      <c r="B137" s="25">
        <v>8119149</v>
      </c>
      <c r="C137" s="26" t="s">
        <v>341</v>
      </c>
      <c r="D137" s="26" t="s">
        <v>215</v>
      </c>
      <c r="E137" s="27" t="s">
        <v>16</v>
      </c>
      <c r="F137" s="25" t="s">
        <v>98</v>
      </c>
      <c r="G137" s="38">
        <v>46229.413194444445</v>
      </c>
      <c r="H137" s="38">
        <v>46229.534722222219</v>
      </c>
      <c r="I137" s="28">
        <f t="shared" si="42"/>
        <v>0.12152777777373558</v>
      </c>
      <c r="J137" s="29">
        <v>8.3333333333333329E-2</v>
      </c>
      <c r="K137" s="28">
        <f t="shared" si="43"/>
        <v>3.819444444040225E-2</v>
      </c>
      <c r="L137" s="30" t="s">
        <v>235</v>
      </c>
    </row>
    <row r="138" spans="1:12" ht="15.6" hidden="1" x14ac:dyDescent="0.3">
      <c r="A138" s="25">
        <v>9</v>
      </c>
      <c r="B138" s="25">
        <v>8119207</v>
      </c>
      <c r="C138" s="26" t="s">
        <v>341</v>
      </c>
      <c r="D138" s="26" t="s">
        <v>188</v>
      </c>
      <c r="E138" s="27" t="s">
        <v>82</v>
      </c>
      <c r="F138" s="25" t="s">
        <v>13</v>
      </c>
      <c r="G138" s="38">
        <v>46229.575694444444</v>
      </c>
      <c r="H138" s="38">
        <v>46229.708333333336</v>
      </c>
      <c r="I138" s="28">
        <f t="shared" si="42"/>
        <v>0.13263888889196096</v>
      </c>
      <c r="J138" s="29">
        <v>8.3333333333333329E-2</v>
      </c>
      <c r="K138" s="28">
        <f t="shared" si="43"/>
        <v>4.9305555558627631E-2</v>
      </c>
      <c r="L138" s="30" t="s">
        <v>235</v>
      </c>
    </row>
    <row r="139" spans="1:12" ht="15.6" hidden="1" x14ac:dyDescent="0.3">
      <c r="A139" s="25">
        <v>10</v>
      </c>
      <c r="B139" s="25">
        <v>8119472</v>
      </c>
      <c r="C139" s="26" t="s">
        <v>341</v>
      </c>
      <c r="D139" s="26" t="s">
        <v>210</v>
      </c>
      <c r="E139" s="27" t="s">
        <v>99</v>
      </c>
      <c r="F139" s="25" t="s">
        <v>13</v>
      </c>
      <c r="G139" s="38">
        <v>46229.840277777781</v>
      </c>
      <c r="H139" s="38">
        <v>46229.951388888891</v>
      </c>
      <c r="I139" s="28">
        <f t="shared" si="42"/>
        <v>0.11111111110949423</v>
      </c>
      <c r="J139" s="29">
        <v>8.3333333333333329E-2</v>
      </c>
      <c r="K139" s="28">
        <f t="shared" si="43"/>
        <v>2.7777777776160903E-2</v>
      </c>
      <c r="L139" s="30" t="s">
        <v>235</v>
      </c>
    </row>
    <row r="140" spans="1:12" ht="15.6" hidden="1" x14ac:dyDescent="0.3">
      <c r="A140" s="25">
        <v>11</v>
      </c>
      <c r="B140" s="25">
        <v>8119445</v>
      </c>
      <c r="C140" s="26" t="s">
        <v>341</v>
      </c>
      <c r="D140" s="26" t="s">
        <v>209</v>
      </c>
      <c r="E140" s="27" t="s">
        <v>37</v>
      </c>
      <c r="F140" s="25" t="s">
        <v>204</v>
      </c>
      <c r="G140" s="38">
        <v>46229.416666666664</v>
      </c>
      <c r="H140" s="38">
        <v>46229.536111111112</v>
      </c>
      <c r="I140" s="28">
        <f t="shared" si="42"/>
        <v>0.11944444444816327</v>
      </c>
      <c r="J140" s="29">
        <v>6.25E-2</v>
      </c>
      <c r="K140" s="28">
        <f t="shared" si="43"/>
        <v>5.6944444448163267E-2</v>
      </c>
      <c r="L140" s="30" t="s">
        <v>235</v>
      </c>
    </row>
    <row r="141" spans="1:12" ht="15.6" hidden="1" x14ac:dyDescent="0.3">
      <c r="A141" s="25">
        <v>12</v>
      </c>
      <c r="B141" s="25">
        <v>8119508</v>
      </c>
      <c r="C141" s="26" t="s">
        <v>341</v>
      </c>
      <c r="D141" s="26" t="s">
        <v>311</v>
      </c>
      <c r="E141" s="27" t="s">
        <v>56</v>
      </c>
      <c r="F141" s="25" t="s">
        <v>205</v>
      </c>
      <c r="G141" s="38">
        <v>46229.385416666664</v>
      </c>
      <c r="H141" s="38">
        <v>46229.475694444445</v>
      </c>
      <c r="I141" s="28">
        <f t="shared" si="42"/>
        <v>9.0277777781011537E-2</v>
      </c>
      <c r="J141" s="29">
        <v>4.1666666666666664E-2</v>
      </c>
      <c r="K141" s="28">
        <f t="shared" si="43"/>
        <v>4.8611111114344872E-2</v>
      </c>
      <c r="L141" s="30" t="s">
        <v>235</v>
      </c>
    </row>
    <row r="142" spans="1:12" ht="15.6" hidden="1" x14ac:dyDescent="0.3">
      <c r="A142" s="25">
        <v>13</v>
      </c>
      <c r="B142" s="25">
        <v>8120310</v>
      </c>
      <c r="C142" s="26" t="s">
        <v>341</v>
      </c>
      <c r="D142" s="26" t="s">
        <v>197</v>
      </c>
      <c r="E142" s="27" t="s">
        <v>44</v>
      </c>
      <c r="F142" s="25" t="s">
        <v>45</v>
      </c>
      <c r="G142" s="38">
        <v>46229.138888888891</v>
      </c>
      <c r="H142" s="38">
        <v>46229.298611111109</v>
      </c>
      <c r="I142" s="28">
        <f t="shared" si="42"/>
        <v>0.15972222221898846</v>
      </c>
      <c r="J142" s="29">
        <v>8.3333333333333329E-2</v>
      </c>
      <c r="K142" s="28">
        <f t="shared" si="43"/>
        <v>7.6388888885655135E-2</v>
      </c>
      <c r="L142" s="30" t="s">
        <v>235</v>
      </c>
    </row>
    <row r="143" spans="1:12" ht="15.6" hidden="1" x14ac:dyDescent="0.3">
      <c r="A143" s="25">
        <v>14</v>
      </c>
      <c r="B143" s="25">
        <v>8118690</v>
      </c>
      <c r="C143" s="26" t="s">
        <v>341</v>
      </c>
      <c r="D143" s="26" t="s">
        <v>190</v>
      </c>
      <c r="E143" s="27" t="s">
        <v>104</v>
      </c>
      <c r="F143" s="25" t="s">
        <v>96</v>
      </c>
      <c r="G143" s="38">
        <v>46229.395833333336</v>
      </c>
      <c r="H143" s="38">
        <v>46229.5</v>
      </c>
      <c r="I143" s="28">
        <f t="shared" si="42"/>
        <v>0.10416666666424135</v>
      </c>
      <c r="J143" s="29">
        <v>8.3333333333333329E-2</v>
      </c>
      <c r="K143" s="28">
        <f t="shared" si="43"/>
        <v>2.0833333330908019E-2</v>
      </c>
      <c r="L143" s="30" t="s">
        <v>235</v>
      </c>
    </row>
    <row r="144" spans="1:12" ht="15.6" hidden="1" x14ac:dyDescent="0.3">
      <c r="A144" s="25">
        <v>1</v>
      </c>
      <c r="B144" s="25">
        <v>8119679</v>
      </c>
      <c r="C144" s="26" t="s">
        <v>341</v>
      </c>
      <c r="D144" s="26" t="s">
        <v>197</v>
      </c>
      <c r="E144" s="27" t="s">
        <v>86</v>
      </c>
      <c r="F144" s="25" t="s">
        <v>45</v>
      </c>
      <c r="G144" s="38">
        <v>46230.509722222225</v>
      </c>
      <c r="H144" s="38">
        <v>46230.600694444445</v>
      </c>
      <c r="I144" s="28">
        <f t="shared" ref="I144:I149" si="44">H144-G144</f>
        <v>9.0972222220443655E-2</v>
      </c>
      <c r="J144" s="29">
        <v>8.3333333333333329E-2</v>
      </c>
      <c r="K144" s="28">
        <f t="shared" ref="K144:K149" si="45">I144-J144</f>
        <v>7.6388888871103261E-3</v>
      </c>
      <c r="L144" s="30" t="s">
        <v>235</v>
      </c>
    </row>
    <row r="145" spans="1:12" ht="15.6" hidden="1" x14ac:dyDescent="0.3">
      <c r="A145" s="25">
        <v>2</v>
      </c>
      <c r="B145" s="25">
        <v>8120151</v>
      </c>
      <c r="C145" s="26" t="s">
        <v>341</v>
      </c>
      <c r="D145" s="26" t="s">
        <v>201</v>
      </c>
      <c r="E145" s="27" t="s">
        <v>22</v>
      </c>
      <c r="F145" s="25" t="s">
        <v>96</v>
      </c>
      <c r="G145" s="38">
        <v>46229.229861111111</v>
      </c>
      <c r="H145" s="38">
        <v>46229.322916666664</v>
      </c>
      <c r="I145" s="28">
        <f t="shared" si="44"/>
        <v>9.3055555553291924E-2</v>
      </c>
      <c r="J145" s="29">
        <v>8.3333333333333329E-2</v>
      </c>
      <c r="K145" s="28">
        <f t="shared" si="45"/>
        <v>9.7222222199585956E-3</v>
      </c>
      <c r="L145" s="30" t="s">
        <v>235</v>
      </c>
    </row>
    <row r="146" spans="1:12" ht="15.6" hidden="1" x14ac:dyDescent="0.3">
      <c r="A146" s="25">
        <v>3</v>
      </c>
      <c r="B146" s="25">
        <v>8121420</v>
      </c>
      <c r="C146" s="26" t="s">
        <v>343</v>
      </c>
      <c r="D146" s="26" t="s">
        <v>291</v>
      </c>
      <c r="E146" s="27" t="s">
        <v>82</v>
      </c>
      <c r="F146" s="25" t="s">
        <v>179</v>
      </c>
      <c r="G146" s="38">
        <v>46230.270833333336</v>
      </c>
      <c r="H146" s="38">
        <v>46230.372916666667</v>
      </c>
      <c r="I146" s="28">
        <f t="shared" si="44"/>
        <v>0.10208333333139308</v>
      </c>
      <c r="J146" s="29">
        <v>4.1666666666666664E-2</v>
      </c>
      <c r="K146" s="28">
        <f t="shared" si="45"/>
        <v>6.0416666664726414E-2</v>
      </c>
      <c r="L146" s="30" t="s">
        <v>235</v>
      </c>
    </row>
    <row r="147" spans="1:12" ht="15.6" hidden="1" x14ac:dyDescent="0.3">
      <c r="A147" s="25">
        <v>4</v>
      </c>
      <c r="B147" s="25">
        <v>8121571</v>
      </c>
      <c r="C147" s="26" t="s">
        <v>343</v>
      </c>
      <c r="D147" s="26" t="s">
        <v>228</v>
      </c>
      <c r="E147" s="27" t="s">
        <v>84</v>
      </c>
      <c r="F147" s="25" t="s">
        <v>174</v>
      </c>
      <c r="G147" s="38">
        <v>46230.381944444445</v>
      </c>
      <c r="H147" s="38">
        <v>46230.445833333331</v>
      </c>
      <c r="I147" s="28">
        <f t="shared" si="44"/>
        <v>6.3888888886140194E-2</v>
      </c>
      <c r="J147" s="29">
        <v>6.25E-2</v>
      </c>
      <c r="K147" s="28">
        <f t="shared" si="45"/>
        <v>1.3888888861401938E-3</v>
      </c>
      <c r="L147" s="30" t="s">
        <v>235</v>
      </c>
    </row>
    <row r="148" spans="1:12" ht="15.6" hidden="1" x14ac:dyDescent="0.3">
      <c r="A148" s="25">
        <v>5</v>
      </c>
      <c r="B148" s="25">
        <v>8121693</v>
      </c>
      <c r="C148" s="26" t="s">
        <v>343</v>
      </c>
      <c r="D148" s="26" t="s">
        <v>215</v>
      </c>
      <c r="E148" s="27" t="s">
        <v>29</v>
      </c>
      <c r="F148" s="25" t="s">
        <v>98</v>
      </c>
      <c r="G148" s="38">
        <v>46230.375</v>
      </c>
      <c r="H148" s="38">
        <v>46230.472222222219</v>
      </c>
      <c r="I148" s="28">
        <f t="shared" si="44"/>
        <v>9.7222222218988463E-2</v>
      </c>
      <c r="J148" s="29">
        <v>8.3333333333333329E-2</v>
      </c>
      <c r="K148" s="28">
        <f t="shared" si="45"/>
        <v>1.3888888885655135E-2</v>
      </c>
      <c r="L148" s="30" t="s">
        <v>235</v>
      </c>
    </row>
    <row r="149" spans="1:12" ht="15.6" hidden="1" x14ac:dyDescent="0.3">
      <c r="A149" s="25">
        <v>6</v>
      </c>
      <c r="B149" s="25">
        <v>8123174</v>
      </c>
      <c r="C149" s="26" t="s">
        <v>343</v>
      </c>
      <c r="D149" s="26" t="s">
        <v>336</v>
      </c>
      <c r="E149" s="27" t="s">
        <v>84</v>
      </c>
      <c r="F149" s="25" t="s">
        <v>174</v>
      </c>
      <c r="G149" s="38">
        <v>46230.777777777781</v>
      </c>
      <c r="H149" s="38">
        <v>46230.837500000001</v>
      </c>
      <c r="I149" s="28">
        <f t="shared" si="44"/>
        <v>5.9722222220443655E-2</v>
      </c>
      <c r="J149" s="29">
        <v>4.1666666666666664E-2</v>
      </c>
      <c r="K149" s="28">
        <f t="shared" si="45"/>
        <v>1.805555555377699E-2</v>
      </c>
      <c r="L149" s="30" t="s">
        <v>235</v>
      </c>
    </row>
    <row r="150" spans="1:12" ht="15.6" hidden="1" x14ac:dyDescent="0.3">
      <c r="A150" s="25">
        <v>1</v>
      </c>
      <c r="B150" s="25">
        <v>8124035</v>
      </c>
      <c r="C150" s="26" t="s">
        <v>344</v>
      </c>
      <c r="D150" s="26" t="s">
        <v>291</v>
      </c>
      <c r="E150" s="27" t="s">
        <v>25</v>
      </c>
      <c r="F150" s="25" t="s">
        <v>179</v>
      </c>
      <c r="G150" s="38">
        <v>46231.291666666664</v>
      </c>
      <c r="H150" s="38">
        <v>46231.376388888886</v>
      </c>
      <c r="I150" s="28">
        <f t="shared" ref="I150:I153" si="46">H150-G150</f>
        <v>8.4722222221898846E-2</v>
      </c>
      <c r="J150" s="29">
        <v>4.1666666666666664E-2</v>
      </c>
      <c r="K150" s="28">
        <f t="shared" ref="K150:K153" si="47">I150-J150</f>
        <v>4.3055555555232182E-2</v>
      </c>
      <c r="L150" s="30" t="s">
        <v>235</v>
      </c>
    </row>
    <row r="151" spans="1:12" ht="15.6" hidden="1" x14ac:dyDescent="0.3">
      <c r="A151" s="25">
        <v>2</v>
      </c>
      <c r="B151" s="25">
        <v>8124781</v>
      </c>
      <c r="C151" s="26" t="s">
        <v>344</v>
      </c>
      <c r="D151" s="26" t="s">
        <v>311</v>
      </c>
      <c r="E151" s="27" t="s">
        <v>56</v>
      </c>
      <c r="F151" s="25" t="s">
        <v>205</v>
      </c>
      <c r="G151" s="38">
        <v>46231.378472222219</v>
      </c>
      <c r="H151" s="38">
        <v>46231.425000000003</v>
      </c>
      <c r="I151" s="28">
        <f t="shared" si="46"/>
        <v>4.652777778392192E-2</v>
      </c>
      <c r="J151" s="29">
        <v>4.1666666666666664E-2</v>
      </c>
      <c r="K151" s="28">
        <f t="shared" si="47"/>
        <v>4.8611111172552554E-3</v>
      </c>
      <c r="L151" s="30" t="s">
        <v>235</v>
      </c>
    </row>
    <row r="152" spans="1:12" ht="15.6" hidden="1" x14ac:dyDescent="0.3">
      <c r="A152" s="25">
        <v>3</v>
      </c>
      <c r="B152" s="25">
        <v>8124982</v>
      </c>
      <c r="C152" s="26" t="s">
        <v>344</v>
      </c>
      <c r="D152" s="26" t="s">
        <v>197</v>
      </c>
      <c r="E152" s="27" t="s">
        <v>40</v>
      </c>
      <c r="F152" s="25" t="s">
        <v>45</v>
      </c>
      <c r="G152" s="38">
        <v>46231.9375</v>
      </c>
      <c r="H152" s="38">
        <v>46232.114583333336</v>
      </c>
      <c r="I152" s="28">
        <f t="shared" si="46"/>
        <v>0.17708333333575865</v>
      </c>
      <c r="J152" s="29">
        <v>4.1666666666666664E-2</v>
      </c>
      <c r="K152" s="28">
        <f t="shared" si="47"/>
        <v>0.135416666669092</v>
      </c>
      <c r="L152" s="30" t="s">
        <v>235</v>
      </c>
    </row>
    <row r="153" spans="1:12" ht="15.6" hidden="1" x14ac:dyDescent="0.3">
      <c r="A153" s="25">
        <v>4</v>
      </c>
      <c r="B153" s="25">
        <v>8125057</v>
      </c>
      <c r="C153" s="26" t="s">
        <v>344</v>
      </c>
      <c r="D153" s="26" t="s">
        <v>218</v>
      </c>
      <c r="E153" s="27" t="s">
        <v>50</v>
      </c>
      <c r="F153" s="25" t="s">
        <v>45</v>
      </c>
      <c r="G153" s="38">
        <v>46231.539583333331</v>
      </c>
      <c r="H153" s="38">
        <v>46231.701388888891</v>
      </c>
      <c r="I153" s="28">
        <f t="shared" si="46"/>
        <v>0.16180555555911269</v>
      </c>
      <c r="J153" s="29">
        <v>4.1666666666666664E-2</v>
      </c>
      <c r="K153" s="28">
        <f t="shared" si="47"/>
        <v>0.12013888889244603</v>
      </c>
      <c r="L153" s="30" t="s">
        <v>235</v>
      </c>
    </row>
    <row r="154" spans="1:12" ht="15.6" hidden="1" x14ac:dyDescent="0.3">
      <c r="A154" s="25">
        <v>1</v>
      </c>
      <c r="B154" s="25">
        <v>8126784</v>
      </c>
      <c r="C154" s="26" t="s">
        <v>345</v>
      </c>
      <c r="D154" s="26" t="s">
        <v>291</v>
      </c>
      <c r="E154" s="27" t="s">
        <v>82</v>
      </c>
      <c r="F154" s="25" t="s">
        <v>179</v>
      </c>
      <c r="G154" s="38">
        <v>46232.25</v>
      </c>
      <c r="H154" s="38">
        <v>46232.375</v>
      </c>
      <c r="I154" s="28">
        <f t="shared" ref="I154:I158" si="48">H154-G154</f>
        <v>0.125</v>
      </c>
      <c r="J154" s="29">
        <v>4.1666666666666664E-2</v>
      </c>
      <c r="K154" s="28">
        <f t="shared" ref="K154:K158" si="49">I154-J154</f>
        <v>8.3333333333333343E-2</v>
      </c>
      <c r="L154" s="30" t="s">
        <v>235</v>
      </c>
    </row>
    <row r="155" spans="1:12" ht="15.6" hidden="1" x14ac:dyDescent="0.3">
      <c r="A155" s="25">
        <v>2</v>
      </c>
      <c r="B155" s="25">
        <v>8127087</v>
      </c>
      <c r="C155" s="26" t="s">
        <v>345</v>
      </c>
      <c r="D155" s="26" t="s">
        <v>215</v>
      </c>
      <c r="E155" s="27" t="s">
        <v>29</v>
      </c>
      <c r="F155" s="25" t="s">
        <v>98</v>
      </c>
      <c r="G155" s="38">
        <v>46232.375</v>
      </c>
      <c r="H155" s="38">
        <v>46232.478472222225</v>
      </c>
      <c r="I155" s="28">
        <f t="shared" si="48"/>
        <v>0.10347222222480923</v>
      </c>
      <c r="J155" s="29">
        <v>8.3333333333333329E-2</v>
      </c>
      <c r="K155" s="28">
        <f t="shared" si="49"/>
        <v>2.0138888891475901E-2</v>
      </c>
      <c r="L155" s="30" t="s">
        <v>235</v>
      </c>
    </row>
    <row r="156" spans="1:12" ht="15.6" hidden="1" x14ac:dyDescent="0.3">
      <c r="A156" s="25">
        <v>3</v>
      </c>
      <c r="B156" s="25">
        <v>8127473</v>
      </c>
      <c r="C156" s="26" t="s">
        <v>345</v>
      </c>
      <c r="D156" s="26" t="s">
        <v>195</v>
      </c>
      <c r="E156" s="27" t="s">
        <v>37</v>
      </c>
      <c r="F156" s="25" t="s">
        <v>204</v>
      </c>
      <c r="G156" s="38">
        <v>46232.375</v>
      </c>
      <c r="H156" s="38">
        <v>46232.454861111109</v>
      </c>
      <c r="I156" s="28">
        <f t="shared" si="48"/>
        <v>7.9861111109494232E-2</v>
      </c>
      <c r="J156" s="29">
        <v>6.25E-2</v>
      </c>
      <c r="K156" s="28">
        <f t="shared" si="49"/>
        <v>1.7361111109494232E-2</v>
      </c>
      <c r="L156" s="30" t="s">
        <v>235</v>
      </c>
    </row>
    <row r="157" spans="1:12" ht="15.6" hidden="1" x14ac:dyDescent="0.3">
      <c r="A157" s="25">
        <v>4</v>
      </c>
      <c r="B157" s="25">
        <v>8127691</v>
      </c>
      <c r="C157" s="26" t="s">
        <v>345</v>
      </c>
      <c r="D157" s="26" t="s">
        <v>197</v>
      </c>
      <c r="E157" s="27" t="s">
        <v>44</v>
      </c>
      <c r="F157" s="25" t="s">
        <v>45</v>
      </c>
      <c r="G157" s="38">
        <v>46232.878472222219</v>
      </c>
      <c r="H157" s="38">
        <v>46232.96875</v>
      </c>
      <c r="I157" s="28">
        <f t="shared" si="48"/>
        <v>9.0277777781011537E-2</v>
      </c>
      <c r="J157" s="29">
        <v>8.3333333333333329E-2</v>
      </c>
      <c r="K157" s="28">
        <f t="shared" si="49"/>
        <v>6.944444447678208E-3</v>
      </c>
      <c r="L157" s="30" t="s">
        <v>235</v>
      </c>
    </row>
    <row r="158" spans="1:12" ht="15.6" hidden="1" x14ac:dyDescent="0.3">
      <c r="A158" s="25">
        <v>5</v>
      </c>
      <c r="B158" s="25">
        <v>8127738</v>
      </c>
      <c r="C158" s="26" t="s">
        <v>345</v>
      </c>
      <c r="D158" s="26" t="s">
        <v>198</v>
      </c>
      <c r="E158" s="27" t="s">
        <v>51</v>
      </c>
      <c r="F158" s="25" t="s">
        <v>13</v>
      </c>
      <c r="G158" s="38">
        <v>46232.87777777778</v>
      </c>
      <c r="H158" s="38">
        <v>46233</v>
      </c>
      <c r="I158" s="28">
        <f t="shared" si="48"/>
        <v>0.12222222222044365</v>
      </c>
      <c r="J158" s="29">
        <v>8.3333333333333329E-2</v>
      </c>
      <c r="K158" s="28">
        <f t="shared" si="49"/>
        <v>3.8888888887110326E-2</v>
      </c>
      <c r="L158" s="30" t="s">
        <v>235</v>
      </c>
    </row>
    <row r="159" spans="1:12" ht="15.6" hidden="1" x14ac:dyDescent="0.3">
      <c r="A159" s="25">
        <v>1</v>
      </c>
      <c r="B159" s="25">
        <v>8129663</v>
      </c>
      <c r="C159" s="26" t="s">
        <v>364</v>
      </c>
      <c r="D159" s="26" t="s">
        <v>291</v>
      </c>
      <c r="E159" s="27" t="s">
        <v>25</v>
      </c>
      <c r="F159" s="25" t="s">
        <v>179</v>
      </c>
      <c r="G159" s="38">
        <v>46233.333333333336</v>
      </c>
      <c r="H159" s="38">
        <v>46233.474305555559</v>
      </c>
      <c r="I159" s="28">
        <f t="shared" ref="I159:I163" si="50">H159-G159</f>
        <v>0.14097222222335404</v>
      </c>
      <c r="J159" s="29">
        <v>4.1666666666666664E-2</v>
      </c>
      <c r="K159" s="28">
        <f t="shared" ref="K159:K163" si="51">I159-J159</f>
        <v>9.930555555668738E-2</v>
      </c>
      <c r="L159" s="30" t="s">
        <v>235</v>
      </c>
    </row>
    <row r="160" spans="1:12" ht="15.6" hidden="1" x14ac:dyDescent="0.3">
      <c r="A160" s="25">
        <v>2</v>
      </c>
      <c r="B160" s="25">
        <v>8130405</v>
      </c>
      <c r="C160" s="26" t="s">
        <v>364</v>
      </c>
      <c r="D160" s="26" t="s">
        <v>311</v>
      </c>
      <c r="E160" s="27" t="s">
        <v>56</v>
      </c>
      <c r="F160" s="25" t="s">
        <v>205</v>
      </c>
      <c r="G160" s="38">
        <v>46233.378472222219</v>
      </c>
      <c r="H160" s="38">
        <v>46233.454861111109</v>
      </c>
      <c r="I160" s="28">
        <f t="shared" si="50"/>
        <v>7.6388888890505768E-2</v>
      </c>
      <c r="J160" s="29">
        <v>4.1666666666666664E-2</v>
      </c>
      <c r="K160" s="28">
        <f t="shared" si="51"/>
        <v>3.4722222223839104E-2</v>
      </c>
      <c r="L160" s="30" t="s">
        <v>235</v>
      </c>
    </row>
    <row r="161" spans="1:12" ht="15.6" hidden="1" x14ac:dyDescent="0.3">
      <c r="A161" s="25">
        <v>3</v>
      </c>
      <c r="B161" s="25">
        <v>8130594</v>
      </c>
      <c r="C161" s="26" t="s">
        <v>364</v>
      </c>
      <c r="D161" s="26" t="s">
        <v>197</v>
      </c>
      <c r="E161" s="27" t="s">
        <v>30</v>
      </c>
      <c r="F161" s="25" t="s">
        <v>45</v>
      </c>
      <c r="G161" s="38">
        <v>46233.958333333336</v>
      </c>
      <c r="H161" s="38">
        <v>46234.049305555556</v>
      </c>
      <c r="I161" s="28">
        <f t="shared" si="50"/>
        <v>9.0972222220443655E-2</v>
      </c>
      <c r="J161" s="29">
        <v>8.3333333333333329E-2</v>
      </c>
      <c r="K161" s="28">
        <f t="shared" si="51"/>
        <v>7.6388888871103261E-3</v>
      </c>
      <c r="L161" s="30" t="s">
        <v>235</v>
      </c>
    </row>
    <row r="162" spans="1:12" ht="15.6" hidden="1" x14ac:dyDescent="0.3">
      <c r="A162" s="25">
        <v>4</v>
      </c>
      <c r="B162" s="25">
        <v>8131530</v>
      </c>
      <c r="C162" s="26" t="s">
        <v>364</v>
      </c>
      <c r="D162" s="26" t="s">
        <v>336</v>
      </c>
      <c r="E162" s="27" t="s">
        <v>84</v>
      </c>
      <c r="F162" s="25" t="s">
        <v>363</v>
      </c>
      <c r="G162" s="38">
        <v>46233.78125</v>
      </c>
      <c r="H162" s="38">
        <v>46234.834722222222</v>
      </c>
      <c r="I162" s="28">
        <f t="shared" si="50"/>
        <v>1.0534722222218988</v>
      </c>
      <c r="J162" s="29">
        <v>4.1666666666666664E-2</v>
      </c>
      <c r="K162" s="28">
        <f t="shared" si="51"/>
        <v>1.0118055555552321</v>
      </c>
      <c r="L162" s="30" t="s">
        <v>235</v>
      </c>
    </row>
    <row r="163" spans="1:12" ht="15.6" hidden="1" x14ac:dyDescent="0.3">
      <c r="A163" s="25">
        <v>5</v>
      </c>
      <c r="B163" s="25">
        <v>8132353</v>
      </c>
      <c r="C163" s="26" t="s">
        <v>364</v>
      </c>
      <c r="D163" s="26" t="s">
        <v>190</v>
      </c>
      <c r="E163" s="27" t="s">
        <v>46</v>
      </c>
      <c r="F163" s="25" t="s">
        <v>96</v>
      </c>
      <c r="G163" s="38">
        <v>46234.126388888886</v>
      </c>
      <c r="H163" s="38">
        <v>46234.291666666664</v>
      </c>
      <c r="I163" s="28">
        <f t="shared" si="50"/>
        <v>0.16527777777810115</v>
      </c>
      <c r="J163" s="29">
        <v>8.3333333333333329E-2</v>
      </c>
      <c r="K163" s="28">
        <f t="shared" si="51"/>
        <v>8.1944444444767825E-2</v>
      </c>
      <c r="L163" s="30" t="s">
        <v>235</v>
      </c>
    </row>
    <row r="164" spans="1:12" ht="15.6" hidden="1" x14ac:dyDescent="0.3">
      <c r="A164" s="25">
        <v>1</v>
      </c>
      <c r="B164" s="25">
        <v>8132500</v>
      </c>
      <c r="C164" s="26" t="s">
        <v>365</v>
      </c>
      <c r="D164" s="26" t="s">
        <v>291</v>
      </c>
      <c r="E164" s="27" t="s">
        <v>82</v>
      </c>
      <c r="F164" s="25" t="s">
        <v>312</v>
      </c>
      <c r="G164" s="38">
        <v>46234.25</v>
      </c>
      <c r="H164" s="38">
        <v>46234.372916666667</v>
      </c>
      <c r="I164" s="28">
        <f t="shared" ref="I164:I169" si="52">H164-G164</f>
        <v>0.12291666666715173</v>
      </c>
      <c r="J164" s="29">
        <v>8.3333333333333329E-2</v>
      </c>
      <c r="K164" s="28">
        <f t="shared" ref="K164:K169" si="53">I164-J164</f>
        <v>3.9583333333818402E-2</v>
      </c>
      <c r="L164" s="30" t="s">
        <v>235</v>
      </c>
    </row>
    <row r="165" spans="1:12" ht="15.6" hidden="1" x14ac:dyDescent="0.3">
      <c r="A165" s="25">
        <v>2</v>
      </c>
      <c r="B165" s="25">
        <v>8132755</v>
      </c>
      <c r="C165" s="26" t="s">
        <v>365</v>
      </c>
      <c r="D165" s="26" t="s">
        <v>215</v>
      </c>
      <c r="E165" s="27" t="s">
        <v>29</v>
      </c>
      <c r="F165" s="25" t="s">
        <v>98</v>
      </c>
      <c r="G165" s="38">
        <v>46234.375</v>
      </c>
      <c r="H165" s="38">
        <v>46234.474999999999</v>
      </c>
      <c r="I165" s="28">
        <f t="shared" si="52"/>
        <v>9.9999999998544808E-2</v>
      </c>
      <c r="J165" s="29">
        <v>8.3333333333333329E-2</v>
      </c>
      <c r="K165" s="28">
        <f t="shared" si="53"/>
        <v>1.666666666521148E-2</v>
      </c>
      <c r="L165" s="30" t="s">
        <v>235</v>
      </c>
    </row>
    <row r="166" spans="1:12" ht="15.6" hidden="1" x14ac:dyDescent="0.3">
      <c r="A166" s="25">
        <v>3</v>
      </c>
      <c r="B166" s="25">
        <v>8132920</v>
      </c>
      <c r="C166" s="26" t="s">
        <v>365</v>
      </c>
      <c r="D166" s="26" t="s">
        <v>188</v>
      </c>
      <c r="E166" s="27" t="s">
        <v>25</v>
      </c>
      <c r="F166" s="25" t="s">
        <v>13</v>
      </c>
      <c r="G166" s="38">
        <v>46235.133333333331</v>
      </c>
      <c r="H166" s="38">
        <v>46235.241666666669</v>
      </c>
      <c r="I166" s="28">
        <f t="shared" si="52"/>
        <v>0.10833333333721384</v>
      </c>
      <c r="J166" s="29">
        <v>8.3333333333333329E-2</v>
      </c>
      <c r="K166" s="28">
        <f t="shared" si="53"/>
        <v>2.5000000003880515E-2</v>
      </c>
      <c r="L166" s="30" t="s">
        <v>235</v>
      </c>
    </row>
    <row r="167" spans="1:12" ht="15.6" hidden="1" x14ac:dyDescent="0.3">
      <c r="A167" s="25">
        <v>4</v>
      </c>
      <c r="B167" s="25">
        <v>8133407</v>
      </c>
      <c r="C167" s="26" t="s">
        <v>365</v>
      </c>
      <c r="D167" s="26" t="s">
        <v>197</v>
      </c>
      <c r="E167" s="27" t="s">
        <v>40</v>
      </c>
      <c r="F167" s="25" t="s">
        <v>45</v>
      </c>
      <c r="G167" s="38">
        <v>46234.90625</v>
      </c>
      <c r="H167" s="38">
        <v>46235.055555555555</v>
      </c>
      <c r="I167" s="28">
        <f t="shared" si="52"/>
        <v>0.14930555555474712</v>
      </c>
      <c r="J167" s="29">
        <v>8.3333333333333329E-2</v>
      </c>
      <c r="K167" s="28">
        <f t="shared" si="53"/>
        <v>6.5972222221413787E-2</v>
      </c>
      <c r="L167" s="30" t="s">
        <v>235</v>
      </c>
    </row>
    <row r="168" spans="1:12" ht="15.6" hidden="1" x14ac:dyDescent="0.3">
      <c r="A168" s="25">
        <v>5</v>
      </c>
      <c r="B168" s="25">
        <v>8134081</v>
      </c>
      <c r="C168" s="26" t="s">
        <v>365</v>
      </c>
      <c r="D168" s="26" t="s">
        <v>198</v>
      </c>
      <c r="E168" s="27" t="s">
        <v>51</v>
      </c>
      <c r="F168" s="25" t="s">
        <v>13</v>
      </c>
      <c r="G168" s="38">
        <v>46235.118750000001</v>
      </c>
      <c r="H168" s="38">
        <v>46235.21597222222</v>
      </c>
      <c r="I168" s="28">
        <f t="shared" si="52"/>
        <v>9.7222222218988463E-2</v>
      </c>
      <c r="J168" s="29">
        <v>8.3333333333333329E-2</v>
      </c>
      <c r="K168" s="28">
        <f t="shared" si="53"/>
        <v>1.3888888885655135E-2</v>
      </c>
      <c r="L168" s="30" t="s">
        <v>235</v>
      </c>
    </row>
    <row r="169" spans="1:12" ht="15.6" hidden="1" x14ac:dyDescent="0.3">
      <c r="A169" s="25">
        <v>6</v>
      </c>
      <c r="B169" s="25">
        <v>8134131</v>
      </c>
      <c r="C169" s="26" t="s">
        <v>365</v>
      </c>
      <c r="D169" s="26" t="s">
        <v>342</v>
      </c>
      <c r="E169" s="27" t="s">
        <v>18</v>
      </c>
      <c r="F169" s="25" t="s">
        <v>229</v>
      </c>
      <c r="G169" s="38">
        <v>46234.741666666669</v>
      </c>
      <c r="H169" s="38">
        <v>46234.881944444445</v>
      </c>
      <c r="I169" s="28">
        <f t="shared" si="52"/>
        <v>0.14027777777664596</v>
      </c>
      <c r="J169" s="29">
        <v>8.3333333333333329E-2</v>
      </c>
      <c r="K169" s="28">
        <f t="shared" si="53"/>
        <v>5.6944444443312633E-2</v>
      </c>
      <c r="L169" s="30" t="s">
        <v>235</v>
      </c>
    </row>
    <row r="170" spans="1:12" ht="15.6" hidden="1" x14ac:dyDescent="0.3">
      <c r="A170" s="25">
        <v>7</v>
      </c>
      <c r="B170" s="25">
        <v>8130593</v>
      </c>
      <c r="C170" s="26" t="s">
        <v>364</v>
      </c>
      <c r="D170" s="26" t="s">
        <v>201</v>
      </c>
      <c r="E170" s="27" t="s">
        <v>175</v>
      </c>
      <c r="F170" s="25" t="s">
        <v>96</v>
      </c>
      <c r="G170" s="38">
        <v>46235.009027777778</v>
      </c>
      <c r="H170" s="38">
        <v>46235.121527777781</v>
      </c>
      <c r="I170" s="28">
        <f t="shared" ref="I170" si="54">H170-G170</f>
        <v>0.11250000000291038</v>
      </c>
      <c r="J170" s="29">
        <v>8.3333333333333329E-2</v>
      </c>
      <c r="K170" s="28">
        <f t="shared" ref="K170" si="55">I170-J170</f>
        <v>2.9166666669577054E-2</v>
      </c>
      <c r="L170" s="30" t="s">
        <v>235</v>
      </c>
    </row>
    <row r="171" spans="1:12" ht="15.6" hidden="1" x14ac:dyDescent="0.3">
      <c r="A171" s="25">
        <v>1</v>
      </c>
      <c r="B171" s="25">
        <v>8135629</v>
      </c>
      <c r="C171" s="26" t="s">
        <v>366</v>
      </c>
      <c r="D171" s="26" t="s">
        <v>218</v>
      </c>
      <c r="E171" s="27" t="s">
        <v>86</v>
      </c>
      <c r="F171" s="25" t="s">
        <v>13</v>
      </c>
      <c r="G171" s="38">
        <v>46235.85833333333</v>
      </c>
      <c r="H171" s="38">
        <v>46236.134722222225</v>
      </c>
      <c r="I171" s="28">
        <f t="shared" ref="I171:I177" si="56">H171-G171</f>
        <v>0.27638888889487134</v>
      </c>
      <c r="J171" s="29">
        <v>8.3333333333333329E-2</v>
      </c>
      <c r="K171" s="28">
        <f t="shared" ref="K171:K177" si="57">I171-J171</f>
        <v>0.19305555556153803</v>
      </c>
      <c r="L171" s="30" t="s">
        <v>235</v>
      </c>
    </row>
    <row r="172" spans="1:12" ht="15.6" hidden="1" x14ac:dyDescent="0.3">
      <c r="A172" s="25">
        <v>2</v>
      </c>
      <c r="B172" s="25">
        <v>8135973</v>
      </c>
      <c r="C172" s="26" t="s">
        <v>366</v>
      </c>
      <c r="D172" s="26" t="s">
        <v>195</v>
      </c>
      <c r="E172" s="27" t="s">
        <v>37</v>
      </c>
      <c r="F172" s="25" t="s">
        <v>126</v>
      </c>
      <c r="G172" s="38">
        <v>46235.375</v>
      </c>
      <c r="H172" s="38">
        <v>46235.440972222219</v>
      </c>
      <c r="I172" s="28">
        <f t="shared" si="56"/>
        <v>6.5972222218988463E-2</v>
      </c>
      <c r="J172" s="29">
        <v>6.25E-2</v>
      </c>
      <c r="K172" s="28">
        <f t="shared" si="57"/>
        <v>3.4722222189884633E-3</v>
      </c>
      <c r="L172" s="30" t="s">
        <v>235</v>
      </c>
    </row>
    <row r="173" spans="1:12" ht="15.6" hidden="1" x14ac:dyDescent="0.3">
      <c r="A173" s="25">
        <v>3</v>
      </c>
      <c r="B173" s="25">
        <v>8136033</v>
      </c>
      <c r="C173" s="26" t="s">
        <v>366</v>
      </c>
      <c r="D173" s="26" t="s">
        <v>311</v>
      </c>
      <c r="E173" s="27" t="s">
        <v>56</v>
      </c>
      <c r="F173" s="25" t="s">
        <v>205</v>
      </c>
      <c r="G173" s="38">
        <v>46235.380555555559</v>
      </c>
      <c r="H173" s="38">
        <v>46235.472222222219</v>
      </c>
      <c r="I173" s="28">
        <f t="shared" si="56"/>
        <v>9.1666666659875773E-2</v>
      </c>
      <c r="J173" s="29">
        <v>4.1666666666666664E-2</v>
      </c>
      <c r="K173" s="28">
        <f t="shared" si="57"/>
        <v>4.9999999993209109E-2</v>
      </c>
      <c r="L173" s="30" t="s">
        <v>235</v>
      </c>
    </row>
    <row r="174" spans="1:12" ht="15.6" hidden="1" x14ac:dyDescent="0.3">
      <c r="A174" s="25">
        <v>4</v>
      </c>
      <c r="B174" s="25">
        <v>8136329</v>
      </c>
      <c r="C174" s="26" t="s">
        <v>366</v>
      </c>
      <c r="D174" s="26" t="s">
        <v>197</v>
      </c>
      <c r="E174" s="27" t="s">
        <v>30</v>
      </c>
      <c r="F174" s="25" t="s">
        <v>45</v>
      </c>
      <c r="G174" s="38">
        <v>46235.938888888886</v>
      </c>
      <c r="H174" s="38">
        <v>46236.041666666664</v>
      </c>
      <c r="I174" s="28">
        <f t="shared" si="56"/>
        <v>0.10277777777810115</v>
      </c>
      <c r="J174" s="29">
        <v>8.3333333333333329E-2</v>
      </c>
      <c r="K174" s="28">
        <f t="shared" si="57"/>
        <v>1.9444444444767825E-2</v>
      </c>
      <c r="L174" s="30" t="s">
        <v>235</v>
      </c>
    </row>
    <row r="175" spans="1:12" ht="15.6" hidden="1" x14ac:dyDescent="0.3">
      <c r="A175" s="25">
        <v>5</v>
      </c>
      <c r="B175" s="25">
        <v>8136253</v>
      </c>
      <c r="C175" s="26" t="s">
        <v>366</v>
      </c>
      <c r="D175" s="26" t="s">
        <v>198</v>
      </c>
      <c r="E175" s="27" t="s">
        <v>48</v>
      </c>
      <c r="F175" s="25" t="s">
        <v>13</v>
      </c>
      <c r="G175" s="38">
        <v>46235.861805555556</v>
      </c>
      <c r="H175" s="38">
        <v>46236.245138888888</v>
      </c>
      <c r="I175" s="28">
        <f t="shared" si="56"/>
        <v>0.38333333333139308</v>
      </c>
      <c r="J175" s="29">
        <v>8.3333333333333329E-2</v>
      </c>
      <c r="K175" s="28">
        <f t="shared" si="57"/>
        <v>0.29999999999805976</v>
      </c>
      <c r="L175" s="30" t="s">
        <v>235</v>
      </c>
    </row>
    <row r="176" spans="1:12" ht="15.6" hidden="1" x14ac:dyDescent="0.3">
      <c r="A176" s="25">
        <v>6</v>
      </c>
      <c r="B176" s="25">
        <v>8135137</v>
      </c>
      <c r="C176" s="26" t="s">
        <v>366</v>
      </c>
      <c r="D176" s="26" t="s">
        <v>190</v>
      </c>
      <c r="E176" s="27" t="s">
        <v>104</v>
      </c>
      <c r="F176" s="25" t="s">
        <v>96</v>
      </c>
      <c r="G176" s="38">
        <v>46235.174305555556</v>
      </c>
      <c r="H176" s="38">
        <v>46235.297222222223</v>
      </c>
      <c r="I176" s="28">
        <f t="shared" si="56"/>
        <v>0.12291666666715173</v>
      </c>
      <c r="J176" s="29">
        <v>8.3333333333333329E-2</v>
      </c>
      <c r="K176" s="28">
        <f t="shared" si="57"/>
        <v>3.9583333333818402E-2</v>
      </c>
      <c r="L176" s="30" t="s">
        <v>235</v>
      </c>
    </row>
    <row r="177" spans="1:12" ht="15.6" hidden="1" x14ac:dyDescent="0.3">
      <c r="A177" s="25">
        <v>7</v>
      </c>
      <c r="B177" s="25">
        <v>8138017</v>
      </c>
      <c r="C177" s="26" t="s">
        <v>366</v>
      </c>
      <c r="D177" s="26" t="s">
        <v>190</v>
      </c>
      <c r="E177" s="27" t="s">
        <v>175</v>
      </c>
      <c r="F177" s="25" t="s">
        <v>96</v>
      </c>
      <c r="G177" s="38">
        <v>46236.080555555556</v>
      </c>
      <c r="H177" s="38">
        <v>46236.207638888889</v>
      </c>
      <c r="I177" s="28">
        <f t="shared" si="56"/>
        <v>0.12708333333284827</v>
      </c>
      <c r="J177" s="29">
        <v>8.3333333333333329E-2</v>
      </c>
      <c r="K177" s="28">
        <f t="shared" si="57"/>
        <v>4.3749999999514941E-2</v>
      </c>
      <c r="L177" s="30" t="s">
        <v>235</v>
      </c>
    </row>
    <row r="178" spans="1:12" ht="15.6" hidden="1" x14ac:dyDescent="0.3">
      <c r="A178" s="25">
        <v>1</v>
      </c>
      <c r="B178" s="25">
        <v>8138253</v>
      </c>
      <c r="C178" s="26" t="s">
        <v>377</v>
      </c>
      <c r="D178" s="26" t="s">
        <v>228</v>
      </c>
      <c r="E178" s="27" t="s">
        <v>84</v>
      </c>
      <c r="F178" s="25" t="s">
        <v>174</v>
      </c>
      <c r="G178" s="38">
        <v>46236.364583333336</v>
      </c>
      <c r="H178" s="38">
        <v>46236.439583333333</v>
      </c>
      <c r="I178" s="28">
        <f t="shared" ref="I178:I183" si="58">H178-G178</f>
        <v>7.4999999997089617E-2</v>
      </c>
      <c r="J178" s="29">
        <v>6.25E-2</v>
      </c>
      <c r="K178" s="28">
        <f t="shared" ref="K178:K183" si="59">I178-J178</f>
        <v>1.2499999997089617E-2</v>
      </c>
      <c r="L178" s="30" t="s">
        <v>235</v>
      </c>
    </row>
    <row r="179" spans="1:12" ht="15.6" hidden="1" x14ac:dyDescent="0.3">
      <c r="A179" s="25">
        <v>2</v>
      </c>
      <c r="B179" s="25">
        <v>8138465</v>
      </c>
      <c r="C179" s="26" t="s">
        <v>377</v>
      </c>
      <c r="D179" s="26" t="s">
        <v>215</v>
      </c>
      <c r="E179" s="27" t="s">
        <v>29</v>
      </c>
      <c r="F179" s="25" t="s">
        <v>98</v>
      </c>
      <c r="G179" s="38">
        <v>46236.375</v>
      </c>
      <c r="H179" s="38">
        <v>46236.497916666667</v>
      </c>
      <c r="I179" s="28">
        <f t="shared" si="58"/>
        <v>0.12291666666715173</v>
      </c>
      <c r="J179" s="29">
        <v>8.3333333333333329E-2</v>
      </c>
      <c r="K179" s="28">
        <f t="shared" si="59"/>
        <v>3.9583333333818402E-2</v>
      </c>
      <c r="L179" s="30" t="s">
        <v>235</v>
      </c>
    </row>
    <row r="180" spans="1:12" ht="15.6" hidden="1" x14ac:dyDescent="0.3">
      <c r="A180" s="25">
        <v>3</v>
      </c>
      <c r="B180" s="25">
        <v>8138839</v>
      </c>
      <c r="C180" s="26" t="s">
        <v>377</v>
      </c>
      <c r="D180" s="26" t="s">
        <v>195</v>
      </c>
      <c r="E180" s="27" t="s">
        <v>12</v>
      </c>
      <c r="F180" s="25" t="s">
        <v>204</v>
      </c>
      <c r="G180" s="38">
        <v>46236.402777777781</v>
      </c>
      <c r="H180" s="38">
        <v>46236.498611111114</v>
      </c>
      <c r="I180" s="28">
        <f t="shared" si="58"/>
        <v>9.5833333332848269E-2</v>
      </c>
      <c r="J180" s="29">
        <v>6.25E-2</v>
      </c>
      <c r="K180" s="28">
        <f t="shared" si="59"/>
        <v>3.3333333332848269E-2</v>
      </c>
      <c r="L180" s="30" t="s">
        <v>235</v>
      </c>
    </row>
    <row r="181" spans="1:12" ht="15.6" hidden="1" x14ac:dyDescent="0.3">
      <c r="A181" s="25">
        <v>4</v>
      </c>
      <c r="B181" s="25">
        <v>8139170</v>
      </c>
      <c r="C181" s="26" t="s">
        <v>377</v>
      </c>
      <c r="D181" s="26" t="s">
        <v>197</v>
      </c>
      <c r="E181" s="27" t="s">
        <v>86</v>
      </c>
      <c r="F181" s="25" t="s">
        <v>45</v>
      </c>
      <c r="G181" s="38">
        <v>46237.076388888891</v>
      </c>
      <c r="H181" s="38">
        <v>46237.166666666664</v>
      </c>
      <c r="I181" s="28">
        <f t="shared" si="58"/>
        <v>9.0277777773735579E-2</v>
      </c>
      <c r="J181" s="29">
        <v>8.3333333333333329E-2</v>
      </c>
      <c r="K181" s="28">
        <f t="shared" si="59"/>
        <v>6.9444444404022504E-3</v>
      </c>
      <c r="L181" s="30" t="s">
        <v>235</v>
      </c>
    </row>
    <row r="182" spans="1:12" ht="15.6" hidden="1" x14ac:dyDescent="0.3">
      <c r="A182" s="25">
        <v>5</v>
      </c>
      <c r="B182" s="25">
        <v>8139135</v>
      </c>
      <c r="C182" s="26" t="s">
        <v>377</v>
      </c>
      <c r="D182" s="26" t="s">
        <v>218</v>
      </c>
      <c r="E182" s="27" t="s">
        <v>30</v>
      </c>
      <c r="F182" s="25" t="s">
        <v>45</v>
      </c>
      <c r="G182" s="38">
        <v>46236.573611111111</v>
      </c>
      <c r="H182" s="38">
        <v>46236.736111111109</v>
      </c>
      <c r="I182" s="28">
        <f t="shared" si="58"/>
        <v>0.16249999999854481</v>
      </c>
      <c r="J182" s="29">
        <v>8.3333333333333329E-2</v>
      </c>
      <c r="K182" s="28">
        <f t="shared" si="59"/>
        <v>7.916666666521148E-2</v>
      </c>
      <c r="L182" s="30" t="s">
        <v>235</v>
      </c>
    </row>
    <row r="183" spans="1:12" ht="15.6" hidden="1" x14ac:dyDescent="0.3">
      <c r="A183" s="25">
        <v>6</v>
      </c>
      <c r="B183" s="25">
        <v>8139788</v>
      </c>
      <c r="C183" s="26" t="s">
        <v>377</v>
      </c>
      <c r="D183" s="26" t="s">
        <v>207</v>
      </c>
      <c r="E183" s="27" t="s">
        <v>18</v>
      </c>
      <c r="F183" s="25" t="s">
        <v>229</v>
      </c>
      <c r="G183" s="38">
        <v>46236.753472222219</v>
      </c>
      <c r="H183" s="38">
        <v>46237.208333333336</v>
      </c>
      <c r="I183" s="28">
        <f t="shared" si="58"/>
        <v>0.45486111111677019</v>
      </c>
      <c r="J183" s="29">
        <v>8.3333333333333329E-2</v>
      </c>
      <c r="K183" s="28">
        <f t="shared" si="59"/>
        <v>0.37152777778343687</v>
      </c>
      <c r="L183" s="30" t="s">
        <v>235</v>
      </c>
    </row>
    <row r="184" spans="1:12" ht="15.6" hidden="1" x14ac:dyDescent="0.3">
      <c r="A184" s="25">
        <v>1</v>
      </c>
      <c r="B184" s="25">
        <v>8139850</v>
      </c>
      <c r="C184" s="26" t="s">
        <v>377</v>
      </c>
      <c r="D184" s="26" t="s">
        <v>201</v>
      </c>
      <c r="E184" s="27" t="s">
        <v>203</v>
      </c>
      <c r="F184" s="25" t="s">
        <v>96</v>
      </c>
      <c r="G184" s="38">
        <v>46238.373611111114</v>
      </c>
      <c r="H184" s="38">
        <v>46238.461805555555</v>
      </c>
      <c r="I184" s="28">
        <f t="shared" ref="I184:I190" si="60">H184-G184</f>
        <v>8.819444444088731E-2</v>
      </c>
      <c r="J184" s="29">
        <v>8.3333333333333329E-2</v>
      </c>
      <c r="K184" s="28">
        <f t="shared" ref="K184:K190" si="61">I184-J184</f>
        <v>4.8611111075539809E-3</v>
      </c>
      <c r="L184" s="30" t="s">
        <v>235</v>
      </c>
    </row>
    <row r="185" spans="1:12" ht="15.6" hidden="1" x14ac:dyDescent="0.3">
      <c r="A185" s="25">
        <v>2</v>
      </c>
      <c r="B185" s="25">
        <v>8141677</v>
      </c>
      <c r="C185" s="26" t="s">
        <v>387</v>
      </c>
      <c r="D185" s="26" t="s">
        <v>188</v>
      </c>
      <c r="E185" s="27" t="s">
        <v>25</v>
      </c>
      <c r="F185" s="25" t="s">
        <v>13</v>
      </c>
      <c r="G185" s="38">
        <v>46237.907638888886</v>
      </c>
      <c r="H185" s="38">
        <v>46238.095138888886</v>
      </c>
      <c r="I185" s="28">
        <f t="shared" si="60"/>
        <v>0.1875</v>
      </c>
      <c r="J185" s="29">
        <v>8.3333333333333329E-2</v>
      </c>
      <c r="K185" s="28">
        <f t="shared" si="61"/>
        <v>0.10416666666666667</v>
      </c>
      <c r="L185" s="30" t="s">
        <v>235</v>
      </c>
    </row>
    <row r="186" spans="1:12" ht="15.6" hidden="1" x14ac:dyDescent="0.3">
      <c r="A186" s="25">
        <v>3</v>
      </c>
      <c r="B186" s="25">
        <v>8141467</v>
      </c>
      <c r="C186" s="26" t="s">
        <v>387</v>
      </c>
      <c r="D186" s="26" t="s">
        <v>195</v>
      </c>
      <c r="E186" s="27" t="s">
        <v>83</v>
      </c>
      <c r="F186" s="25" t="s">
        <v>204</v>
      </c>
      <c r="G186" s="38">
        <v>46237.375</v>
      </c>
      <c r="H186" s="38">
        <v>46237.459027777775</v>
      </c>
      <c r="I186" s="28">
        <f t="shared" si="60"/>
        <v>8.4027777775190771E-2</v>
      </c>
      <c r="J186" s="29">
        <v>6.25E-2</v>
      </c>
      <c r="K186" s="28">
        <f t="shared" si="61"/>
        <v>2.1527777775190771E-2</v>
      </c>
      <c r="L186" s="30" t="s">
        <v>235</v>
      </c>
    </row>
    <row r="187" spans="1:12" ht="15.6" hidden="1" x14ac:dyDescent="0.3">
      <c r="A187" s="25">
        <v>4</v>
      </c>
      <c r="B187" s="25">
        <v>8141914</v>
      </c>
      <c r="C187" s="26" t="s">
        <v>387</v>
      </c>
      <c r="D187" s="26" t="s">
        <v>198</v>
      </c>
      <c r="E187" s="27" t="s">
        <v>48</v>
      </c>
      <c r="F187" s="25" t="s">
        <v>13</v>
      </c>
      <c r="G187" s="38">
        <v>46237.961805555555</v>
      </c>
      <c r="H187" s="38">
        <v>46238.069444444445</v>
      </c>
      <c r="I187" s="28">
        <f t="shared" si="60"/>
        <v>0.10763888889050577</v>
      </c>
      <c r="J187" s="29">
        <v>8.3333333333333329E-2</v>
      </c>
      <c r="K187" s="28">
        <f t="shared" si="61"/>
        <v>2.430555555717244E-2</v>
      </c>
      <c r="L187" s="30" t="s">
        <v>235</v>
      </c>
    </row>
    <row r="188" spans="1:12" ht="15.6" hidden="1" x14ac:dyDescent="0.3">
      <c r="A188" s="25">
        <v>5</v>
      </c>
      <c r="B188" s="25">
        <v>8142673</v>
      </c>
      <c r="C188" s="26" t="s">
        <v>387</v>
      </c>
      <c r="D188" s="26" t="s">
        <v>342</v>
      </c>
      <c r="E188" s="27" t="s">
        <v>53</v>
      </c>
      <c r="F188" s="25" t="s">
        <v>229</v>
      </c>
      <c r="G188" s="38">
        <v>46237.895833333336</v>
      </c>
      <c r="H188" s="38">
        <v>46238.208333333336</v>
      </c>
      <c r="I188" s="28">
        <f t="shared" si="60"/>
        <v>0.3125</v>
      </c>
      <c r="J188" s="29">
        <v>8.3333333333333329E-2</v>
      </c>
      <c r="K188" s="28">
        <f t="shared" si="61"/>
        <v>0.22916666666666669</v>
      </c>
      <c r="L188" s="30" t="s">
        <v>235</v>
      </c>
    </row>
    <row r="189" spans="1:12" ht="15.6" hidden="1" x14ac:dyDescent="0.3">
      <c r="A189" s="25">
        <v>6</v>
      </c>
      <c r="B189" s="25">
        <v>8142559</v>
      </c>
      <c r="C189" s="26" t="s">
        <v>387</v>
      </c>
      <c r="D189" s="26" t="s">
        <v>336</v>
      </c>
      <c r="E189" s="27" t="s">
        <v>87</v>
      </c>
      <c r="F189" s="25" t="s">
        <v>174</v>
      </c>
      <c r="G189" s="38">
        <v>46237.767361111109</v>
      </c>
      <c r="H189" s="38">
        <v>46237.875</v>
      </c>
      <c r="I189" s="28">
        <f t="shared" si="60"/>
        <v>0.10763888889050577</v>
      </c>
      <c r="J189" s="29">
        <v>4.1666666666666664E-2</v>
      </c>
      <c r="K189" s="28">
        <f t="shared" si="61"/>
        <v>6.5972222223839111E-2</v>
      </c>
      <c r="L189" s="30" t="s">
        <v>235</v>
      </c>
    </row>
    <row r="190" spans="1:12" ht="15.6" hidden="1" x14ac:dyDescent="0.3">
      <c r="A190" s="25">
        <v>7</v>
      </c>
      <c r="B190" s="25">
        <v>8140719</v>
      </c>
      <c r="C190" s="26" t="s">
        <v>387</v>
      </c>
      <c r="D190" s="26" t="s">
        <v>190</v>
      </c>
      <c r="E190" s="27" t="s">
        <v>22</v>
      </c>
      <c r="F190" s="25" t="s">
        <v>96</v>
      </c>
      <c r="G190" s="38">
        <v>46238.15347222222</v>
      </c>
      <c r="H190" s="38">
        <v>46238.256944444445</v>
      </c>
      <c r="I190" s="28">
        <f t="shared" si="60"/>
        <v>0.10347222222480923</v>
      </c>
      <c r="J190" s="29">
        <v>8.3333333333333329E-2</v>
      </c>
      <c r="K190" s="28">
        <f t="shared" si="61"/>
        <v>2.0138888891475901E-2</v>
      </c>
      <c r="L190" s="30" t="s">
        <v>235</v>
      </c>
    </row>
    <row r="191" spans="1:12" ht="15.6" hidden="1" x14ac:dyDescent="0.3">
      <c r="A191" s="25">
        <v>1</v>
      </c>
      <c r="B191" s="25">
        <v>8141713</v>
      </c>
      <c r="C191" s="26" t="s">
        <v>387</v>
      </c>
      <c r="D191" s="26" t="s">
        <v>201</v>
      </c>
      <c r="E191" s="27" t="s">
        <v>104</v>
      </c>
      <c r="F191" s="25" t="s">
        <v>96</v>
      </c>
      <c r="G191" s="38">
        <v>46239.136805555558</v>
      </c>
      <c r="H191" s="38">
        <v>46239.243055555555</v>
      </c>
      <c r="I191" s="28">
        <f t="shared" ref="I191:I196" si="62">H191-G191</f>
        <v>0.10624999999708962</v>
      </c>
      <c r="J191" s="29">
        <v>8.3333333333333329E-2</v>
      </c>
      <c r="K191" s="28">
        <f t="shared" ref="K191:K196" si="63">I191-J191</f>
        <v>2.2916666663756288E-2</v>
      </c>
      <c r="L191" s="30" t="s">
        <v>235</v>
      </c>
    </row>
    <row r="192" spans="1:12" ht="15.6" hidden="1" x14ac:dyDescent="0.3">
      <c r="A192" s="25">
        <v>2</v>
      </c>
      <c r="B192" s="25">
        <v>8144250</v>
      </c>
      <c r="C192" s="26" t="s">
        <v>388</v>
      </c>
      <c r="D192" s="26" t="s">
        <v>291</v>
      </c>
      <c r="E192" s="27" t="s">
        <v>25</v>
      </c>
      <c r="F192" s="25" t="s">
        <v>312</v>
      </c>
      <c r="G192" s="38">
        <v>46238.506944444445</v>
      </c>
      <c r="H192" s="38">
        <v>46238.590277777781</v>
      </c>
      <c r="I192" s="28">
        <f t="shared" si="62"/>
        <v>8.3333333335758653E-2</v>
      </c>
      <c r="J192" s="29">
        <v>4.1666666666666664E-2</v>
      </c>
      <c r="K192" s="28">
        <f t="shared" si="63"/>
        <v>4.1666666669091988E-2</v>
      </c>
      <c r="L192" s="30" t="s">
        <v>235</v>
      </c>
    </row>
    <row r="193" spans="1:12" ht="15.6" hidden="1" x14ac:dyDescent="0.3">
      <c r="A193" s="25">
        <v>3</v>
      </c>
      <c r="B193" s="25">
        <v>8143741</v>
      </c>
      <c r="C193" s="26" t="s">
        <v>388</v>
      </c>
      <c r="D193" s="26" t="s">
        <v>228</v>
      </c>
      <c r="E193" s="27" t="s">
        <v>84</v>
      </c>
      <c r="F193" s="25" t="s">
        <v>174</v>
      </c>
      <c r="G193" s="38">
        <v>46238.388888888891</v>
      </c>
      <c r="H193" s="38">
        <v>46238.459722222222</v>
      </c>
      <c r="I193" s="28">
        <f t="shared" si="62"/>
        <v>7.0833333331393078E-2</v>
      </c>
      <c r="J193" s="29">
        <v>6.25E-2</v>
      </c>
      <c r="K193" s="28">
        <f t="shared" si="63"/>
        <v>8.333333331393078E-3</v>
      </c>
      <c r="L193" s="30" t="s">
        <v>235</v>
      </c>
    </row>
    <row r="194" spans="1:12" ht="15.6" hidden="1" x14ac:dyDescent="0.3">
      <c r="A194" s="25">
        <v>4</v>
      </c>
      <c r="B194" s="25">
        <v>8144226</v>
      </c>
      <c r="C194" s="26" t="s">
        <v>388</v>
      </c>
      <c r="D194" s="26" t="s">
        <v>195</v>
      </c>
      <c r="E194" s="27" t="s">
        <v>12</v>
      </c>
      <c r="F194" s="25" t="s">
        <v>126</v>
      </c>
      <c r="G194" s="38">
        <v>46238.388888888891</v>
      </c>
      <c r="H194" s="38">
        <v>46238.491666666669</v>
      </c>
      <c r="I194" s="28">
        <f t="shared" si="62"/>
        <v>0.10277777777810115</v>
      </c>
      <c r="J194" s="29">
        <v>6.25E-2</v>
      </c>
      <c r="K194" s="28">
        <f t="shared" si="63"/>
        <v>4.0277777778101154E-2</v>
      </c>
      <c r="L194" s="30" t="s">
        <v>235</v>
      </c>
    </row>
    <row r="195" spans="1:12" ht="15.6" hidden="1" x14ac:dyDescent="0.3">
      <c r="A195" s="25">
        <v>5</v>
      </c>
      <c r="B195" s="25">
        <v>8144550</v>
      </c>
      <c r="C195" s="26" t="s">
        <v>388</v>
      </c>
      <c r="D195" s="26" t="s">
        <v>218</v>
      </c>
      <c r="E195" s="27" t="s">
        <v>50</v>
      </c>
      <c r="F195" s="25" t="s">
        <v>45</v>
      </c>
      <c r="G195" s="38">
        <v>46238.561111111114</v>
      </c>
      <c r="H195" s="38">
        <v>46238.798611111109</v>
      </c>
      <c r="I195" s="28">
        <f t="shared" si="62"/>
        <v>0.23749999999563443</v>
      </c>
      <c r="J195" s="29">
        <v>8.3333333333333329E-2</v>
      </c>
      <c r="K195" s="28">
        <f t="shared" si="63"/>
        <v>0.15416666666230111</v>
      </c>
      <c r="L195" s="30" t="s">
        <v>235</v>
      </c>
    </row>
    <row r="196" spans="1:12" ht="15.6" hidden="1" x14ac:dyDescent="0.3">
      <c r="A196" s="25">
        <v>6</v>
      </c>
      <c r="B196" s="25">
        <v>8146098</v>
      </c>
      <c r="C196" s="26" t="s">
        <v>388</v>
      </c>
      <c r="D196" s="26" t="s">
        <v>190</v>
      </c>
      <c r="E196" s="27" t="s">
        <v>46</v>
      </c>
      <c r="F196" s="25" t="s">
        <v>96</v>
      </c>
      <c r="G196" s="38">
        <v>46239.085416666669</v>
      </c>
      <c r="H196" s="38">
        <v>46239.194444444445</v>
      </c>
      <c r="I196" s="28">
        <f t="shared" si="62"/>
        <v>0.10902777777664596</v>
      </c>
      <c r="J196" s="29">
        <v>8.3333333333333329E-2</v>
      </c>
      <c r="K196" s="28">
        <f t="shared" si="63"/>
        <v>2.5694444443312633E-2</v>
      </c>
      <c r="L196" s="30" t="s">
        <v>235</v>
      </c>
    </row>
    <row r="197" spans="1:12" ht="15.6" hidden="1" x14ac:dyDescent="0.3">
      <c r="A197" s="25">
        <v>1</v>
      </c>
      <c r="B197" s="25">
        <v>8146341</v>
      </c>
      <c r="C197" s="26" t="s">
        <v>451</v>
      </c>
      <c r="D197" s="26" t="s">
        <v>291</v>
      </c>
      <c r="E197" s="27" t="s">
        <v>82</v>
      </c>
      <c r="F197" s="25" t="s">
        <v>179</v>
      </c>
      <c r="G197" s="38">
        <v>46239.25</v>
      </c>
      <c r="H197" s="38">
        <v>46239.371527777781</v>
      </c>
      <c r="I197" s="28">
        <f t="shared" ref="I197:I203" si="64">H197-G197</f>
        <v>0.12152777778101154</v>
      </c>
      <c r="J197" s="29">
        <v>4.1666666666666664E-2</v>
      </c>
      <c r="K197" s="28">
        <f t="shared" ref="K197:K203" si="65">I197-J197</f>
        <v>7.9861111114344879E-2</v>
      </c>
      <c r="L197" s="30" t="s">
        <v>235</v>
      </c>
    </row>
    <row r="198" spans="1:12" ht="15.6" hidden="1" x14ac:dyDescent="0.3">
      <c r="A198" s="25">
        <v>2</v>
      </c>
      <c r="B198" s="25">
        <v>8146781</v>
      </c>
      <c r="C198" s="26" t="s">
        <v>451</v>
      </c>
      <c r="D198" s="26" t="s">
        <v>188</v>
      </c>
      <c r="E198" s="27" t="s">
        <v>25</v>
      </c>
      <c r="F198" s="25" t="s">
        <v>13</v>
      </c>
      <c r="G198" s="38">
        <v>46239.660416666666</v>
      </c>
      <c r="H198" s="38">
        <v>46239.784722222219</v>
      </c>
      <c r="I198" s="28">
        <f t="shared" si="64"/>
        <v>0.12430555555329192</v>
      </c>
      <c r="J198" s="29">
        <v>8.3333333333333329E-2</v>
      </c>
      <c r="K198" s="28">
        <f t="shared" si="65"/>
        <v>4.0972222219958596E-2</v>
      </c>
      <c r="L198" s="30" t="s">
        <v>235</v>
      </c>
    </row>
    <row r="199" spans="1:12" ht="15.6" hidden="1" x14ac:dyDescent="0.3">
      <c r="A199" s="25">
        <v>3</v>
      </c>
      <c r="B199" s="25">
        <v>8146974</v>
      </c>
      <c r="C199" s="26" t="s">
        <v>451</v>
      </c>
      <c r="D199" s="26" t="s">
        <v>195</v>
      </c>
      <c r="E199" s="27" t="s">
        <v>37</v>
      </c>
      <c r="F199" s="25" t="s">
        <v>204</v>
      </c>
      <c r="G199" s="38">
        <v>46239.375</v>
      </c>
      <c r="H199" s="38">
        <v>46239.458333333336</v>
      </c>
      <c r="I199" s="28">
        <f t="shared" si="64"/>
        <v>8.3333333335758653E-2</v>
      </c>
      <c r="J199" s="29">
        <v>6.25E-2</v>
      </c>
      <c r="K199" s="28">
        <f t="shared" si="65"/>
        <v>2.0833333335758653E-2</v>
      </c>
      <c r="L199" s="30" t="s">
        <v>235</v>
      </c>
    </row>
    <row r="200" spans="1:12" ht="15.6" hidden="1" x14ac:dyDescent="0.3">
      <c r="A200" s="25">
        <v>4</v>
      </c>
      <c r="B200" s="25">
        <v>8146951</v>
      </c>
      <c r="C200" s="26" t="s">
        <v>451</v>
      </c>
      <c r="D200" s="26" t="s">
        <v>210</v>
      </c>
      <c r="E200" s="27" t="s">
        <v>39</v>
      </c>
      <c r="F200" s="25" t="s">
        <v>13</v>
      </c>
      <c r="G200" s="38">
        <v>46239.817361111112</v>
      </c>
      <c r="H200" s="38">
        <v>46239.950694444444</v>
      </c>
      <c r="I200" s="28">
        <f t="shared" si="64"/>
        <v>0.13333333333139308</v>
      </c>
      <c r="J200" s="29">
        <v>8.3333333333333329E-2</v>
      </c>
      <c r="K200" s="28">
        <f t="shared" si="65"/>
        <v>4.9999999998059749E-2</v>
      </c>
      <c r="L200" s="30" t="s">
        <v>235</v>
      </c>
    </row>
    <row r="201" spans="1:12" ht="15.6" hidden="1" x14ac:dyDescent="0.3">
      <c r="A201" s="25">
        <v>5</v>
      </c>
      <c r="B201" s="25">
        <v>8147020</v>
      </c>
      <c r="C201" s="26" t="s">
        <v>451</v>
      </c>
      <c r="D201" s="26" t="s">
        <v>311</v>
      </c>
      <c r="E201" s="27" t="s">
        <v>56</v>
      </c>
      <c r="F201" s="25" t="s">
        <v>205</v>
      </c>
      <c r="G201" s="38">
        <v>46239.378472222219</v>
      </c>
      <c r="H201" s="38">
        <v>46239.434027777781</v>
      </c>
      <c r="I201" s="28">
        <f t="shared" si="64"/>
        <v>5.5555555562023073E-2</v>
      </c>
      <c r="J201" s="29">
        <v>4.1666666666666664E-2</v>
      </c>
      <c r="K201" s="28">
        <f t="shared" si="65"/>
        <v>1.3888888895356409E-2</v>
      </c>
      <c r="L201" s="30" t="s">
        <v>235</v>
      </c>
    </row>
    <row r="202" spans="1:12" ht="15.6" hidden="1" x14ac:dyDescent="0.3">
      <c r="A202" s="25">
        <v>6</v>
      </c>
      <c r="B202" s="25">
        <v>8147218</v>
      </c>
      <c r="C202" s="26" t="s">
        <v>451</v>
      </c>
      <c r="D202" s="26" t="s">
        <v>198</v>
      </c>
      <c r="E202" s="27" t="s">
        <v>51</v>
      </c>
      <c r="F202" s="25" t="s">
        <v>13</v>
      </c>
      <c r="G202" s="38">
        <v>46239.850694444445</v>
      </c>
      <c r="H202" s="38">
        <v>46239.958333333336</v>
      </c>
      <c r="I202" s="28">
        <f t="shared" si="64"/>
        <v>0.10763888889050577</v>
      </c>
      <c r="J202" s="29">
        <v>8.3333333333333329E-2</v>
      </c>
      <c r="K202" s="28">
        <f t="shared" si="65"/>
        <v>2.430555555717244E-2</v>
      </c>
      <c r="L202" s="30" t="s">
        <v>235</v>
      </c>
    </row>
    <row r="203" spans="1:12" ht="15.6" hidden="1" x14ac:dyDescent="0.3">
      <c r="A203" s="25">
        <v>7</v>
      </c>
      <c r="B203" s="25">
        <v>8146718</v>
      </c>
      <c r="C203" s="26" t="s">
        <v>451</v>
      </c>
      <c r="D203" s="26" t="s">
        <v>190</v>
      </c>
      <c r="E203" s="27" t="s">
        <v>203</v>
      </c>
      <c r="F203" s="25" t="s">
        <v>96</v>
      </c>
      <c r="G203" s="38">
        <v>46239.338888888888</v>
      </c>
      <c r="H203" s="38">
        <v>46239.476388888892</v>
      </c>
      <c r="I203" s="28">
        <f t="shared" si="64"/>
        <v>0.13750000000436557</v>
      </c>
      <c r="J203" s="29">
        <v>8.3333333333333329E-2</v>
      </c>
      <c r="K203" s="28">
        <f t="shared" si="65"/>
        <v>5.4166666671032246E-2</v>
      </c>
      <c r="L203" s="30" t="s">
        <v>235</v>
      </c>
    </row>
    <row r="204" spans="1:12" ht="15.6" hidden="1" x14ac:dyDescent="0.3">
      <c r="A204" s="25">
        <v>8</v>
      </c>
      <c r="B204" s="25">
        <v>8144458</v>
      </c>
      <c r="C204" s="26" t="s">
        <v>388</v>
      </c>
      <c r="D204" s="26" t="s">
        <v>201</v>
      </c>
      <c r="E204" s="27" t="s">
        <v>175</v>
      </c>
      <c r="F204" s="25" t="s">
        <v>96</v>
      </c>
      <c r="G204" s="38">
        <v>46239.981944444444</v>
      </c>
      <c r="H204" s="38">
        <v>46240.090277777781</v>
      </c>
      <c r="I204" s="28">
        <f t="shared" ref="I204" si="66">H204-G204</f>
        <v>0.10833333333721384</v>
      </c>
      <c r="J204" s="29">
        <v>8.3333333333333329E-2</v>
      </c>
      <c r="K204" s="28">
        <f t="shared" ref="K204" si="67">I204-J204</f>
        <v>2.5000000003880515E-2</v>
      </c>
      <c r="L204" s="30" t="s">
        <v>235</v>
      </c>
    </row>
    <row r="205" spans="1:12" ht="15.6" hidden="1" x14ac:dyDescent="0.3">
      <c r="A205" s="25">
        <v>1</v>
      </c>
      <c r="B205" s="25">
        <v>8149286</v>
      </c>
      <c r="C205" s="26" t="s">
        <v>467</v>
      </c>
      <c r="D205" s="26" t="s">
        <v>186</v>
      </c>
      <c r="E205" s="27" t="s">
        <v>97</v>
      </c>
      <c r="F205" s="25" t="s">
        <v>13</v>
      </c>
      <c r="G205" s="38">
        <v>46241.28125</v>
      </c>
      <c r="H205" s="38">
        <v>46241.441666666666</v>
      </c>
      <c r="I205" s="28">
        <f t="shared" ref="I205:I210" si="68">H205-G205</f>
        <v>0.16041666666569654</v>
      </c>
      <c r="J205" s="29">
        <v>8.3333333333333329E-2</v>
      </c>
      <c r="K205" s="28">
        <f t="shared" ref="K205:K210" si="69">I205-J205</f>
        <v>7.708333333236321E-2</v>
      </c>
      <c r="L205" s="30" t="s">
        <v>235</v>
      </c>
    </row>
    <row r="206" spans="1:12" ht="15.6" hidden="1" x14ac:dyDescent="0.3">
      <c r="A206" s="25">
        <v>2</v>
      </c>
      <c r="B206" s="25">
        <v>8149372</v>
      </c>
      <c r="C206" s="26" t="s">
        <v>467</v>
      </c>
      <c r="D206" s="26" t="s">
        <v>215</v>
      </c>
      <c r="E206" s="27" t="s">
        <v>29</v>
      </c>
      <c r="F206" s="25" t="s">
        <v>98</v>
      </c>
      <c r="G206" s="38">
        <v>46240.375</v>
      </c>
      <c r="H206" s="38">
        <v>46240.472916666666</v>
      </c>
      <c r="I206" s="28">
        <f t="shared" si="68"/>
        <v>9.7916666665696539E-2</v>
      </c>
      <c r="J206" s="29">
        <v>8.3333333333333329E-2</v>
      </c>
      <c r="K206" s="28">
        <f t="shared" si="69"/>
        <v>1.458333333236321E-2</v>
      </c>
      <c r="L206" s="30" t="s">
        <v>235</v>
      </c>
    </row>
    <row r="207" spans="1:12" ht="15.6" hidden="1" x14ac:dyDescent="0.3">
      <c r="A207" s="25">
        <v>3</v>
      </c>
      <c r="B207" s="25">
        <v>8149494</v>
      </c>
      <c r="C207" s="26" t="s">
        <v>467</v>
      </c>
      <c r="D207" s="26" t="s">
        <v>188</v>
      </c>
      <c r="E207" s="27" t="s">
        <v>82</v>
      </c>
      <c r="F207" s="25" t="s">
        <v>13</v>
      </c>
      <c r="G207" s="38">
        <v>46240.575694444444</v>
      </c>
      <c r="H207" s="38">
        <v>46240.693055555559</v>
      </c>
      <c r="I207" s="28">
        <f t="shared" si="68"/>
        <v>0.117361111115315</v>
      </c>
      <c r="J207" s="29">
        <v>8.3333333333333329E-2</v>
      </c>
      <c r="K207" s="28">
        <f t="shared" si="69"/>
        <v>3.4027777781981669E-2</v>
      </c>
      <c r="L207" s="30" t="s">
        <v>235</v>
      </c>
    </row>
    <row r="208" spans="1:12" ht="15.6" hidden="1" x14ac:dyDescent="0.3">
      <c r="A208" s="25">
        <v>4</v>
      </c>
      <c r="B208" s="25">
        <v>8149811</v>
      </c>
      <c r="C208" s="26" t="s">
        <v>467</v>
      </c>
      <c r="D208" s="26" t="s">
        <v>195</v>
      </c>
      <c r="E208" s="27" t="s">
        <v>83</v>
      </c>
      <c r="F208" s="25" t="s">
        <v>126</v>
      </c>
      <c r="G208" s="38">
        <v>46240.375</v>
      </c>
      <c r="H208" s="38">
        <v>46240.46875</v>
      </c>
      <c r="I208" s="28">
        <f t="shared" si="68"/>
        <v>9.375E-2</v>
      </c>
      <c r="J208" s="29">
        <v>6.25E-2</v>
      </c>
      <c r="K208" s="28">
        <f t="shared" si="69"/>
        <v>3.125E-2</v>
      </c>
      <c r="L208" s="30" t="s">
        <v>235</v>
      </c>
    </row>
    <row r="209" spans="1:12" ht="15.6" hidden="1" x14ac:dyDescent="0.3">
      <c r="A209" s="25">
        <v>5</v>
      </c>
      <c r="B209" s="25">
        <v>8149922</v>
      </c>
      <c r="C209" s="26" t="s">
        <v>467</v>
      </c>
      <c r="D209" s="26" t="s">
        <v>311</v>
      </c>
      <c r="E209" s="27" t="s">
        <v>56</v>
      </c>
      <c r="F209" s="25" t="s">
        <v>205</v>
      </c>
      <c r="G209" s="38">
        <v>46240.386111111111</v>
      </c>
      <c r="H209" s="38">
        <v>46240.458333333336</v>
      </c>
      <c r="I209" s="28">
        <f t="shared" si="68"/>
        <v>7.2222222224809229E-2</v>
      </c>
      <c r="J209" s="29">
        <v>4.1666666666666664E-2</v>
      </c>
      <c r="K209" s="28">
        <f t="shared" si="69"/>
        <v>3.0555555558142565E-2</v>
      </c>
      <c r="L209" s="30" t="s">
        <v>235</v>
      </c>
    </row>
    <row r="210" spans="1:12" ht="15.6" hidden="1" x14ac:dyDescent="0.3">
      <c r="A210" s="25">
        <v>6</v>
      </c>
      <c r="B210" s="25">
        <v>8150720</v>
      </c>
      <c r="C210" s="26" t="s">
        <v>467</v>
      </c>
      <c r="D210" s="26" t="s">
        <v>207</v>
      </c>
      <c r="E210" s="27" t="s">
        <v>18</v>
      </c>
      <c r="F210" s="25" t="s">
        <v>229</v>
      </c>
      <c r="G210" s="38">
        <v>46240.725694444445</v>
      </c>
      <c r="H210" s="38">
        <v>46240.810416666667</v>
      </c>
      <c r="I210" s="28">
        <f t="shared" si="68"/>
        <v>8.4722222221898846E-2</v>
      </c>
      <c r="J210" s="29">
        <v>8.3333333333333329E-2</v>
      </c>
      <c r="K210" s="28">
        <f t="shared" si="69"/>
        <v>1.3888888885655176E-3</v>
      </c>
      <c r="L210" s="30" t="s">
        <v>235</v>
      </c>
    </row>
    <row r="211" spans="1:12" ht="15.6" hidden="1" x14ac:dyDescent="0.3">
      <c r="A211" s="25">
        <v>1</v>
      </c>
      <c r="B211" s="25">
        <v>8151910</v>
      </c>
      <c r="C211" s="26" t="s">
        <v>474</v>
      </c>
      <c r="D211" s="26" t="s">
        <v>291</v>
      </c>
      <c r="E211" s="27" t="s">
        <v>82</v>
      </c>
      <c r="F211" s="25" t="s">
        <v>312</v>
      </c>
      <c r="G211" s="38">
        <v>46241.25</v>
      </c>
      <c r="H211" s="38">
        <v>46241.381944444445</v>
      </c>
      <c r="I211" s="28">
        <f t="shared" ref="I211:I214" si="70">H211-G211</f>
        <v>0.13194444444525288</v>
      </c>
      <c r="J211" s="29">
        <v>4.1666666666666664E-2</v>
      </c>
      <c r="K211" s="28">
        <f t="shared" ref="K211:K214" si="71">I211-J211</f>
        <v>9.0277777778586227E-2</v>
      </c>
      <c r="L211" s="30" t="s">
        <v>235</v>
      </c>
    </row>
    <row r="212" spans="1:12" ht="15.6" hidden="1" x14ac:dyDescent="0.3">
      <c r="A212" s="25">
        <v>2</v>
      </c>
      <c r="B212" s="25">
        <v>8152597</v>
      </c>
      <c r="C212" s="26" t="s">
        <v>474</v>
      </c>
      <c r="D212" s="26" t="s">
        <v>195</v>
      </c>
      <c r="E212" s="27" t="s">
        <v>37</v>
      </c>
      <c r="F212" s="25" t="s">
        <v>126</v>
      </c>
      <c r="G212" s="38">
        <v>46241.375</v>
      </c>
      <c r="H212" s="38">
        <v>46241.479166666664</v>
      </c>
      <c r="I212" s="28">
        <f t="shared" si="70"/>
        <v>0.10416666666424135</v>
      </c>
      <c r="J212" s="29">
        <v>6.25E-2</v>
      </c>
      <c r="K212" s="28">
        <f t="shared" si="71"/>
        <v>4.1666666664241347E-2</v>
      </c>
      <c r="L212" s="30" t="s">
        <v>235</v>
      </c>
    </row>
    <row r="213" spans="1:12" ht="15.6" hidden="1" x14ac:dyDescent="0.3">
      <c r="A213" s="25">
        <v>3</v>
      </c>
      <c r="B213" s="25">
        <v>8153320</v>
      </c>
      <c r="C213" s="26" t="s">
        <v>474</v>
      </c>
      <c r="D213" s="26" t="s">
        <v>198</v>
      </c>
      <c r="E213" s="27" t="s">
        <v>51</v>
      </c>
      <c r="F213" s="25" t="s">
        <v>13</v>
      </c>
      <c r="G213" s="38">
        <v>46242.054861111108</v>
      </c>
      <c r="H213" s="38">
        <v>46242.154166666667</v>
      </c>
      <c r="I213" s="28">
        <f t="shared" si="70"/>
        <v>9.930555555911269E-2</v>
      </c>
      <c r="J213" s="29">
        <v>8.3333333333333329E-2</v>
      </c>
      <c r="K213" s="28">
        <f t="shared" si="71"/>
        <v>1.5972222225779362E-2</v>
      </c>
      <c r="L213" s="30" t="s">
        <v>235</v>
      </c>
    </row>
    <row r="214" spans="1:12" ht="15.6" hidden="1" x14ac:dyDescent="0.3">
      <c r="A214" s="25">
        <v>4</v>
      </c>
      <c r="B214" s="25">
        <v>8152792</v>
      </c>
      <c r="C214" s="26" t="s">
        <v>474</v>
      </c>
      <c r="D214" s="26" t="s">
        <v>190</v>
      </c>
      <c r="E214" s="27" t="s">
        <v>100</v>
      </c>
      <c r="F214" s="25" t="s">
        <v>96</v>
      </c>
      <c r="G214" s="38">
        <v>46241.555555555555</v>
      </c>
      <c r="H214" s="38">
        <v>46241.831250000003</v>
      </c>
      <c r="I214" s="28">
        <f t="shared" si="70"/>
        <v>0.27569444444816327</v>
      </c>
      <c r="J214" s="29">
        <v>8.3333333333333329E-2</v>
      </c>
      <c r="K214" s="28">
        <f t="shared" si="71"/>
        <v>0.19236111111482995</v>
      </c>
      <c r="L214" s="30" t="s">
        <v>235</v>
      </c>
    </row>
    <row r="215" spans="1:12" ht="15.6" hidden="1" x14ac:dyDescent="0.3">
      <c r="A215" s="25">
        <v>5</v>
      </c>
      <c r="B215" s="25">
        <v>8154513</v>
      </c>
      <c r="C215" s="26" t="s">
        <v>474</v>
      </c>
      <c r="D215" s="26" t="s">
        <v>190</v>
      </c>
      <c r="E215" s="27" t="s">
        <v>22</v>
      </c>
      <c r="F215" s="25" t="s">
        <v>96</v>
      </c>
      <c r="G215" s="38">
        <v>46242.111111111109</v>
      </c>
      <c r="H215" s="38">
        <v>46242.222222222219</v>
      </c>
      <c r="I215" s="28">
        <f t="shared" ref="I215" si="72">H215-G215</f>
        <v>0.11111111110949423</v>
      </c>
      <c r="J215" s="29">
        <v>8.3333333333333329E-2</v>
      </c>
      <c r="K215" s="28">
        <f t="shared" ref="K215" si="73">I215-J215</f>
        <v>2.7777777776160903E-2</v>
      </c>
      <c r="L215" s="30" t="s">
        <v>235</v>
      </c>
    </row>
    <row r="216" spans="1:12" ht="15.6" hidden="1" x14ac:dyDescent="0.3">
      <c r="A216" s="25">
        <v>1</v>
      </c>
      <c r="B216" s="25">
        <v>8152841</v>
      </c>
      <c r="C216" s="26" t="s">
        <v>474</v>
      </c>
      <c r="D216" s="26" t="s">
        <v>201</v>
      </c>
      <c r="E216" s="27" t="s">
        <v>46</v>
      </c>
      <c r="F216" s="25" t="s">
        <v>96</v>
      </c>
      <c r="G216" s="38">
        <v>46243.373611111114</v>
      </c>
      <c r="H216" s="38">
        <v>46243.465277777781</v>
      </c>
      <c r="I216" s="28">
        <f t="shared" ref="I216:I225" si="74">H216-G216</f>
        <v>9.1666666667151731E-2</v>
      </c>
      <c r="J216" s="29">
        <v>8.3333333333333329E-2</v>
      </c>
      <c r="K216" s="28">
        <f t="shared" ref="K216:K225" si="75">I216-J216</f>
        <v>8.3333333338184018E-3</v>
      </c>
      <c r="L216" s="30" t="s">
        <v>235</v>
      </c>
    </row>
    <row r="217" spans="1:12" ht="15.6" hidden="1" x14ac:dyDescent="0.3">
      <c r="A217" s="25">
        <v>2</v>
      </c>
      <c r="B217" s="25">
        <v>8154828</v>
      </c>
      <c r="C217" s="26" t="s">
        <v>508</v>
      </c>
      <c r="D217" s="26" t="s">
        <v>228</v>
      </c>
      <c r="E217" s="27" t="s">
        <v>84</v>
      </c>
      <c r="F217" s="25" t="s">
        <v>174</v>
      </c>
      <c r="G217" s="38">
        <v>46242.371527777781</v>
      </c>
      <c r="H217" s="38">
        <v>46242.473611111112</v>
      </c>
      <c r="I217" s="28">
        <f t="shared" si="74"/>
        <v>0.10208333333139308</v>
      </c>
      <c r="J217" s="29">
        <v>6.25E-2</v>
      </c>
      <c r="K217" s="28">
        <f t="shared" si="75"/>
        <v>3.9583333331393078E-2</v>
      </c>
      <c r="L217" s="30" t="s">
        <v>235</v>
      </c>
    </row>
    <row r="218" spans="1:12" ht="15.6" hidden="1" x14ac:dyDescent="0.3">
      <c r="A218" s="25">
        <v>3</v>
      </c>
      <c r="B218" s="25">
        <v>8155399</v>
      </c>
      <c r="C218" s="26" t="s">
        <v>508</v>
      </c>
      <c r="D218" s="26" t="s">
        <v>215</v>
      </c>
      <c r="E218" s="27" t="s">
        <v>29</v>
      </c>
      <c r="F218" s="25" t="s">
        <v>98</v>
      </c>
      <c r="G218" s="38">
        <v>46242.501388888886</v>
      </c>
      <c r="H218" s="38">
        <v>46242.638888888891</v>
      </c>
      <c r="I218" s="28">
        <f t="shared" si="74"/>
        <v>0.13750000000436557</v>
      </c>
      <c r="J218" s="29">
        <v>8.3333333333333329E-2</v>
      </c>
      <c r="K218" s="28">
        <f t="shared" si="75"/>
        <v>5.4166666671032246E-2</v>
      </c>
      <c r="L218" s="30" t="s">
        <v>235</v>
      </c>
    </row>
    <row r="219" spans="1:12" ht="15.6" hidden="1" x14ac:dyDescent="0.3">
      <c r="A219" s="25">
        <v>4</v>
      </c>
      <c r="B219" s="25">
        <v>8155328</v>
      </c>
      <c r="C219" s="26" t="s">
        <v>508</v>
      </c>
      <c r="D219" s="26" t="s">
        <v>195</v>
      </c>
      <c r="E219" s="27" t="s">
        <v>83</v>
      </c>
      <c r="F219" s="25" t="s">
        <v>204</v>
      </c>
      <c r="G219" s="38">
        <v>46242.375</v>
      </c>
      <c r="H219" s="38">
        <v>46242.461805555555</v>
      </c>
      <c r="I219" s="28">
        <f t="shared" si="74"/>
        <v>8.6805555554747116E-2</v>
      </c>
      <c r="J219" s="29">
        <v>6.25E-2</v>
      </c>
      <c r="K219" s="28">
        <f t="shared" si="75"/>
        <v>2.4305555554747116E-2</v>
      </c>
      <c r="L219" s="30" t="s">
        <v>235</v>
      </c>
    </row>
    <row r="220" spans="1:12" ht="15.6" hidden="1" x14ac:dyDescent="0.3">
      <c r="A220" s="25">
        <v>5</v>
      </c>
      <c r="B220" s="25">
        <v>8157389</v>
      </c>
      <c r="C220" s="26" t="s">
        <v>520</v>
      </c>
      <c r="D220" s="26" t="s">
        <v>291</v>
      </c>
      <c r="E220" s="27" t="s">
        <v>82</v>
      </c>
      <c r="F220" s="25" t="s">
        <v>179</v>
      </c>
      <c r="G220" s="38">
        <v>46243.25</v>
      </c>
      <c r="H220" s="38">
        <v>46243.447916666664</v>
      </c>
      <c r="I220" s="28">
        <f t="shared" si="74"/>
        <v>0.19791666666424135</v>
      </c>
      <c r="J220" s="29">
        <v>4.1666666666666664E-2</v>
      </c>
      <c r="K220" s="28">
        <f t="shared" si="75"/>
        <v>0.15624999999757469</v>
      </c>
      <c r="L220" s="30" t="s">
        <v>235</v>
      </c>
    </row>
    <row r="221" spans="1:12" ht="15.6" hidden="1" x14ac:dyDescent="0.3">
      <c r="A221" s="25">
        <v>6</v>
      </c>
      <c r="B221" s="25">
        <v>8157707</v>
      </c>
      <c r="C221" s="26" t="s">
        <v>520</v>
      </c>
      <c r="D221" s="26" t="s">
        <v>188</v>
      </c>
      <c r="E221" s="27" t="s">
        <v>25</v>
      </c>
      <c r="F221" s="25" t="s">
        <v>13</v>
      </c>
      <c r="G221" s="38">
        <v>46243.604166666664</v>
      </c>
      <c r="H221" s="38">
        <v>46243.725694444445</v>
      </c>
      <c r="I221" s="28">
        <f t="shared" si="74"/>
        <v>0.12152777778101154</v>
      </c>
      <c r="J221" s="29">
        <v>8.3333333333333329E-2</v>
      </c>
      <c r="K221" s="28">
        <f t="shared" si="75"/>
        <v>3.8194444447678208E-2</v>
      </c>
      <c r="L221" s="30" t="s">
        <v>235</v>
      </c>
    </row>
    <row r="222" spans="1:12" ht="15.6" hidden="1" x14ac:dyDescent="0.3">
      <c r="A222" s="25">
        <v>7</v>
      </c>
      <c r="B222" s="25">
        <v>8158013</v>
      </c>
      <c r="C222" s="26" t="s">
        <v>520</v>
      </c>
      <c r="D222" s="26" t="s">
        <v>195</v>
      </c>
      <c r="E222" s="27" t="s">
        <v>37</v>
      </c>
      <c r="F222" s="25" t="s">
        <v>204</v>
      </c>
      <c r="G222" s="38">
        <v>46243.375</v>
      </c>
      <c r="H222" s="38">
        <v>46243.520833333336</v>
      </c>
      <c r="I222" s="28">
        <f t="shared" si="74"/>
        <v>0.14583333333575865</v>
      </c>
      <c r="J222" s="29">
        <v>6.25E-2</v>
      </c>
      <c r="K222" s="28">
        <f t="shared" si="75"/>
        <v>8.3333333335758653E-2</v>
      </c>
      <c r="L222" s="30" t="s">
        <v>235</v>
      </c>
    </row>
    <row r="223" spans="1:12" ht="15.6" hidden="1" x14ac:dyDescent="0.3">
      <c r="A223" s="25">
        <v>8</v>
      </c>
      <c r="B223" s="25">
        <v>8158229</v>
      </c>
      <c r="C223" s="26" t="s">
        <v>520</v>
      </c>
      <c r="D223" s="26" t="s">
        <v>197</v>
      </c>
      <c r="E223" s="27" t="s">
        <v>44</v>
      </c>
      <c r="F223" s="25" t="s">
        <v>45</v>
      </c>
      <c r="G223" s="38">
        <v>46244.154861111114</v>
      </c>
      <c r="H223" s="38">
        <v>46244.277777777781</v>
      </c>
      <c r="I223" s="28">
        <f t="shared" si="74"/>
        <v>0.12291666666715173</v>
      </c>
      <c r="J223" s="29">
        <v>8.3333333333333329E-2</v>
      </c>
      <c r="K223" s="28">
        <f t="shared" si="75"/>
        <v>3.9583333333818402E-2</v>
      </c>
      <c r="L223" s="30" t="s">
        <v>235</v>
      </c>
    </row>
    <row r="224" spans="1:12" ht="15.6" hidden="1" x14ac:dyDescent="0.3">
      <c r="A224" s="25">
        <v>9</v>
      </c>
      <c r="B224" s="25">
        <v>8158281</v>
      </c>
      <c r="C224" s="26" t="s">
        <v>520</v>
      </c>
      <c r="D224" s="26" t="s">
        <v>218</v>
      </c>
      <c r="E224" s="27" t="s">
        <v>50</v>
      </c>
      <c r="F224" s="25" t="s">
        <v>45</v>
      </c>
      <c r="G224" s="38">
        <v>46243.55972222222</v>
      </c>
      <c r="H224" s="38">
        <v>46243.677777777775</v>
      </c>
      <c r="I224" s="28">
        <f t="shared" si="74"/>
        <v>0.11805555555474712</v>
      </c>
      <c r="J224" s="29">
        <v>8.3333333333333329E-2</v>
      </c>
      <c r="K224" s="28">
        <f t="shared" si="75"/>
        <v>3.4722222221413787E-2</v>
      </c>
      <c r="L224" s="30" t="s">
        <v>235</v>
      </c>
    </row>
    <row r="225" spans="1:12" ht="15.6" hidden="1" x14ac:dyDescent="0.3">
      <c r="A225" s="25">
        <v>10</v>
      </c>
      <c r="B225" s="25">
        <v>8159668</v>
      </c>
      <c r="C225" s="26" t="s">
        <v>520</v>
      </c>
      <c r="D225" s="26" t="s">
        <v>190</v>
      </c>
      <c r="E225" s="27" t="s">
        <v>46</v>
      </c>
      <c r="F225" s="25" t="s">
        <v>96</v>
      </c>
      <c r="G225" s="38">
        <v>46244.07708333333</v>
      </c>
      <c r="H225" s="38">
        <v>46244.178472222222</v>
      </c>
      <c r="I225" s="28">
        <f t="shared" si="74"/>
        <v>0.10138888889196096</v>
      </c>
      <c r="J225" s="29">
        <v>8.3333333333333329E-2</v>
      </c>
      <c r="K225" s="28">
        <f t="shared" si="75"/>
        <v>1.8055555558627631E-2</v>
      </c>
      <c r="L225" s="30" t="s">
        <v>235</v>
      </c>
    </row>
    <row r="226" spans="1:12" ht="15.6" hidden="1" x14ac:dyDescent="0.3">
      <c r="A226" s="25">
        <v>1</v>
      </c>
      <c r="B226" s="25">
        <v>8159839</v>
      </c>
      <c r="C226" s="26" t="s">
        <v>539</v>
      </c>
      <c r="D226" s="26" t="s">
        <v>291</v>
      </c>
      <c r="E226" s="27" t="s">
        <v>25</v>
      </c>
      <c r="F226" s="25" t="s">
        <v>179</v>
      </c>
      <c r="G226" s="38">
        <v>46244.25</v>
      </c>
      <c r="H226" s="38">
        <v>46244.399305555555</v>
      </c>
      <c r="I226" s="28">
        <f t="shared" ref="I226:I229" si="76">H226-G226</f>
        <v>0.14930555555474712</v>
      </c>
      <c r="J226" s="29">
        <v>4.1666666666666664E-2</v>
      </c>
      <c r="K226" s="28">
        <f t="shared" ref="K226:K229" si="77">I226-J226</f>
        <v>0.10763888888808046</v>
      </c>
      <c r="L226" s="30" t="s">
        <v>235</v>
      </c>
    </row>
    <row r="227" spans="1:12" ht="15.6" hidden="1" x14ac:dyDescent="0.3">
      <c r="A227" s="25">
        <v>2</v>
      </c>
      <c r="B227" s="25">
        <v>8160082</v>
      </c>
      <c r="C227" s="26" t="s">
        <v>539</v>
      </c>
      <c r="D227" s="26" t="s">
        <v>215</v>
      </c>
      <c r="E227" s="27" t="s">
        <v>16</v>
      </c>
      <c r="F227" s="25" t="s">
        <v>98</v>
      </c>
      <c r="G227" s="38">
        <v>46244.375</v>
      </c>
      <c r="H227" s="38">
        <v>46244.513888888891</v>
      </c>
      <c r="I227" s="28">
        <f t="shared" si="76"/>
        <v>0.13888888889050577</v>
      </c>
      <c r="J227" s="29">
        <v>8.3333333333333329E-2</v>
      </c>
      <c r="K227" s="28">
        <f t="shared" si="77"/>
        <v>5.555555555717244E-2</v>
      </c>
      <c r="L227" s="30" t="s">
        <v>235</v>
      </c>
    </row>
    <row r="228" spans="1:12" ht="15.6" hidden="1" x14ac:dyDescent="0.3">
      <c r="A228" s="25">
        <v>3</v>
      </c>
      <c r="B228" s="25">
        <v>8160027</v>
      </c>
      <c r="C228" s="26" t="s">
        <v>539</v>
      </c>
      <c r="D228" s="26" t="s">
        <v>193</v>
      </c>
      <c r="E228" s="27" t="s">
        <v>30</v>
      </c>
      <c r="F228" s="25" t="s">
        <v>13</v>
      </c>
      <c r="G228" s="38">
        <v>46244.754166666666</v>
      </c>
      <c r="H228" s="38">
        <v>46244.867361111108</v>
      </c>
      <c r="I228" s="28">
        <f t="shared" si="76"/>
        <v>0.1131944444423425</v>
      </c>
      <c r="J228" s="29">
        <v>8.3333333333333329E-2</v>
      </c>
      <c r="K228" s="28">
        <f t="shared" si="77"/>
        <v>2.9861111109009172E-2</v>
      </c>
      <c r="L228" s="30" t="s">
        <v>235</v>
      </c>
    </row>
    <row r="229" spans="1:12" ht="15.6" hidden="1" x14ac:dyDescent="0.3">
      <c r="A229" s="25">
        <v>4</v>
      </c>
      <c r="B229" s="25">
        <v>8160646</v>
      </c>
      <c r="C229" s="26" t="s">
        <v>539</v>
      </c>
      <c r="D229" s="26" t="s">
        <v>198</v>
      </c>
      <c r="E229" s="27" t="s">
        <v>48</v>
      </c>
      <c r="F229" s="25" t="s">
        <v>13</v>
      </c>
      <c r="G229" s="38">
        <v>46244.859027777777</v>
      </c>
      <c r="H229" s="38">
        <v>46245.009027777778</v>
      </c>
      <c r="I229" s="28">
        <f t="shared" si="76"/>
        <v>0.15000000000145519</v>
      </c>
      <c r="J229" s="29">
        <v>8.3333333333333329E-2</v>
      </c>
      <c r="K229" s="28">
        <f t="shared" si="77"/>
        <v>6.6666666668121863E-2</v>
      </c>
      <c r="L229" s="30" t="s">
        <v>235</v>
      </c>
    </row>
    <row r="230" spans="1:12" ht="15.6" hidden="1" x14ac:dyDescent="0.3">
      <c r="A230" s="25">
        <v>1</v>
      </c>
      <c r="B230" s="25">
        <v>8162097</v>
      </c>
      <c r="C230" s="26" t="s">
        <v>554</v>
      </c>
      <c r="D230" s="26" t="s">
        <v>291</v>
      </c>
      <c r="E230" s="27" t="s">
        <v>82</v>
      </c>
      <c r="F230" s="25" t="s">
        <v>179</v>
      </c>
      <c r="G230" s="38">
        <v>46245.25</v>
      </c>
      <c r="H230" s="38">
        <v>46245.375</v>
      </c>
      <c r="I230" s="28">
        <f t="shared" ref="I230:I234" si="78">H230-G230</f>
        <v>0.125</v>
      </c>
      <c r="J230" s="29">
        <v>4.1666666666666664E-2</v>
      </c>
      <c r="K230" s="28">
        <f t="shared" ref="K230:K234" si="79">I230-J230</f>
        <v>8.3333333333333343E-2</v>
      </c>
      <c r="L230" s="30" t="s">
        <v>235</v>
      </c>
    </row>
    <row r="231" spans="1:12" ht="15.6" hidden="1" x14ac:dyDescent="0.3">
      <c r="A231" s="25">
        <v>2</v>
      </c>
      <c r="B231" s="25">
        <v>8162738</v>
      </c>
      <c r="C231" s="26" t="s">
        <v>554</v>
      </c>
      <c r="D231" s="26" t="s">
        <v>195</v>
      </c>
      <c r="E231" s="27" t="s">
        <v>37</v>
      </c>
      <c r="F231" s="25" t="s">
        <v>126</v>
      </c>
      <c r="G231" s="38">
        <v>46245.375</v>
      </c>
      <c r="H231" s="38">
        <v>46245.470138888886</v>
      </c>
      <c r="I231" s="28">
        <f t="shared" si="78"/>
        <v>9.5138888886140194E-2</v>
      </c>
      <c r="J231" s="29">
        <v>6.25E-2</v>
      </c>
      <c r="K231" s="28">
        <f t="shared" si="79"/>
        <v>3.2638888886140194E-2</v>
      </c>
      <c r="L231" s="30" t="s">
        <v>235</v>
      </c>
    </row>
    <row r="232" spans="1:12" ht="15.6" hidden="1" x14ac:dyDescent="0.3">
      <c r="A232" s="25">
        <v>3</v>
      </c>
      <c r="B232" s="25">
        <v>8162847</v>
      </c>
      <c r="C232" s="26" t="s">
        <v>554</v>
      </c>
      <c r="D232" s="26" t="s">
        <v>311</v>
      </c>
      <c r="E232" s="27" t="s">
        <v>56</v>
      </c>
      <c r="F232" s="25" t="s">
        <v>205</v>
      </c>
      <c r="G232" s="38">
        <v>46245.388888888891</v>
      </c>
      <c r="H232" s="38">
        <v>46245.444444444445</v>
      </c>
      <c r="I232" s="28">
        <f t="shared" si="78"/>
        <v>5.5555555554747116E-2</v>
      </c>
      <c r="J232" s="29">
        <v>4.1666666666666664E-2</v>
      </c>
      <c r="K232" s="28">
        <f t="shared" si="79"/>
        <v>1.3888888888080451E-2</v>
      </c>
      <c r="L232" s="30" t="s">
        <v>235</v>
      </c>
    </row>
    <row r="233" spans="1:12" ht="15.6" hidden="1" x14ac:dyDescent="0.3">
      <c r="A233" s="25">
        <v>4</v>
      </c>
      <c r="B233" s="25">
        <v>8162952</v>
      </c>
      <c r="C233" s="26" t="s">
        <v>554</v>
      </c>
      <c r="D233" s="26" t="s">
        <v>198</v>
      </c>
      <c r="E233" s="27" t="s">
        <v>51</v>
      </c>
      <c r="F233" s="25" t="s">
        <v>13</v>
      </c>
      <c r="G233" s="38">
        <v>46245.853472222225</v>
      </c>
      <c r="H233" s="38">
        <v>46245.9375</v>
      </c>
      <c r="I233" s="28">
        <f t="shared" si="78"/>
        <v>8.4027777775190771E-2</v>
      </c>
      <c r="J233" s="29">
        <v>8.3333333333333329E-2</v>
      </c>
      <c r="K233" s="28">
        <f t="shared" si="79"/>
        <v>6.9444444185744192E-4</v>
      </c>
      <c r="L233" s="30" t="s">
        <v>235</v>
      </c>
    </row>
    <row r="234" spans="1:12" ht="15.6" hidden="1" x14ac:dyDescent="0.3">
      <c r="A234" s="25">
        <v>5</v>
      </c>
      <c r="B234" s="25">
        <v>8163057</v>
      </c>
      <c r="C234" s="26" t="s">
        <v>554</v>
      </c>
      <c r="D234" s="26" t="s">
        <v>218</v>
      </c>
      <c r="E234" s="27" t="s">
        <v>40</v>
      </c>
      <c r="F234" s="25" t="s">
        <v>45</v>
      </c>
      <c r="G234" s="38">
        <v>46245.544444444444</v>
      </c>
      <c r="H234" s="38">
        <v>46245.631944444445</v>
      </c>
      <c r="I234" s="28">
        <f t="shared" si="78"/>
        <v>8.7500000001455192E-2</v>
      </c>
      <c r="J234" s="29">
        <v>8.3333333333333329E-2</v>
      </c>
      <c r="K234" s="28">
        <f t="shared" si="79"/>
        <v>4.1666666681218628E-3</v>
      </c>
      <c r="L234" s="30" t="s">
        <v>235</v>
      </c>
    </row>
    <row r="235" spans="1:12" ht="15.6" hidden="1" x14ac:dyDescent="0.3">
      <c r="A235" s="25">
        <v>1</v>
      </c>
      <c r="B235" s="25">
        <v>8164707</v>
      </c>
      <c r="C235" s="26" t="s">
        <v>563</v>
      </c>
      <c r="D235" s="26" t="s">
        <v>291</v>
      </c>
      <c r="E235" s="27" t="s">
        <v>25</v>
      </c>
      <c r="F235" s="25" t="s">
        <v>179</v>
      </c>
      <c r="G235" s="38">
        <v>46246.270833333336</v>
      </c>
      <c r="H235" s="38">
        <v>46246.379166666666</v>
      </c>
      <c r="I235" s="28">
        <f t="shared" ref="I235:I237" si="80">H235-G235</f>
        <v>0.10833333332993789</v>
      </c>
      <c r="J235" s="29">
        <v>8.3333333333333329E-2</v>
      </c>
      <c r="K235" s="28">
        <f t="shared" ref="K235:K237" si="81">I235-J235</f>
        <v>2.4999999996604558E-2</v>
      </c>
      <c r="L235" s="30" t="s">
        <v>235</v>
      </c>
    </row>
    <row r="236" spans="1:12" ht="15.6" hidden="1" x14ac:dyDescent="0.3">
      <c r="A236" s="25">
        <v>2</v>
      </c>
      <c r="B236" s="25">
        <v>8164974</v>
      </c>
      <c r="C236" s="26" t="s">
        <v>563</v>
      </c>
      <c r="D236" s="26" t="s">
        <v>215</v>
      </c>
      <c r="E236" s="27" t="s">
        <v>16</v>
      </c>
      <c r="F236" s="25" t="s">
        <v>98</v>
      </c>
      <c r="G236" s="38">
        <v>46246.375</v>
      </c>
      <c r="H236" s="38">
        <v>46246.518750000003</v>
      </c>
      <c r="I236" s="28">
        <f t="shared" si="80"/>
        <v>0.14375000000291038</v>
      </c>
      <c r="J236" s="29">
        <v>8.3333333333333329E-2</v>
      </c>
      <c r="K236" s="28">
        <f t="shared" si="81"/>
        <v>6.0416666669577054E-2</v>
      </c>
      <c r="L236" s="30" t="s">
        <v>235</v>
      </c>
    </row>
    <row r="237" spans="1:12" ht="15.6" hidden="1" x14ac:dyDescent="0.3">
      <c r="A237" s="25">
        <v>3</v>
      </c>
      <c r="B237" s="25">
        <v>8165381</v>
      </c>
      <c r="C237" s="26" t="s">
        <v>563</v>
      </c>
      <c r="D237" s="26" t="s">
        <v>195</v>
      </c>
      <c r="E237" s="27" t="s">
        <v>83</v>
      </c>
      <c r="F237" s="25" t="s">
        <v>204</v>
      </c>
      <c r="G237" s="38">
        <v>46246.375</v>
      </c>
      <c r="H237" s="38">
        <v>46246.491666666669</v>
      </c>
      <c r="I237" s="28">
        <f t="shared" si="80"/>
        <v>0.11666666666860692</v>
      </c>
      <c r="J237" s="29">
        <v>8.3333333333333329E-2</v>
      </c>
      <c r="K237" s="28">
        <f t="shared" si="81"/>
        <v>3.3333333335273593E-2</v>
      </c>
      <c r="L237" s="30" t="s">
        <v>235</v>
      </c>
    </row>
    <row r="238" spans="1:12" ht="15.6" hidden="1" x14ac:dyDescent="0.3">
      <c r="A238" s="25">
        <v>1</v>
      </c>
      <c r="B238" s="25">
        <v>8167444</v>
      </c>
      <c r="C238" s="26" t="s">
        <v>576</v>
      </c>
      <c r="D238" s="26" t="s">
        <v>291</v>
      </c>
      <c r="E238" s="27" t="s">
        <v>82</v>
      </c>
      <c r="F238" s="25" t="s">
        <v>179</v>
      </c>
      <c r="G238" s="38">
        <v>46247.25</v>
      </c>
      <c r="H238" s="38">
        <v>46247.371527777781</v>
      </c>
      <c r="I238" s="28">
        <f t="shared" ref="I238:I240" si="82">H238-G238</f>
        <v>0.12152777778101154</v>
      </c>
      <c r="J238" s="29">
        <v>4.1666666666666664E-2</v>
      </c>
      <c r="K238" s="28">
        <f t="shared" ref="K238:K240" si="83">I238-J238</f>
        <v>7.9861111114344879E-2</v>
      </c>
      <c r="L238" s="30" t="s">
        <v>235</v>
      </c>
    </row>
    <row r="239" spans="1:12" ht="15.6" hidden="1" x14ac:dyDescent="0.3">
      <c r="A239" s="25">
        <v>2</v>
      </c>
      <c r="B239" s="25">
        <v>8167629</v>
      </c>
      <c r="C239" s="26" t="s">
        <v>576</v>
      </c>
      <c r="D239" s="26" t="s">
        <v>193</v>
      </c>
      <c r="E239" s="27" t="s">
        <v>30</v>
      </c>
      <c r="F239" s="25" t="s">
        <v>13</v>
      </c>
      <c r="G239" s="38">
        <v>46247.761111111111</v>
      </c>
      <c r="H239" s="38">
        <v>46247.861111111109</v>
      </c>
      <c r="I239" s="28">
        <f t="shared" si="82"/>
        <v>9.9999999998544808E-2</v>
      </c>
      <c r="J239" s="29">
        <v>8.3333333333333329E-2</v>
      </c>
      <c r="K239" s="28">
        <f t="shared" si="83"/>
        <v>1.666666666521148E-2</v>
      </c>
      <c r="L239" s="30" t="s">
        <v>235</v>
      </c>
    </row>
    <row r="240" spans="1:12" ht="15.6" hidden="1" x14ac:dyDescent="0.3">
      <c r="A240" s="25">
        <v>3</v>
      </c>
      <c r="B240" s="25">
        <v>8169295</v>
      </c>
      <c r="C240" s="26" t="s">
        <v>576</v>
      </c>
      <c r="D240" s="26" t="s">
        <v>336</v>
      </c>
      <c r="E240" s="27" t="s">
        <v>87</v>
      </c>
      <c r="F240" s="25" t="s">
        <v>174</v>
      </c>
      <c r="G240" s="38">
        <v>46247.78125</v>
      </c>
      <c r="H240" s="38">
        <v>46247.82708333333</v>
      </c>
      <c r="I240" s="28">
        <f t="shared" si="82"/>
        <v>4.5833333329937886E-2</v>
      </c>
      <c r="J240" s="29">
        <v>4.1666666666666664E-2</v>
      </c>
      <c r="K240" s="28">
        <f t="shared" si="83"/>
        <v>4.1666666632712221E-3</v>
      </c>
      <c r="L240" s="30" t="s">
        <v>235</v>
      </c>
    </row>
    <row r="241" spans="1:12" ht="15.6" hidden="1" x14ac:dyDescent="0.3">
      <c r="A241" s="25">
        <v>4</v>
      </c>
      <c r="B241" s="25">
        <v>8164756</v>
      </c>
      <c r="C241" s="26" t="s">
        <v>563</v>
      </c>
      <c r="D241" s="26" t="s">
        <v>292</v>
      </c>
      <c r="E241" s="27" t="s">
        <v>18</v>
      </c>
      <c r="F241" s="25" t="s">
        <v>95</v>
      </c>
      <c r="G241" s="38">
        <v>46247.645833333336</v>
      </c>
      <c r="H241" s="38">
        <v>46247.743055555555</v>
      </c>
      <c r="I241" s="28">
        <f t="shared" ref="I241" si="84">H241-G241</f>
        <v>9.7222222218988463E-2</v>
      </c>
      <c r="J241" s="29">
        <v>6.25E-2</v>
      </c>
      <c r="K241" s="28">
        <f t="shared" ref="K241" si="85">I241-J241</f>
        <v>3.4722222218988463E-2</v>
      </c>
      <c r="L241" s="30" t="s">
        <v>235</v>
      </c>
    </row>
    <row r="242" spans="1:12" ht="15.6" hidden="1" x14ac:dyDescent="0.3">
      <c r="A242" s="25">
        <v>1</v>
      </c>
      <c r="B242" s="25">
        <v>8170200</v>
      </c>
      <c r="C242" s="26" t="s">
        <v>588</v>
      </c>
      <c r="D242" s="26" t="s">
        <v>291</v>
      </c>
      <c r="E242" s="27" t="s">
        <v>25</v>
      </c>
      <c r="F242" s="25" t="s">
        <v>312</v>
      </c>
      <c r="G242" s="38">
        <v>46248.270833333336</v>
      </c>
      <c r="H242" s="38">
        <v>46248.378472222219</v>
      </c>
      <c r="I242" s="28">
        <f t="shared" ref="I242:I252" si="86">H242-G242</f>
        <v>0.10763888888322981</v>
      </c>
      <c r="J242" s="29">
        <v>4.1666666666666664E-2</v>
      </c>
      <c r="K242" s="28">
        <f t="shared" ref="K242:K252" si="87">I242-J242</f>
        <v>6.5972222216563153E-2</v>
      </c>
      <c r="L242" s="30" t="s">
        <v>235</v>
      </c>
    </row>
    <row r="243" spans="1:12" ht="15.6" hidden="1" x14ac:dyDescent="0.3">
      <c r="A243" s="25">
        <v>2</v>
      </c>
      <c r="B243" s="25">
        <v>8170524</v>
      </c>
      <c r="C243" s="26" t="s">
        <v>588</v>
      </c>
      <c r="D243" s="26" t="s">
        <v>599</v>
      </c>
      <c r="E243" s="27" t="s">
        <v>82</v>
      </c>
      <c r="F243" s="25" t="s">
        <v>178</v>
      </c>
      <c r="G243" s="38">
        <v>46248.552083333336</v>
      </c>
      <c r="H243" s="38">
        <v>46248.645833333336</v>
      </c>
      <c r="I243" s="28">
        <f t="shared" si="86"/>
        <v>9.375E-2</v>
      </c>
      <c r="J243" s="29">
        <v>8.3333333333333329E-2</v>
      </c>
      <c r="K243" s="28">
        <f t="shared" si="87"/>
        <v>1.0416666666666671E-2</v>
      </c>
      <c r="L243" s="30" t="s">
        <v>235</v>
      </c>
    </row>
    <row r="244" spans="1:12" ht="15.6" hidden="1" x14ac:dyDescent="0.3">
      <c r="A244" s="25">
        <v>3</v>
      </c>
      <c r="B244" s="25">
        <v>8171124</v>
      </c>
      <c r="C244" s="26" t="s">
        <v>588</v>
      </c>
      <c r="D244" s="26" t="s">
        <v>197</v>
      </c>
      <c r="E244" s="27" t="s">
        <v>44</v>
      </c>
      <c r="F244" s="25" t="s">
        <v>45</v>
      </c>
      <c r="G244" s="38">
        <v>46249.197222222225</v>
      </c>
      <c r="H244" s="38">
        <v>46249.306250000001</v>
      </c>
      <c r="I244" s="28">
        <f t="shared" si="86"/>
        <v>0.10902777777664596</v>
      </c>
      <c r="J244" s="29">
        <v>8.3333333333333329E-2</v>
      </c>
      <c r="K244" s="28">
        <f t="shared" si="87"/>
        <v>2.5694444443312633E-2</v>
      </c>
      <c r="L244" s="30" t="s">
        <v>235</v>
      </c>
    </row>
    <row r="245" spans="1:12" ht="15.6" hidden="1" x14ac:dyDescent="0.3">
      <c r="A245" s="25">
        <v>4</v>
      </c>
      <c r="B245" s="25">
        <v>8172960</v>
      </c>
      <c r="C245" s="26" t="s">
        <v>595</v>
      </c>
      <c r="D245" s="26" t="s">
        <v>214</v>
      </c>
      <c r="E245" s="27" t="s">
        <v>82</v>
      </c>
      <c r="F245" s="25" t="s">
        <v>179</v>
      </c>
      <c r="G245" s="38">
        <v>46249.25</v>
      </c>
      <c r="H245" s="38">
        <v>46249.388888888891</v>
      </c>
      <c r="I245" s="28">
        <f t="shared" si="86"/>
        <v>0.13888888889050577</v>
      </c>
      <c r="J245" s="29">
        <v>4.1666666666666664E-2</v>
      </c>
      <c r="K245" s="28">
        <f t="shared" si="87"/>
        <v>9.7222222223839111E-2</v>
      </c>
      <c r="L245" s="30" t="s">
        <v>235</v>
      </c>
    </row>
    <row r="246" spans="1:12" ht="15.6" hidden="1" x14ac:dyDescent="0.3">
      <c r="A246" s="25">
        <v>6</v>
      </c>
      <c r="B246" s="25">
        <v>8173277</v>
      </c>
      <c r="C246" s="26" t="s">
        <v>595</v>
      </c>
      <c r="D246" s="26" t="s">
        <v>215</v>
      </c>
      <c r="E246" s="27" t="s">
        <v>29</v>
      </c>
      <c r="F246" s="25" t="s">
        <v>98</v>
      </c>
      <c r="G246" s="38">
        <v>46249.385416666664</v>
      </c>
      <c r="H246" s="38">
        <v>46249.497916666667</v>
      </c>
      <c r="I246" s="28">
        <f t="shared" si="86"/>
        <v>0.11250000000291038</v>
      </c>
      <c r="J246" s="29">
        <v>8.3333333333333329E-2</v>
      </c>
      <c r="K246" s="28">
        <f t="shared" si="87"/>
        <v>2.9166666669577054E-2</v>
      </c>
      <c r="L246" s="30" t="s">
        <v>235</v>
      </c>
    </row>
    <row r="247" spans="1:12" ht="15.6" hidden="1" x14ac:dyDescent="0.3">
      <c r="A247" s="25">
        <v>7</v>
      </c>
      <c r="B247" s="25">
        <v>8173500</v>
      </c>
      <c r="C247" s="26" t="s">
        <v>595</v>
      </c>
      <c r="D247" s="26" t="s">
        <v>188</v>
      </c>
      <c r="E247" s="27" t="s">
        <v>25</v>
      </c>
      <c r="F247" s="25" t="s">
        <v>13</v>
      </c>
      <c r="G247" s="38">
        <v>46249.678472222222</v>
      </c>
      <c r="H247" s="38">
        <v>46249.77847222222</v>
      </c>
      <c r="I247" s="28">
        <f t="shared" si="86"/>
        <v>9.9999999998544808E-2</v>
      </c>
      <c r="J247" s="29">
        <v>8.3333333333333329E-2</v>
      </c>
      <c r="K247" s="28">
        <f t="shared" si="87"/>
        <v>1.666666666521148E-2</v>
      </c>
      <c r="L247" s="30" t="s">
        <v>235</v>
      </c>
    </row>
    <row r="248" spans="1:12" ht="15.6" hidden="1" x14ac:dyDescent="0.3">
      <c r="A248" s="25">
        <v>8</v>
      </c>
      <c r="B248" s="25">
        <v>8173757</v>
      </c>
      <c r="C248" s="26" t="s">
        <v>595</v>
      </c>
      <c r="D248" s="26" t="s">
        <v>195</v>
      </c>
      <c r="E248" s="27" t="s">
        <v>83</v>
      </c>
      <c r="F248" s="25" t="s">
        <v>126</v>
      </c>
      <c r="G248" s="38">
        <v>46249.482638888891</v>
      </c>
      <c r="H248" s="38">
        <v>46249.61041666667</v>
      </c>
      <c r="I248" s="28">
        <f t="shared" si="86"/>
        <v>0.12777777777955635</v>
      </c>
      <c r="J248" s="29">
        <v>6.25E-2</v>
      </c>
      <c r="K248" s="28">
        <f t="shared" si="87"/>
        <v>6.5277777779556345E-2</v>
      </c>
      <c r="L248" s="30" t="s">
        <v>235</v>
      </c>
    </row>
    <row r="249" spans="1:12" ht="15.6" hidden="1" x14ac:dyDescent="0.3">
      <c r="A249" s="25">
        <v>10</v>
      </c>
      <c r="B249" s="25">
        <v>8175560</v>
      </c>
      <c r="C249" s="26" t="s">
        <v>584</v>
      </c>
      <c r="D249" s="26" t="s">
        <v>214</v>
      </c>
      <c r="E249" s="27" t="s">
        <v>25</v>
      </c>
      <c r="F249" s="25" t="s">
        <v>179</v>
      </c>
      <c r="G249" s="38">
        <v>46250.291666666664</v>
      </c>
      <c r="H249" s="38">
        <v>46250.380555555559</v>
      </c>
      <c r="I249" s="28">
        <f t="shared" si="86"/>
        <v>8.8888888894871343E-2</v>
      </c>
      <c r="J249" s="29">
        <v>4.1666666666666664E-2</v>
      </c>
      <c r="K249" s="28">
        <f t="shared" si="87"/>
        <v>4.7222222228204679E-2</v>
      </c>
      <c r="L249" s="30" t="s">
        <v>235</v>
      </c>
    </row>
    <row r="250" spans="1:12" ht="15.6" hidden="1" x14ac:dyDescent="0.3">
      <c r="A250" s="25">
        <v>11</v>
      </c>
      <c r="B250" s="25">
        <v>8175799</v>
      </c>
      <c r="C250" s="26" t="s">
        <v>584</v>
      </c>
      <c r="D250" s="26" t="s">
        <v>215</v>
      </c>
      <c r="E250" s="27" t="s">
        <v>16</v>
      </c>
      <c r="F250" s="25" t="s">
        <v>98</v>
      </c>
      <c r="G250" s="38">
        <v>46250.381944444445</v>
      </c>
      <c r="H250" s="38">
        <v>46250.490972222222</v>
      </c>
      <c r="I250" s="28">
        <f t="shared" si="86"/>
        <v>0.10902777777664596</v>
      </c>
      <c r="J250" s="29">
        <v>8.3333333333333329E-2</v>
      </c>
      <c r="K250" s="28">
        <f t="shared" si="87"/>
        <v>2.5694444443312633E-2</v>
      </c>
      <c r="L250" s="30" t="s">
        <v>235</v>
      </c>
    </row>
    <row r="251" spans="1:12" ht="15.6" hidden="1" x14ac:dyDescent="0.3">
      <c r="A251" s="25">
        <v>12</v>
      </c>
      <c r="B251" s="25">
        <v>8176166</v>
      </c>
      <c r="C251" s="26" t="s">
        <v>584</v>
      </c>
      <c r="D251" s="26" t="s">
        <v>195</v>
      </c>
      <c r="E251" s="27" t="s">
        <v>12</v>
      </c>
      <c r="F251" s="25" t="s">
        <v>126</v>
      </c>
      <c r="G251" s="38">
        <v>46250.395833333336</v>
      </c>
      <c r="H251" s="38">
        <v>46250.461111111108</v>
      </c>
      <c r="I251" s="28">
        <f t="shared" si="86"/>
        <v>6.5277777772280388E-2</v>
      </c>
      <c r="J251" s="29">
        <v>6.25E-2</v>
      </c>
      <c r="K251" s="28">
        <f t="shared" si="87"/>
        <v>2.7777777722803876E-3</v>
      </c>
      <c r="L251" s="30" t="s">
        <v>235</v>
      </c>
    </row>
    <row r="252" spans="1:12" ht="15.6" hidden="1" x14ac:dyDescent="0.3">
      <c r="A252" s="25">
        <v>13</v>
      </c>
      <c r="B252" s="25">
        <v>8176393</v>
      </c>
      <c r="C252" s="26" t="s">
        <v>584</v>
      </c>
      <c r="D252" s="26" t="s">
        <v>197</v>
      </c>
      <c r="E252" s="27" t="s">
        <v>30</v>
      </c>
      <c r="F252" s="25" t="s">
        <v>45</v>
      </c>
      <c r="G252" s="38">
        <v>46250.967361111114</v>
      </c>
      <c r="H252" s="38">
        <v>46251.060416666667</v>
      </c>
      <c r="I252" s="28">
        <f t="shared" si="86"/>
        <v>9.3055555553291924E-2</v>
      </c>
      <c r="J252" s="29">
        <v>8.3333333333333329E-2</v>
      </c>
      <c r="K252" s="28">
        <f t="shared" si="87"/>
        <v>9.7222222199585956E-3</v>
      </c>
      <c r="L252" s="30" t="s">
        <v>235</v>
      </c>
    </row>
    <row r="253" spans="1:12" ht="15.6" hidden="1" x14ac:dyDescent="0.3">
      <c r="A253" s="25">
        <v>1</v>
      </c>
      <c r="B253" s="25">
        <v>8177816</v>
      </c>
      <c r="C253" s="26" t="s">
        <v>604</v>
      </c>
      <c r="D253" s="26" t="s">
        <v>291</v>
      </c>
      <c r="E253" s="27" t="s">
        <v>82</v>
      </c>
      <c r="F253" s="25" t="s">
        <v>312</v>
      </c>
      <c r="G253" s="38">
        <v>46251.25</v>
      </c>
      <c r="H253" s="38">
        <v>46251.428472222222</v>
      </c>
      <c r="I253" s="28">
        <f t="shared" ref="I253:I258" si="88">H253-G253</f>
        <v>0.17847222222189885</v>
      </c>
      <c r="J253" s="29">
        <v>8.3333333333333329E-2</v>
      </c>
      <c r="K253" s="28">
        <f t="shared" ref="K253:K258" si="89">I253-J253</f>
        <v>9.5138888888565518E-2</v>
      </c>
      <c r="L253" s="30" t="s">
        <v>235</v>
      </c>
    </row>
    <row r="254" spans="1:12" ht="15.6" hidden="1" x14ac:dyDescent="0.3">
      <c r="A254" s="25">
        <v>1</v>
      </c>
      <c r="B254" s="25">
        <v>8178602</v>
      </c>
      <c r="C254" s="26" t="s">
        <v>604</v>
      </c>
      <c r="D254" s="26" t="s">
        <v>201</v>
      </c>
      <c r="E254" s="27" t="s">
        <v>100</v>
      </c>
      <c r="F254" s="25" t="s">
        <v>96</v>
      </c>
      <c r="G254" s="38">
        <v>46253.043749999997</v>
      </c>
      <c r="H254" s="38">
        <v>46253.159722222219</v>
      </c>
      <c r="I254" s="28">
        <f t="shared" si="88"/>
        <v>0.11597222222189885</v>
      </c>
      <c r="J254" s="29">
        <v>8.3333333333333329E-2</v>
      </c>
      <c r="K254" s="28">
        <f t="shared" si="89"/>
        <v>3.2638888888565518E-2</v>
      </c>
      <c r="L254" s="30" t="s">
        <v>235</v>
      </c>
    </row>
    <row r="255" spans="1:12" ht="15.6" hidden="1" x14ac:dyDescent="0.3">
      <c r="A255" s="25">
        <v>2</v>
      </c>
      <c r="B255" s="25">
        <v>8180058</v>
      </c>
      <c r="C255" s="26" t="s">
        <v>612</v>
      </c>
      <c r="D255" s="26" t="s">
        <v>291</v>
      </c>
      <c r="E255" s="27" t="s">
        <v>25</v>
      </c>
      <c r="F255" s="25" t="s">
        <v>179</v>
      </c>
      <c r="G255" s="38">
        <v>46252.236111111109</v>
      </c>
      <c r="H255" s="38">
        <v>46252.452777777777</v>
      </c>
      <c r="I255" s="28">
        <f t="shared" si="88"/>
        <v>0.21666666666715173</v>
      </c>
      <c r="J255" s="29">
        <v>4.1666666666666664E-2</v>
      </c>
      <c r="K255" s="28">
        <f t="shared" si="89"/>
        <v>0.17500000000048507</v>
      </c>
      <c r="L255" s="30" t="s">
        <v>235</v>
      </c>
    </row>
    <row r="256" spans="1:12" ht="15.6" hidden="1" x14ac:dyDescent="0.3">
      <c r="A256" s="25">
        <v>3</v>
      </c>
      <c r="B256" s="25">
        <v>8180304</v>
      </c>
      <c r="C256" s="26" t="s">
        <v>612</v>
      </c>
      <c r="D256" s="26" t="s">
        <v>215</v>
      </c>
      <c r="E256" s="27" t="s">
        <v>16</v>
      </c>
      <c r="F256" s="25" t="s">
        <v>98</v>
      </c>
      <c r="G256" s="38">
        <v>46252.375</v>
      </c>
      <c r="H256" s="38">
        <v>46252.520138888889</v>
      </c>
      <c r="I256" s="28">
        <f t="shared" si="88"/>
        <v>0.14513888888905058</v>
      </c>
      <c r="J256" s="29">
        <v>8.3333333333333329E-2</v>
      </c>
      <c r="K256" s="28">
        <f t="shared" si="89"/>
        <v>6.1805555555717248E-2</v>
      </c>
      <c r="L256" s="30" t="s">
        <v>235</v>
      </c>
    </row>
    <row r="257" spans="1:12" ht="15.6" hidden="1" x14ac:dyDescent="0.3">
      <c r="A257" s="25">
        <v>4</v>
      </c>
      <c r="B257" s="25">
        <v>8180728</v>
      </c>
      <c r="C257" s="26" t="s">
        <v>612</v>
      </c>
      <c r="D257" s="26" t="s">
        <v>195</v>
      </c>
      <c r="E257" s="27" t="s">
        <v>37</v>
      </c>
      <c r="F257" s="25" t="s">
        <v>126</v>
      </c>
      <c r="G257" s="38">
        <v>46252.395833333336</v>
      </c>
      <c r="H257" s="38">
        <v>46252.496527777781</v>
      </c>
      <c r="I257" s="28">
        <f t="shared" si="88"/>
        <v>0.10069444444525288</v>
      </c>
      <c r="J257" s="29">
        <v>6.25E-2</v>
      </c>
      <c r="K257" s="28">
        <f t="shared" si="89"/>
        <v>3.8194444445252884E-2</v>
      </c>
      <c r="L257" s="30" t="s">
        <v>235</v>
      </c>
    </row>
    <row r="258" spans="1:12" ht="15.6" hidden="1" x14ac:dyDescent="0.3">
      <c r="A258" s="25">
        <v>5</v>
      </c>
      <c r="B258" s="25">
        <v>8182275</v>
      </c>
      <c r="C258" s="26" t="s">
        <v>612</v>
      </c>
      <c r="D258" s="26" t="s">
        <v>194</v>
      </c>
      <c r="E258" s="27" t="s">
        <v>36</v>
      </c>
      <c r="F258" s="25" t="s">
        <v>15</v>
      </c>
      <c r="G258" s="38">
        <v>46253.09097222222</v>
      </c>
      <c r="H258" s="38">
        <v>46253.261111111111</v>
      </c>
      <c r="I258" s="28">
        <f t="shared" si="88"/>
        <v>0.17013888889050577</v>
      </c>
      <c r="J258" s="29">
        <v>6.25E-2</v>
      </c>
      <c r="K258" s="28">
        <f t="shared" si="89"/>
        <v>0.10763888889050577</v>
      </c>
      <c r="L258" s="30" t="s">
        <v>235</v>
      </c>
    </row>
    <row r="259" spans="1:12" ht="15.6" hidden="1" x14ac:dyDescent="0.3">
      <c r="A259" s="25">
        <v>1</v>
      </c>
      <c r="B259" s="25">
        <v>8182722</v>
      </c>
      <c r="C259" s="26" t="s">
        <v>617</v>
      </c>
      <c r="D259" s="26" t="s">
        <v>291</v>
      </c>
      <c r="E259" s="27" t="s">
        <v>82</v>
      </c>
      <c r="F259" s="25" t="s">
        <v>312</v>
      </c>
      <c r="G259" s="38">
        <v>46253.25</v>
      </c>
      <c r="H259" s="38">
        <v>46253.368055555555</v>
      </c>
      <c r="I259" s="28">
        <f t="shared" ref="I259" si="90">H259-G259</f>
        <v>0.11805555555474712</v>
      </c>
      <c r="J259" s="29">
        <v>6.25E-2</v>
      </c>
      <c r="K259" s="28">
        <f t="shared" ref="K259" si="91">I259-J259</f>
        <v>5.5555555554747116E-2</v>
      </c>
      <c r="L259" s="30" t="s">
        <v>235</v>
      </c>
    </row>
    <row r="260" spans="1:12" ht="15.6" hidden="1" x14ac:dyDescent="0.3">
      <c r="A260" s="25">
        <v>1</v>
      </c>
      <c r="B260" s="25">
        <v>8185481</v>
      </c>
      <c r="C260" s="26" t="s">
        <v>630</v>
      </c>
      <c r="D260" s="26" t="s">
        <v>291</v>
      </c>
      <c r="E260" s="27" t="s">
        <v>25</v>
      </c>
      <c r="F260" s="25" t="s">
        <v>179</v>
      </c>
      <c r="G260" s="38">
        <v>46254.270833333336</v>
      </c>
      <c r="H260" s="38">
        <v>46254.376388888886</v>
      </c>
      <c r="I260" s="28">
        <f t="shared" ref="I260:I262" si="92">H260-G260</f>
        <v>0.10555555555038154</v>
      </c>
      <c r="J260" s="29">
        <v>4.1666666666666664E-2</v>
      </c>
      <c r="K260" s="28">
        <f t="shared" ref="K260:K262" si="93">I260-J260</f>
        <v>6.3888888883714884E-2</v>
      </c>
      <c r="L260" s="30" t="s">
        <v>235</v>
      </c>
    </row>
    <row r="261" spans="1:12" ht="15.6" hidden="1" x14ac:dyDescent="0.3">
      <c r="A261" s="25">
        <v>2</v>
      </c>
      <c r="B261" s="25">
        <v>8186987</v>
      </c>
      <c r="C261" s="26" t="s">
        <v>630</v>
      </c>
      <c r="D261" s="26" t="s">
        <v>218</v>
      </c>
      <c r="E261" s="27" t="s">
        <v>86</v>
      </c>
      <c r="F261" s="25" t="s">
        <v>45</v>
      </c>
      <c r="G261" s="38">
        <v>46254.799305555556</v>
      </c>
      <c r="H261" s="38">
        <v>46254.931944444441</v>
      </c>
      <c r="I261" s="28">
        <f t="shared" si="92"/>
        <v>0.132638888884685</v>
      </c>
      <c r="J261" s="29">
        <v>8.3333333333333329E-2</v>
      </c>
      <c r="K261" s="28">
        <f t="shared" si="93"/>
        <v>4.9305555551351674E-2</v>
      </c>
      <c r="L261" s="30" t="s">
        <v>235</v>
      </c>
    </row>
    <row r="262" spans="1:12" ht="15.6" hidden="1" x14ac:dyDescent="0.3">
      <c r="A262" s="25">
        <v>3</v>
      </c>
      <c r="B262" s="25">
        <v>8188027</v>
      </c>
      <c r="C262" s="26" t="s">
        <v>630</v>
      </c>
      <c r="D262" s="26" t="s">
        <v>190</v>
      </c>
      <c r="E262" s="27" t="s">
        <v>171</v>
      </c>
      <c r="F262" s="25" t="s">
        <v>96</v>
      </c>
      <c r="G262" s="38">
        <v>46255.102777777778</v>
      </c>
      <c r="H262" s="38">
        <v>46255.22152777778</v>
      </c>
      <c r="I262" s="28">
        <f t="shared" si="92"/>
        <v>0.11875000000145519</v>
      </c>
      <c r="J262" s="29">
        <v>8.3333333333333329E-2</v>
      </c>
      <c r="K262" s="28">
        <f t="shared" si="93"/>
        <v>3.5416666668121863E-2</v>
      </c>
      <c r="L262" s="30" t="s">
        <v>235</v>
      </c>
    </row>
    <row r="263" spans="1:12" ht="15.6" hidden="1" x14ac:dyDescent="0.3">
      <c r="A263" s="25">
        <v>1</v>
      </c>
      <c r="B263" s="25">
        <v>8188207</v>
      </c>
      <c r="C263" s="26" t="s">
        <v>649</v>
      </c>
      <c r="D263" s="26" t="s">
        <v>291</v>
      </c>
      <c r="E263" s="27" t="s">
        <v>82</v>
      </c>
      <c r="F263" s="25" t="s">
        <v>179</v>
      </c>
      <c r="G263" s="38">
        <v>46255.25</v>
      </c>
      <c r="H263" s="38">
        <v>46255.376388888886</v>
      </c>
      <c r="I263" s="28">
        <f t="shared" ref="I263:I266" si="94">H263-G263</f>
        <v>0.12638888888614019</v>
      </c>
      <c r="J263" s="29">
        <v>4.1666666666666664E-2</v>
      </c>
      <c r="K263" s="28">
        <f t="shared" ref="K263:K266" si="95">I263-J263</f>
        <v>8.4722222219473536E-2</v>
      </c>
      <c r="L263" s="30" t="s">
        <v>235</v>
      </c>
    </row>
    <row r="264" spans="1:12" ht="15.6" hidden="1" x14ac:dyDescent="0.3">
      <c r="A264" s="25">
        <v>2</v>
      </c>
      <c r="B264" s="25">
        <v>8188240</v>
      </c>
      <c r="C264" s="26" t="s">
        <v>649</v>
      </c>
      <c r="D264" s="26" t="s">
        <v>304</v>
      </c>
      <c r="E264" s="27" t="s">
        <v>53</v>
      </c>
      <c r="F264" s="25" t="s">
        <v>229</v>
      </c>
      <c r="G264" s="38">
        <v>46255.371527777781</v>
      </c>
      <c r="H264" s="38">
        <v>46255.472222222219</v>
      </c>
      <c r="I264" s="28">
        <f t="shared" si="94"/>
        <v>0.10069444443797693</v>
      </c>
      <c r="J264" s="29">
        <v>6.25E-2</v>
      </c>
      <c r="K264" s="28">
        <f t="shared" si="95"/>
        <v>3.8194444437976927E-2</v>
      </c>
      <c r="L264" s="30" t="s">
        <v>235</v>
      </c>
    </row>
    <row r="265" spans="1:12" ht="15.6" hidden="1" x14ac:dyDescent="0.3">
      <c r="A265" s="25">
        <v>3</v>
      </c>
      <c r="B265" s="25">
        <v>8189216</v>
      </c>
      <c r="C265" s="26" t="s">
        <v>649</v>
      </c>
      <c r="D265" s="26" t="s">
        <v>218</v>
      </c>
      <c r="E265" s="27" t="s">
        <v>40</v>
      </c>
      <c r="F265" s="25" t="s">
        <v>45</v>
      </c>
      <c r="G265" s="38">
        <v>46255.536805555559</v>
      </c>
      <c r="H265" s="38">
        <v>46255.645833333336</v>
      </c>
      <c r="I265" s="28">
        <f t="shared" si="94"/>
        <v>0.10902777777664596</v>
      </c>
      <c r="J265" s="29">
        <v>8.3333333333333329E-2</v>
      </c>
      <c r="K265" s="28">
        <f t="shared" si="95"/>
        <v>2.5694444443312633E-2</v>
      </c>
      <c r="L265" s="30" t="s">
        <v>235</v>
      </c>
    </row>
    <row r="266" spans="1:12" ht="15.6" hidden="1" x14ac:dyDescent="0.3">
      <c r="A266" s="25">
        <v>4</v>
      </c>
      <c r="B266" s="25">
        <v>8190016</v>
      </c>
      <c r="C266" s="26" t="s">
        <v>649</v>
      </c>
      <c r="D266" s="26" t="s">
        <v>336</v>
      </c>
      <c r="E266" s="27" t="s">
        <v>87</v>
      </c>
      <c r="F266" s="25" t="s">
        <v>174</v>
      </c>
      <c r="G266" s="38">
        <v>46255.746527777781</v>
      </c>
      <c r="H266" s="38">
        <v>46255.836805555555</v>
      </c>
      <c r="I266" s="28">
        <f t="shared" si="94"/>
        <v>9.0277777773735579E-2</v>
      </c>
      <c r="J266" s="29">
        <v>4.1666666666666664E-2</v>
      </c>
      <c r="K266" s="28">
        <f t="shared" si="95"/>
        <v>4.8611111107068915E-2</v>
      </c>
      <c r="L266" s="30" t="s">
        <v>235</v>
      </c>
    </row>
    <row r="267" spans="1:12" ht="15.6" hidden="1" x14ac:dyDescent="0.3">
      <c r="A267" s="25">
        <v>1</v>
      </c>
      <c r="B267" s="25">
        <v>8191174</v>
      </c>
      <c r="C267" s="26" t="s">
        <v>669</v>
      </c>
      <c r="D267" s="26" t="s">
        <v>186</v>
      </c>
      <c r="E267" s="27" t="s">
        <v>97</v>
      </c>
      <c r="F267" s="25" t="s">
        <v>13</v>
      </c>
      <c r="G267" s="38">
        <v>46257.270138888889</v>
      </c>
      <c r="H267" s="38">
        <v>46257.359027777777</v>
      </c>
      <c r="I267" s="28">
        <f t="shared" ref="I267:I273" si="96">H267-G267</f>
        <v>8.8888888887595385E-2</v>
      </c>
      <c r="J267" s="29">
        <v>8.3333333333333329E-2</v>
      </c>
      <c r="K267" s="28">
        <f t="shared" ref="K267:K273" si="97">I267-J267</f>
        <v>5.5555555542620566E-3</v>
      </c>
      <c r="L267" s="30" t="s">
        <v>235</v>
      </c>
    </row>
    <row r="268" spans="1:12" ht="15.6" hidden="1" x14ac:dyDescent="0.3">
      <c r="A268" s="25">
        <v>2</v>
      </c>
      <c r="B268" s="25">
        <v>8191703</v>
      </c>
      <c r="C268" s="26" t="s">
        <v>669</v>
      </c>
      <c r="D268" s="26" t="s">
        <v>195</v>
      </c>
      <c r="E268" s="27" t="s">
        <v>83</v>
      </c>
      <c r="F268" s="25" t="s">
        <v>126</v>
      </c>
      <c r="G268" s="38">
        <v>46256.375</v>
      </c>
      <c r="H268" s="38">
        <v>46256.47152777778</v>
      </c>
      <c r="I268" s="28">
        <f t="shared" si="96"/>
        <v>9.6527777779556345E-2</v>
      </c>
      <c r="J268" s="29">
        <v>6.25E-2</v>
      </c>
      <c r="K268" s="28">
        <f t="shared" si="97"/>
        <v>3.4027777779556345E-2</v>
      </c>
      <c r="L268" s="30" t="s">
        <v>235</v>
      </c>
    </row>
    <row r="269" spans="1:12" ht="15.6" hidden="1" x14ac:dyDescent="0.3">
      <c r="A269" s="25">
        <v>3</v>
      </c>
      <c r="B269" s="25">
        <v>8191961</v>
      </c>
      <c r="C269" s="26" t="s">
        <v>669</v>
      </c>
      <c r="D269" s="26" t="s">
        <v>198</v>
      </c>
      <c r="E269" s="27" t="s">
        <v>48</v>
      </c>
      <c r="F269" s="25" t="s">
        <v>13</v>
      </c>
      <c r="G269" s="38">
        <v>46256.861111111109</v>
      </c>
      <c r="H269" s="38">
        <v>46256.957638888889</v>
      </c>
      <c r="I269" s="28">
        <f t="shared" si="96"/>
        <v>9.6527777779556345E-2</v>
      </c>
      <c r="J269" s="29">
        <v>8.3333333333333329E-2</v>
      </c>
      <c r="K269" s="28">
        <f t="shared" si="97"/>
        <v>1.3194444446223016E-2</v>
      </c>
      <c r="L269" s="30" t="s">
        <v>235</v>
      </c>
    </row>
    <row r="270" spans="1:12" ht="15.6" hidden="1" x14ac:dyDescent="0.3">
      <c r="A270" s="25">
        <v>4</v>
      </c>
      <c r="B270" s="25">
        <v>8192019</v>
      </c>
      <c r="C270" s="26" t="s">
        <v>669</v>
      </c>
      <c r="D270" s="26" t="s">
        <v>218</v>
      </c>
      <c r="E270" s="27" t="s">
        <v>44</v>
      </c>
      <c r="F270" s="25" t="s">
        <v>45</v>
      </c>
      <c r="G270" s="38">
        <v>46256.549305555556</v>
      </c>
      <c r="H270" s="38">
        <v>46256.642361111109</v>
      </c>
      <c r="I270" s="28">
        <f t="shared" si="96"/>
        <v>9.3055555553291924E-2</v>
      </c>
      <c r="J270" s="29">
        <v>8.3333333333333329E-2</v>
      </c>
      <c r="K270" s="28">
        <f t="shared" si="97"/>
        <v>9.7222222199585956E-3</v>
      </c>
      <c r="L270" s="30" t="s">
        <v>235</v>
      </c>
    </row>
    <row r="271" spans="1:12" ht="15.6" hidden="1" x14ac:dyDescent="0.3">
      <c r="A271" s="25">
        <v>5</v>
      </c>
      <c r="B271" s="25">
        <v>8193825</v>
      </c>
      <c r="C271" s="26" t="s">
        <v>672</v>
      </c>
      <c r="D271" s="26" t="s">
        <v>291</v>
      </c>
      <c r="E271" s="27" t="s">
        <v>82</v>
      </c>
      <c r="F271" s="25" t="s">
        <v>312</v>
      </c>
      <c r="G271" s="38">
        <v>46257.25</v>
      </c>
      <c r="H271" s="38">
        <v>46257.376388888886</v>
      </c>
      <c r="I271" s="28">
        <f t="shared" si="96"/>
        <v>0.12638888888614019</v>
      </c>
      <c r="J271" s="29">
        <v>4.1666666666666664E-2</v>
      </c>
      <c r="K271" s="28">
        <f t="shared" si="97"/>
        <v>8.4722222219473536E-2</v>
      </c>
      <c r="L271" s="30" t="s">
        <v>235</v>
      </c>
    </row>
    <row r="272" spans="1:12" ht="15.6" hidden="1" x14ac:dyDescent="0.3">
      <c r="A272" s="25">
        <v>6</v>
      </c>
      <c r="B272" s="25">
        <v>8194034</v>
      </c>
      <c r="C272" s="26" t="s">
        <v>672</v>
      </c>
      <c r="D272" s="26" t="s">
        <v>215</v>
      </c>
      <c r="E272" s="27" t="s">
        <v>29</v>
      </c>
      <c r="F272" s="25" t="s">
        <v>98</v>
      </c>
      <c r="G272" s="38">
        <v>46257.375</v>
      </c>
      <c r="H272" s="38">
        <v>46257.470833333333</v>
      </c>
      <c r="I272" s="28">
        <f t="shared" si="96"/>
        <v>9.5833333332848269E-2</v>
      </c>
      <c r="J272" s="29">
        <v>8.3333333333333329E-2</v>
      </c>
      <c r="K272" s="28">
        <f t="shared" si="97"/>
        <v>1.2499999999514941E-2</v>
      </c>
      <c r="L272" s="30" t="s">
        <v>235</v>
      </c>
    </row>
    <row r="273" spans="1:12" ht="15.6" hidden="1" x14ac:dyDescent="0.3">
      <c r="A273" s="25">
        <v>7</v>
      </c>
      <c r="B273" s="25">
        <v>8194474</v>
      </c>
      <c r="C273" s="26" t="s">
        <v>672</v>
      </c>
      <c r="D273" s="26" t="s">
        <v>195</v>
      </c>
      <c r="E273" s="27" t="s">
        <v>12</v>
      </c>
      <c r="F273" s="25" t="s">
        <v>126</v>
      </c>
      <c r="G273" s="38">
        <v>46257.375</v>
      </c>
      <c r="H273" s="38">
        <v>46257.475694444445</v>
      </c>
      <c r="I273" s="28">
        <f t="shared" si="96"/>
        <v>0.10069444444525288</v>
      </c>
      <c r="J273" s="29">
        <v>6.25E-2</v>
      </c>
      <c r="K273" s="28">
        <f t="shared" si="97"/>
        <v>3.8194444445252884E-2</v>
      </c>
      <c r="L273" s="30" t="s">
        <v>235</v>
      </c>
    </row>
    <row r="274" spans="1:12" ht="15.6" hidden="1" x14ac:dyDescent="0.3">
      <c r="A274" s="25">
        <v>1</v>
      </c>
      <c r="B274" s="25">
        <v>8196464</v>
      </c>
      <c r="C274" s="26" t="s">
        <v>690</v>
      </c>
      <c r="D274" s="26" t="s">
        <v>291</v>
      </c>
      <c r="E274" s="27" t="s">
        <v>691</v>
      </c>
      <c r="F274" s="25" t="s">
        <v>312</v>
      </c>
      <c r="G274" s="38">
        <v>46258.25</v>
      </c>
      <c r="H274" s="38">
        <v>46258.383333333331</v>
      </c>
      <c r="I274" s="28">
        <f t="shared" ref="I274:I278" si="98">H274-G274</f>
        <v>0.13333333333139308</v>
      </c>
      <c r="J274" s="29">
        <v>4.1666666666666664E-2</v>
      </c>
      <c r="K274" s="28">
        <f t="shared" ref="K274:K278" si="99">I274-J274</f>
        <v>9.1666666664726421E-2</v>
      </c>
      <c r="L274" s="30" t="s">
        <v>235</v>
      </c>
    </row>
    <row r="275" spans="1:12" ht="15.6" hidden="1" x14ac:dyDescent="0.3">
      <c r="A275" s="25">
        <v>2</v>
      </c>
      <c r="B275" s="25">
        <v>8197117</v>
      </c>
      <c r="C275" s="26" t="s">
        <v>690</v>
      </c>
      <c r="D275" s="26" t="s">
        <v>195</v>
      </c>
      <c r="E275" s="27" t="s">
        <v>37</v>
      </c>
      <c r="F275" s="25" t="s">
        <v>126</v>
      </c>
      <c r="G275" s="38">
        <v>46258.375</v>
      </c>
      <c r="H275" s="38">
        <v>46258.443749999999</v>
      </c>
      <c r="I275" s="28">
        <f t="shared" si="98"/>
        <v>6.8749999998544808E-2</v>
      </c>
      <c r="J275" s="29">
        <v>6.25E-2</v>
      </c>
      <c r="K275" s="28">
        <f t="shared" si="99"/>
        <v>6.2499999985448085E-3</v>
      </c>
      <c r="L275" s="30" t="s">
        <v>235</v>
      </c>
    </row>
    <row r="276" spans="1:12" ht="15.6" hidden="1" x14ac:dyDescent="0.3">
      <c r="A276" s="25">
        <v>3</v>
      </c>
      <c r="B276" s="25">
        <v>8197130</v>
      </c>
      <c r="C276" s="26" t="s">
        <v>690</v>
      </c>
      <c r="D276" s="26" t="s">
        <v>210</v>
      </c>
      <c r="E276" s="27" t="s">
        <v>39</v>
      </c>
      <c r="F276" s="25" t="s">
        <v>13</v>
      </c>
      <c r="G276" s="38">
        <v>46258.85833333333</v>
      </c>
      <c r="H276" s="38">
        <v>46258.958333333336</v>
      </c>
      <c r="I276" s="28">
        <f t="shared" si="98"/>
        <v>0.10000000000582077</v>
      </c>
      <c r="J276" s="29">
        <v>8.3333333333333329E-2</v>
      </c>
      <c r="K276" s="28">
        <f t="shared" si="99"/>
        <v>1.6666666672487437E-2</v>
      </c>
      <c r="L276" s="30" t="s">
        <v>235</v>
      </c>
    </row>
    <row r="277" spans="1:12" ht="15.6" hidden="1" x14ac:dyDescent="0.3">
      <c r="A277" s="25">
        <v>4</v>
      </c>
      <c r="B277" s="25">
        <v>8197211</v>
      </c>
      <c r="C277" s="26" t="s">
        <v>690</v>
      </c>
      <c r="D277" s="26" t="s">
        <v>311</v>
      </c>
      <c r="E277" s="27" t="s">
        <v>52</v>
      </c>
      <c r="F277" s="25" t="s">
        <v>176</v>
      </c>
      <c r="G277" s="38">
        <v>46258.4375</v>
      </c>
      <c r="H277" s="38">
        <v>46258.5625</v>
      </c>
      <c r="I277" s="28">
        <f t="shared" si="98"/>
        <v>0.125</v>
      </c>
      <c r="J277" s="29">
        <v>4.1666666666666664E-2</v>
      </c>
      <c r="K277" s="28">
        <f t="shared" si="99"/>
        <v>8.3333333333333343E-2</v>
      </c>
      <c r="L277" s="30" t="s">
        <v>235</v>
      </c>
    </row>
    <row r="278" spans="1:12" ht="15.6" hidden="1" x14ac:dyDescent="0.3">
      <c r="A278" s="25">
        <v>5</v>
      </c>
      <c r="B278" s="25">
        <v>8197354</v>
      </c>
      <c r="C278" s="26" t="s">
        <v>690</v>
      </c>
      <c r="D278" s="26" t="s">
        <v>198</v>
      </c>
      <c r="E278" s="27" t="s">
        <v>694</v>
      </c>
      <c r="F278" s="25" t="s">
        <v>13</v>
      </c>
      <c r="G278" s="38">
        <v>46258.85833333333</v>
      </c>
      <c r="H278" s="38">
        <v>46258.958333333336</v>
      </c>
      <c r="I278" s="28">
        <f t="shared" si="98"/>
        <v>0.10000000000582077</v>
      </c>
      <c r="J278" s="29">
        <v>8.3333333333333329E-2</v>
      </c>
      <c r="K278" s="28">
        <f t="shared" si="99"/>
        <v>1.6666666672487437E-2</v>
      </c>
      <c r="L278" s="30" t="s">
        <v>235</v>
      </c>
    </row>
    <row r="279" spans="1:12" ht="15.6" hidden="1" x14ac:dyDescent="0.3">
      <c r="A279" s="25">
        <v>1</v>
      </c>
      <c r="B279" s="25">
        <v>8198950</v>
      </c>
      <c r="C279" s="26" t="s">
        <v>707</v>
      </c>
      <c r="D279" s="26" t="s">
        <v>291</v>
      </c>
      <c r="E279" s="27" t="s">
        <v>82</v>
      </c>
      <c r="F279" s="25" t="s">
        <v>179</v>
      </c>
      <c r="G279" s="38">
        <v>46259.25</v>
      </c>
      <c r="H279" s="38">
        <v>46259.368055555555</v>
      </c>
      <c r="I279" s="28">
        <f t="shared" ref="I279:I282" si="100">H279-G279</f>
        <v>0.11805555555474712</v>
      </c>
      <c r="J279" s="29">
        <v>4.1666666666666664E-2</v>
      </c>
      <c r="K279" s="28">
        <f t="shared" ref="K279:K282" si="101">I279-J279</f>
        <v>7.6388888888080458E-2</v>
      </c>
      <c r="L279" s="30" t="s">
        <v>235</v>
      </c>
    </row>
    <row r="280" spans="1:12" ht="15.6" hidden="1" x14ac:dyDescent="0.3">
      <c r="A280" s="25">
        <v>2</v>
      </c>
      <c r="B280" s="25">
        <v>8199330</v>
      </c>
      <c r="C280" s="26" t="s">
        <v>707</v>
      </c>
      <c r="D280" s="26" t="s">
        <v>228</v>
      </c>
      <c r="E280" s="27" t="s">
        <v>84</v>
      </c>
      <c r="F280" s="25" t="s">
        <v>174</v>
      </c>
      <c r="G280" s="38">
        <v>46259.4375</v>
      </c>
      <c r="H280" s="38">
        <v>46259.533333333333</v>
      </c>
      <c r="I280" s="28">
        <f t="shared" si="100"/>
        <v>9.5833333332848269E-2</v>
      </c>
      <c r="J280" s="29">
        <v>6.25E-2</v>
      </c>
      <c r="K280" s="28">
        <f t="shared" si="101"/>
        <v>3.3333333332848269E-2</v>
      </c>
      <c r="L280" s="30" t="s">
        <v>235</v>
      </c>
    </row>
    <row r="281" spans="1:12" ht="15.6" hidden="1" x14ac:dyDescent="0.3">
      <c r="A281" s="25">
        <v>3</v>
      </c>
      <c r="B281" s="25">
        <v>8199902</v>
      </c>
      <c r="C281" s="26" t="s">
        <v>707</v>
      </c>
      <c r="D281" s="26" t="s">
        <v>198</v>
      </c>
      <c r="E281" s="27" t="s">
        <v>51</v>
      </c>
      <c r="F281" s="25" t="s">
        <v>13</v>
      </c>
      <c r="G281" s="38">
        <v>46259.863194444442</v>
      </c>
      <c r="H281" s="38">
        <v>46259.956250000003</v>
      </c>
      <c r="I281" s="28">
        <f t="shared" si="100"/>
        <v>9.3055555560567882E-2</v>
      </c>
      <c r="J281" s="29">
        <v>8.3333333333333329E-2</v>
      </c>
      <c r="K281" s="28">
        <f t="shared" si="101"/>
        <v>9.7222222272345532E-3</v>
      </c>
      <c r="L281" s="30" t="s">
        <v>235</v>
      </c>
    </row>
    <row r="282" spans="1:12" ht="15.6" hidden="1" x14ac:dyDescent="0.3">
      <c r="A282" s="25">
        <v>4</v>
      </c>
      <c r="B282" s="25">
        <v>8201610</v>
      </c>
      <c r="C282" s="26" t="s">
        <v>707</v>
      </c>
      <c r="D282" s="26" t="s">
        <v>190</v>
      </c>
      <c r="E282" s="27" t="s">
        <v>203</v>
      </c>
      <c r="F282" s="25" t="s">
        <v>96</v>
      </c>
      <c r="G282" s="38">
        <v>46260.097222222219</v>
      </c>
      <c r="H282" s="38">
        <v>46260.194444444445</v>
      </c>
      <c r="I282" s="28">
        <f t="shared" si="100"/>
        <v>9.7222222226264421E-2</v>
      </c>
      <c r="J282" s="29">
        <v>8.3333333333333329E-2</v>
      </c>
      <c r="K282" s="28">
        <f t="shared" si="101"/>
        <v>1.3888888892931092E-2</v>
      </c>
      <c r="L282" s="30" t="s">
        <v>235</v>
      </c>
    </row>
    <row r="283" spans="1:12" ht="15.6" hidden="1" x14ac:dyDescent="0.3">
      <c r="A283" s="25">
        <v>5</v>
      </c>
      <c r="B283" s="25">
        <v>8200857</v>
      </c>
      <c r="C283" s="26" t="s">
        <v>707</v>
      </c>
      <c r="D283" s="26" t="s">
        <v>336</v>
      </c>
      <c r="E283" s="27" t="s">
        <v>87</v>
      </c>
      <c r="F283" s="25" t="s">
        <v>174</v>
      </c>
      <c r="G283" s="38">
        <v>46259.78125</v>
      </c>
      <c r="H283" s="38">
        <v>46259.831944444442</v>
      </c>
      <c r="I283" s="28">
        <f t="shared" ref="I283:I284" si="102">H283-G283</f>
        <v>5.0694444442342501E-2</v>
      </c>
      <c r="J283" s="29">
        <v>4.1666666666666664E-2</v>
      </c>
      <c r="K283" s="28">
        <f t="shared" ref="K283:K284" si="103">I283-J283</f>
        <v>9.0277777756758368E-3</v>
      </c>
      <c r="L283" s="30" t="s">
        <v>235</v>
      </c>
    </row>
    <row r="284" spans="1:12" ht="15.6" hidden="1" x14ac:dyDescent="0.3">
      <c r="A284" s="25">
        <v>6</v>
      </c>
      <c r="B284" s="25">
        <v>8200786</v>
      </c>
      <c r="C284" s="26" t="s">
        <v>707</v>
      </c>
      <c r="D284" s="26" t="s">
        <v>336</v>
      </c>
      <c r="E284" s="27" t="s">
        <v>84</v>
      </c>
      <c r="F284" s="25" t="s">
        <v>174</v>
      </c>
      <c r="G284" s="38">
        <v>46259.763888888891</v>
      </c>
      <c r="H284" s="38">
        <v>46259.816666666666</v>
      </c>
      <c r="I284" s="28">
        <f t="shared" si="102"/>
        <v>5.2777777775190771E-2</v>
      </c>
      <c r="J284" s="29">
        <v>4.1666666666666664E-2</v>
      </c>
      <c r="K284" s="28">
        <f t="shared" si="103"/>
        <v>1.1111111108524106E-2</v>
      </c>
      <c r="L284" s="30" t="s">
        <v>235</v>
      </c>
    </row>
    <row r="285" spans="1:12" ht="15.6" hidden="1" x14ac:dyDescent="0.3">
      <c r="A285" s="25">
        <v>1</v>
      </c>
      <c r="B285" s="25">
        <v>8201777</v>
      </c>
      <c r="C285" s="26" t="s">
        <v>717</v>
      </c>
      <c r="D285" s="26" t="s">
        <v>291</v>
      </c>
      <c r="E285" s="27" t="s">
        <v>25</v>
      </c>
      <c r="F285" s="25" t="s">
        <v>179</v>
      </c>
      <c r="G285" s="38">
        <v>46260.25</v>
      </c>
      <c r="H285" s="38">
        <v>46260.377083333333</v>
      </c>
      <c r="I285" s="28">
        <f t="shared" ref="I285:I308" si="104">H285-G285</f>
        <v>0.12708333333284827</v>
      </c>
      <c r="J285" s="29">
        <v>4.1666666666666664E-2</v>
      </c>
      <c r="K285" s="28">
        <f t="shared" ref="K285:K308" si="105">I285-J285</f>
        <v>8.5416666666181612E-2</v>
      </c>
      <c r="L285" s="30" t="s">
        <v>235</v>
      </c>
    </row>
    <row r="286" spans="1:12" ht="15.6" hidden="1" x14ac:dyDescent="0.3">
      <c r="A286" s="25">
        <v>2</v>
      </c>
      <c r="B286" s="25">
        <v>8202477</v>
      </c>
      <c r="C286" s="26" t="s">
        <v>717</v>
      </c>
      <c r="D286" s="26" t="s">
        <v>195</v>
      </c>
      <c r="E286" s="27" t="s">
        <v>83</v>
      </c>
      <c r="F286" s="25" t="s">
        <v>126</v>
      </c>
      <c r="G286" s="38">
        <v>46260.375</v>
      </c>
      <c r="H286" s="38">
        <v>46260.490277777775</v>
      </c>
      <c r="I286" s="28">
        <f t="shared" si="104"/>
        <v>0.11527777777519077</v>
      </c>
      <c r="J286" s="29">
        <v>6.25E-2</v>
      </c>
      <c r="K286" s="28">
        <f t="shared" si="105"/>
        <v>5.2777777775190771E-2</v>
      </c>
      <c r="L286" s="30" t="s">
        <v>235</v>
      </c>
    </row>
    <row r="287" spans="1:12" ht="15.6" hidden="1" x14ac:dyDescent="0.3">
      <c r="A287" s="25">
        <v>3</v>
      </c>
      <c r="B287" s="25">
        <v>8201878</v>
      </c>
      <c r="C287" s="26" t="s">
        <v>717</v>
      </c>
      <c r="D287" s="26" t="s">
        <v>208</v>
      </c>
      <c r="E287" s="27" t="s">
        <v>90</v>
      </c>
      <c r="F287" s="25" t="s">
        <v>13</v>
      </c>
      <c r="G287" s="38">
        <v>46260.137499999997</v>
      </c>
      <c r="H287" s="38">
        <v>46260.28125</v>
      </c>
      <c r="I287" s="28">
        <f t="shared" si="104"/>
        <v>0.14375000000291038</v>
      </c>
      <c r="J287" s="29">
        <v>4.1666666666666664E-2</v>
      </c>
      <c r="K287" s="28">
        <f t="shared" si="105"/>
        <v>0.10208333333624373</v>
      </c>
      <c r="L287" s="30" t="s">
        <v>235</v>
      </c>
    </row>
    <row r="288" spans="1:12" ht="15.6" hidden="1" x14ac:dyDescent="0.3">
      <c r="A288" s="25">
        <v>4</v>
      </c>
      <c r="B288" s="25">
        <v>8199118</v>
      </c>
      <c r="C288" s="26" t="s">
        <v>707</v>
      </c>
      <c r="D288" s="26" t="s">
        <v>186</v>
      </c>
      <c r="E288" s="27" t="s">
        <v>97</v>
      </c>
      <c r="F288" s="25" t="s">
        <v>13</v>
      </c>
      <c r="G288" s="38">
        <v>46260.28125</v>
      </c>
      <c r="H288" s="38">
        <v>46260.468055555553</v>
      </c>
      <c r="I288" s="28">
        <f t="shared" si="104"/>
        <v>0.18680555555329192</v>
      </c>
      <c r="J288" s="29">
        <v>8.3333333333333329E-2</v>
      </c>
      <c r="K288" s="28">
        <f t="shared" si="105"/>
        <v>0.1034722222199586</v>
      </c>
      <c r="L288" s="30" t="s">
        <v>235</v>
      </c>
    </row>
    <row r="289" spans="1:12" ht="15.6" hidden="1" x14ac:dyDescent="0.3">
      <c r="A289" s="25">
        <v>1</v>
      </c>
      <c r="B289" s="25">
        <v>8204574</v>
      </c>
      <c r="C289" s="26" t="s">
        <v>722</v>
      </c>
      <c r="D289" s="26" t="s">
        <v>291</v>
      </c>
      <c r="E289" s="27" t="s">
        <v>82</v>
      </c>
      <c r="F289" s="25" t="s">
        <v>179</v>
      </c>
      <c r="G289" s="38">
        <v>46261.25</v>
      </c>
      <c r="H289" s="38">
        <v>46261.375</v>
      </c>
      <c r="I289" s="28">
        <f t="shared" si="104"/>
        <v>0.125</v>
      </c>
      <c r="J289" s="29">
        <v>6.25E-2</v>
      </c>
      <c r="K289" s="28">
        <f t="shared" si="105"/>
        <v>6.25E-2</v>
      </c>
      <c r="L289" s="30" t="s">
        <v>235</v>
      </c>
    </row>
    <row r="290" spans="1:12" ht="15.6" hidden="1" x14ac:dyDescent="0.3">
      <c r="A290" s="25">
        <v>2</v>
      </c>
      <c r="B290" s="25">
        <v>8204825</v>
      </c>
      <c r="C290" s="26" t="s">
        <v>722</v>
      </c>
      <c r="D290" s="26" t="s">
        <v>215</v>
      </c>
      <c r="E290" s="27" t="s">
        <v>29</v>
      </c>
      <c r="F290" s="25" t="s">
        <v>98</v>
      </c>
      <c r="G290" s="38">
        <v>46261.375</v>
      </c>
      <c r="H290" s="38">
        <v>46261.472222222219</v>
      </c>
      <c r="I290" s="28">
        <f t="shared" si="104"/>
        <v>9.7222222218988463E-2</v>
      </c>
      <c r="J290" s="29">
        <v>8.3333333333333329E-2</v>
      </c>
      <c r="K290" s="28">
        <f t="shared" si="105"/>
        <v>1.3888888885655135E-2</v>
      </c>
      <c r="L290" s="30" t="s">
        <v>235</v>
      </c>
    </row>
    <row r="291" spans="1:12" ht="15.6" hidden="1" x14ac:dyDescent="0.3">
      <c r="A291" s="25">
        <v>3</v>
      </c>
      <c r="B291" s="25">
        <v>8205288</v>
      </c>
      <c r="C291" s="26" t="s">
        <v>722</v>
      </c>
      <c r="D291" s="26" t="s">
        <v>195</v>
      </c>
      <c r="E291" s="27" t="s">
        <v>12</v>
      </c>
      <c r="F291" s="25" t="s">
        <v>126</v>
      </c>
      <c r="G291" s="38">
        <v>46261.375</v>
      </c>
      <c r="H291" s="38">
        <v>46261.454861111109</v>
      </c>
      <c r="I291" s="28">
        <f t="shared" si="104"/>
        <v>7.9861111109494232E-2</v>
      </c>
      <c r="J291" s="29">
        <v>6.25E-2</v>
      </c>
      <c r="K291" s="28">
        <f t="shared" si="105"/>
        <v>1.7361111109494232E-2</v>
      </c>
      <c r="L291" s="30" t="s">
        <v>235</v>
      </c>
    </row>
    <row r="292" spans="1:12" ht="15.6" hidden="1" x14ac:dyDescent="0.3">
      <c r="A292" s="25">
        <v>4</v>
      </c>
      <c r="B292" s="25">
        <v>8205574</v>
      </c>
      <c r="C292" s="26" t="s">
        <v>722</v>
      </c>
      <c r="D292" s="26" t="s">
        <v>198</v>
      </c>
      <c r="E292" s="27" t="s">
        <v>51</v>
      </c>
      <c r="F292" s="25" t="s">
        <v>13</v>
      </c>
      <c r="G292" s="38">
        <v>46261.865277777775</v>
      </c>
      <c r="H292" s="38">
        <v>46261.970833333333</v>
      </c>
      <c r="I292" s="28">
        <f t="shared" si="104"/>
        <v>0.1055555555576575</v>
      </c>
      <c r="J292" s="29">
        <v>8.3333333333333329E-2</v>
      </c>
      <c r="K292" s="28">
        <f t="shared" si="105"/>
        <v>2.222222222432417E-2</v>
      </c>
      <c r="L292" s="30" t="s">
        <v>235</v>
      </c>
    </row>
    <row r="293" spans="1:12" ht="15.6" hidden="1" x14ac:dyDescent="0.3">
      <c r="A293" s="25">
        <v>1</v>
      </c>
      <c r="B293" s="25">
        <v>8202739</v>
      </c>
      <c r="C293" s="26" t="s">
        <v>717</v>
      </c>
      <c r="D293" s="26" t="s">
        <v>201</v>
      </c>
      <c r="E293" s="27" t="s">
        <v>171</v>
      </c>
      <c r="F293" s="25" t="s">
        <v>96</v>
      </c>
      <c r="G293" s="38">
        <v>46262.05</v>
      </c>
      <c r="H293" s="38">
        <v>46262.166666666664</v>
      </c>
      <c r="I293" s="28">
        <f t="shared" si="104"/>
        <v>0.11666666666133096</v>
      </c>
      <c r="J293" s="29">
        <v>8.3333333333333329E-2</v>
      </c>
      <c r="K293" s="28">
        <f t="shared" si="105"/>
        <v>3.3333333327997636E-2</v>
      </c>
      <c r="L293" s="30" t="s">
        <v>235</v>
      </c>
    </row>
    <row r="294" spans="1:12" ht="15.6" hidden="1" x14ac:dyDescent="0.3">
      <c r="A294" s="25">
        <v>2</v>
      </c>
      <c r="B294" s="25">
        <v>8207467</v>
      </c>
      <c r="C294" s="26" t="s">
        <v>732</v>
      </c>
      <c r="D294" s="26" t="s">
        <v>291</v>
      </c>
      <c r="E294" s="27" t="s">
        <v>25</v>
      </c>
      <c r="F294" s="25" t="s">
        <v>179</v>
      </c>
      <c r="G294" s="38">
        <v>46262.25</v>
      </c>
      <c r="H294" s="38">
        <v>46262.368055555555</v>
      </c>
      <c r="I294" s="28">
        <f t="shared" si="104"/>
        <v>0.11805555555474712</v>
      </c>
      <c r="J294" s="29">
        <v>4.1666666666666664E-2</v>
      </c>
      <c r="K294" s="28">
        <f t="shared" si="105"/>
        <v>7.6388888888080458E-2</v>
      </c>
      <c r="L294" s="30" t="s">
        <v>235</v>
      </c>
    </row>
    <row r="295" spans="1:12" ht="15.6" hidden="1" x14ac:dyDescent="0.3">
      <c r="A295" s="25">
        <v>3</v>
      </c>
      <c r="B295" s="25">
        <v>8207600</v>
      </c>
      <c r="C295" s="26" t="s">
        <v>732</v>
      </c>
      <c r="D295" s="26" t="s">
        <v>186</v>
      </c>
      <c r="E295" s="27" t="s">
        <v>97</v>
      </c>
      <c r="F295" s="25" t="s">
        <v>13</v>
      </c>
      <c r="G295" s="38">
        <v>46263.230555555558</v>
      </c>
      <c r="H295" s="38">
        <v>46263.363888888889</v>
      </c>
      <c r="I295" s="28">
        <f t="shared" si="104"/>
        <v>0.13333333333139308</v>
      </c>
      <c r="J295" s="29">
        <v>8.3333333333333329E-2</v>
      </c>
      <c r="K295" s="28">
        <f t="shared" si="105"/>
        <v>4.9999999998059749E-2</v>
      </c>
      <c r="L295" s="30" t="s">
        <v>235</v>
      </c>
    </row>
    <row r="296" spans="1:12" ht="15.6" hidden="1" x14ac:dyDescent="0.3">
      <c r="A296" s="25">
        <v>4</v>
      </c>
      <c r="B296" s="25">
        <v>8207799</v>
      </c>
      <c r="C296" s="26" t="s">
        <v>732</v>
      </c>
      <c r="D296" s="26" t="s">
        <v>188</v>
      </c>
      <c r="E296" s="27" t="s">
        <v>82</v>
      </c>
      <c r="F296" s="25" t="s">
        <v>13</v>
      </c>
      <c r="G296" s="38">
        <v>46262.551388888889</v>
      </c>
      <c r="H296" s="38">
        <v>46262.691666666666</v>
      </c>
      <c r="I296" s="28">
        <f t="shared" si="104"/>
        <v>0.14027777777664596</v>
      </c>
      <c r="J296" s="29">
        <v>8.3333333333333329E-2</v>
      </c>
      <c r="K296" s="28">
        <f t="shared" si="105"/>
        <v>5.6944444443312633E-2</v>
      </c>
      <c r="L296" s="30" t="s">
        <v>235</v>
      </c>
    </row>
    <row r="297" spans="1:12" ht="15.6" hidden="1" x14ac:dyDescent="0.3">
      <c r="A297" s="25">
        <v>5</v>
      </c>
      <c r="B297" s="25">
        <v>8208102</v>
      </c>
      <c r="C297" s="26" t="s">
        <v>732</v>
      </c>
      <c r="D297" s="26" t="s">
        <v>195</v>
      </c>
      <c r="E297" s="27" t="s">
        <v>37</v>
      </c>
      <c r="F297" s="25" t="s">
        <v>204</v>
      </c>
      <c r="G297" s="38">
        <v>46262.375</v>
      </c>
      <c r="H297" s="38">
        <v>46262.454861111109</v>
      </c>
      <c r="I297" s="28">
        <f t="shared" si="104"/>
        <v>7.9861111109494232E-2</v>
      </c>
      <c r="J297" s="29">
        <v>6.25E-2</v>
      </c>
      <c r="K297" s="28">
        <f t="shared" si="105"/>
        <v>1.7361111109494232E-2</v>
      </c>
      <c r="L297" s="30" t="s">
        <v>235</v>
      </c>
    </row>
    <row r="298" spans="1:12" ht="15.6" hidden="1" x14ac:dyDescent="0.3">
      <c r="A298" s="25">
        <v>6</v>
      </c>
      <c r="B298" s="25">
        <v>8210316</v>
      </c>
      <c r="C298" s="26" t="s">
        <v>736</v>
      </c>
      <c r="D298" s="26" t="s">
        <v>228</v>
      </c>
      <c r="E298" s="27" t="s">
        <v>84</v>
      </c>
      <c r="F298" s="25" t="s">
        <v>174</v>
      </c>
      <c r="G298" s="38">
        <v>46263.375</v>
      </c>
      <c r="H298" s="38">
        <v>46263.458333333336</v>
      </c>
      <c r="I298" s="28">
        <f t="shared" si="104"/>
        <v>8.3333333335758653E-2</v>
      </c>
      <c r="J298" s="29">
        <v>6.25E-2</v>
      </c>
      <c r="K298" s="28">
        <f t="shared" si="105"/>
        <v>2.0833333335758653E-2</v>
      </c>
      <c r="L298" s="30" t="s">
        <v>235</v>
      </c>
    </row>
    <row r="299" spans="1:12" ht="15.6" hidden="1" x14ac:dyDescent="0.3">
      <c r="A299" s="25">
        <v>7</v>
      </c>
      <c r="B299" s="25">
        <v>8210405</v>
      </c>
      <c r="C299" s="26" t="s">
        <v>736</v>
      </c>
      <c r="D299" s="26" t="s">
        <v>215</v>
      </c>
      <c r="E299" s="27" t="s">
        <v>29</v>
      </c>
      <c r="F299" s="25" t="s">
        <v>98</v>
      </c>
      <c r="G299" s="38">
        <v>46263.375</v>
      </c>
      <c r="H299" s="38">
        <v>46263.495833333334</v>
      </c>
      <c r="I299" s="28">
        <f t="shared" si="104"/>
        <v>0.12083333333430346</v>
      </c>
      <c r="J299" s="29">
        <v>8.3333333333333329E-2</v>
      </c>
      <c r="K299" s="28">
        <f t="shared" si="105"/>
        <v>3.7500000000970132E-2</v>
      </c>
      <c r="L299" s="30" t="s">
        <v>235</v>
      </c>
    </row>
    <row r="300" spans="1:12" ht="15.6" hidden="1" x14ac:dyDescent="0.3">
      <c r="A300" s="25">
        <v>8</v>
      </c>
      <c r="B300" s="25">
        <v>8210609</v>
      </c>
      <c r="C300" s="26" t="s">
        <v>736</v>
      </c>
      <c r="D300" s="26" t="s">
        <v>193</v>
      </c>
      <c r="E300" s="27" t="s">
        <v>30</v>
      </c>
      <c r="F300" s="25" t="s">
        <v>13</v>
      </c>
      <c r="G300" s="38">
        <v>46263.832638888889</v>
      </c>
      <c r="H300" s="38">
        <v>46263.930555555555</v>
      </c>
      <c r="I300" s="28">
        <f t="shared" si="104"/>
        <v>9.7916666665696539E-2</v>
      </c>
      <c r="J300" s="29">
        <v>8.3333333333333329E-2</v>
      </c>
      <c r="K300" s="28">
        <f t="shared" si="105"/>
        <v>1.458333333236321E-2</v>
      </c>
      <c r="L300" s="30" t="s">
        <v>235</v>
      </c>
    </row>
    <row r="301" spans="1:12" ht="15.6" hidden="1" x14ac:dyDescent="0.3">
      <c r="A301" s="25">
        <v>9</v>
      </c>
      <c r="B301" s="25">
        <v>8210856</v>
      </c>
      <c r="C301" s="26" t="s">
        <v>736</v>
      </c>
      <c r="D301" s="26" t="s">
        <v>195</v>
      </c>
      <c r="E301" s="27" t="s">
        <v>12</v>
      </c>
      <c r="F301" s="25" t="s">
        <v>204</v>
      </c>
      <c r="G301" s="38">
        <v>46263.375</v>
      </c>
      <c r="H301" s="38">
        <v>46263.455555555556</v>
      </c>
      <c r="I301" s="28">
        <f t="shared" si="104"/>
        <v>8.0555555556202307E-2</v>
      </c>
      <c r="J301" s="29">
        <v>6.25E-2</v>
      </c>
      <c r="K301" s="28">
        <f t="shared" si="105"/>
        <v>1.8055555556202307E-2</v>
      </c>
      <c r="L301" s="30" t="s">
        <v>235</v>
      </c>
    </row>
    <row r="302" spans="1:12" ht="15.6" hidden="1" x14ac:dyDescent="0.3">
      <c r="A302" s="25">
        <v>10</v>
      </c>
      <c r="B302" s="25">
        <v>8211097</v>
      </c>
      <c r="C302" s="26" t="s">
        <v>736</v>
      </c>
      <c r="D302" s="26" t="s">
        <v>197</v>
      </c>
      <c r="E302" s="27" t="s">
        <v>50</v>
      </c>
      <c r="F302" s="25" t="s">
        <v>45</v>
      </c>
      <c r="G302" s="38">
        <v>46263.9</v>
      </c>
      <c r="H302" s="38">
        <v>46263.999305555553</v>
      </c>
      <c r="I302" s="28">
        <f t="shared" si="104"/>
        <v>9.9305555551836733E-2</v>
      </c>
      <c r="J302" s="29">
        <v>8.3333333333333329E-2</v>
      </c>
      <c r="K302" s="28">
        <f t="shared" si="105"/>
        <v>1.5972222218503404E-2</v>
      </c>
      <c r="L302" s="30" t="s">
        <v>235</v>
      </c>
    </row>
    <row r="303" spans="1:12" ht="15.6" hidden="1" x14ac:dyDescent="0.3">
      <c r="A303" s="25">
        <v>11</v>
      </c>
      <c r="B303" s="25">
        <v>8211124</v>
      </c>
      <c r="C303" s="26" t="s">
        <v>736</v>
      </c>
      <c r="D303" s="26" t="s">
        <v>198</v>
      </c>
      <c r="E303" s="27" t="s">
        <v>51</v>
      </c>
      <c r="F303" s="25" t="s">
        <v>13</v>
      </c>
      <c r="G303" s="38">
        <v>46263.861805555556</v>
      </c>
      <c r="H303" s="38">
        <v>46263.954861111109</v>
      </c>
      <c r="I303" s="28">
        <f t="shared" si="104"/>
        <v>9.3055555553291924E-2</v>
      </c>
      <c r="J303" s="29">
        <v>8.3333333333333329E-2</v>
      </c>
      <c r="K303" s="28">
        <f t="shared" si="105"/>
        <v>9.7222222199585956E-3</v>
      </c>
      <c r="L303" s="30" t="s">
        <v>235</v>
      </c>
    </row>
    <row r="304" spans="1:12" ht="15.6" hidden="1" x14ac:dyDescent="0.3">
      <c r="A304" s="25">
        <v>12</v>
      </c>
      <c r="B304" s="25">
        <v>8212964</v>
      </c>
      <c r="C304" s="26" t="s">
        <v>737</v>
      </c>
      <c r="D304" s="26" t="s">
        <v>291</v>
      </c>
      <c r="E304" s="27" t="s">
        <v>25</v>
      </c>
      <c r="F304" s="25" t="s">
        <v>179</v>
      </c>
      <c r="G304" s="38">
        <v>46264.25</v>
      </c>
      <c r="H304" s="38">
        <v>46264.422222222223</v>
      </c>
      <c r="I304" s="28">
        <f t="shared" si="104"/>
        <v>0.17222222222335404</v>
      </c>
      <c r="J304" s="29">
        <v>4.1666666666666664E-2</v>
      </c>
      <c r="K304" s="28">
        <f t="shared" si="105"/>
        <v>0.13055555555668738</v>
      </c>
      <c r="L304" s="30" t="s">
        <v>235</v>
      </c>
    </row>
    <row r="305" spans="1:12" ht="15.6" hidden="1" x14ac:dyDescent="0.3">
      <c r="A305" s="25">
        <v>13</v>
      </c>
      <c r="B305" s="25">
        <v>8213264</v>
      </c>
      <c r="C305" s="26" t="s">
        <v>737</v>
      </c>
      <c r="D305" s="26" t="s">
        <v>188</v>
      </c>
      <c r="E305" s="27" t="s">
        <v>82</v>
      </c>
      <c r="F305" s="25" t="s">
        <v>13</v>
      </c>
      <c r="G305" s="38">
        <v>46264.541666666664</v>
      </c>
      <c r="H305" s="38">
        <v>46264.666666666664</v>
      </c>
      <c r="I305" s="28">
        <f t="shared" si="104"/>
        <v>0.125</v>
      </c>
      <c r="J305" s="29">
        <v>8.3333333333333329E-2</v>
      </c>
      <c r="K305" s="28">
        <f t="shared" si="105"/>
        <v>4.1666666666666671E-2</v>
      </c>
      <c r="L305" s="30" t="s">
        <v>235</v>
      </c>
    </row>
    <row r="306" spans="1:12" ht="15.6" hidden="1" x14ac:dyDescent="0.3">
      <c r="A306" s="25">
        <v>14</v>
      </c>
      <c r="B306" s="25">
        <v>8213712</v>
      </c>
      <c r="C306" s="26" t="s">
        <v>737</v>
      </c>
      <c r="D306" s="26" t="s">
        <v>311</v>
      </c>
      <c r="E306" s="27" t="s">
        <v>56</v>
      </c>
      <c r="F306" s="25" t="s">
        <v>205</v>
      </c>
      <c r="G306" s="38">
        <v>46264.498611111114</v>
      </c>
      <c r="H306" s="38">
        <v>46264.604166666664</v>
      </c>
      <c r="I306" s="28">
        <f t="shared" si="104"/>
        <v>0.10555555555038154</v>
      </c>
      <c r="J306" s="29">
        <v>4.1666666666666664E-2</v>
      </c>
      <c r="K306" s="28">
        <f t="shared" si="105"/>
        <v>6.3888888883714884E-2</v>
      </c>
      <c r="L306" s="30" t="s">
        <v>235</v>
      </c>
    </row>
    <row r="307" spans="1:12" ht="15.6" hidden="1" x14ac:dyDescent="0.3">
      <c r="A307" s="25">
        <v>15</v>
      </c>
      <c r="B307" s="25">
        <v>8214926</v>
      </c>
      <c r="C307" s="26" t="s">
        <v>737</v>
      </c>
      <c r="D307" s="26" t="s">
        <v>207</v>
      </c>
      <c r="E307" s="27" t="s">
        <v>53</v>
      </c>
      <c r="F307" s="25" t="s">
        <v>229</v>
      </c>
      <c r="G307" s="38">
        <v>46264.854166666664</v>
      </c>
      <c r="H307" s="38">
        <v>46265.416666666664</v>
      </c>
      <c r="I307" s="28">
        <f t="shared" si="104"/>
        <v>0.5625</v>
      </c>
      <c r="J307" s="29">
        <v>8.3333333333333329E-2</v>
      </c>
      <c r="K307" s="28">
        <f t="shared" si="105"/>
        <v>0.47916666666666669</v>
      </c>
      <c r="L307" s="30" t="s">
        <v>235</v>
      </c>
    </row>
    <row r="308" spans="1:12" ht="15.6" hidden="1" x14ac:dyDescent="0.3">
      <c r="A308" s="25">
        <v>16</v>
      </c>
      <c r="B308" s="25">
        <v>8204941</v>
      </c>
      <c r="C308" s="26" t="s">
        <v>722</v>
      </c>
      <c r="D308" s="26" t="s">
        <v>188</v>
      </c>
      <c r="E308" s="27" t="s">
        <v>25</v>
      </c>
      <c r="F308" s="25" t="s">
        <v>13</v>
      </c>
      <c r="G308" s="38">
        <v>46261.553472222222</v>
      </c>
      <c r="H308" s="38">
        <v>46261.659722222219</v>
      </c>
      <c r="I308" s="28">
        <f t="shared" si="104"/>
        <v>0.10624999999708962</v>
      </c>
      <c r="J308" s="29">
        <v>8.3333333333333329E-2</v>
      </c>
      <c r="K308" s="28">
        <f t="shared" si="105"/>
        <v>2.2916666663756288E-2</v>
      </c>
      <c r="L308" s="30" t="s">
        <v>235</v>
      </c>
    </row>
    <row r="309" spans="1:12" ht="15.6" x14ac:dyDescent="0.3">
      <c r="A309" s="25">
        <v>1</v>
      </c>
      <c r="B309" s="25">
        <v>8215620</v>
      </c>
      <c r="C309" s="26" t="s">
        <v>756</v>
      </c>
      <c r="D309" s="26" t="s">
        <v>291</v>
      </c>
      <c r="E309" s="27" t="s">
        <v>82</v>
      </c>
      <c r="F309" s="25" t="s">
        <v>179</v>
      </c>
      <c r="G309" s="38">
        <v>46265.25</v>
      </c>
      <c r="H309" s="38">
        <v>46265.375</v>
      </c>
      <c r="I309" s="28">
        <f t="shared" ref="I309:I314" si="106">H309-G309</f>
        <v>0.125</v>
      </c>
      <c r="J309" s="29">
        <v>4.1666666666666664E-2</v>
      </c>
      <c r="K309" s="28">
        <f t="shared" ref="K309:K314" si="107">I309-J309</f>
        <v>8.3333333333333343E-2</v>
      </c>
      <c r="L309" s="30" t="s">
        <v>235</v>
      </c>
    </row>
    <row r="310" spans="1:12" ht="15.6" x14ac:dyDescent="0.3">
      <c r="A310" s="25">
        <v>2</v>
      </c>
      <c r="B310" s="25">
        <v>8215936</v>
      </c>
      <c r="C310" s="26" t="s">
        <v>756</v>
      </c>
      <c r="D310" s="26" t="s">
        <v>188</v>
      </c>
      <c r="E310" s="27" t="s">
        <v>25</v>
      </c>
      <c r="F310" s="25" t="s">
        <v>13</v>
      </c>
      <c r="G310" s="38">
        <v>46265.532638888886</v>
      </c>
      <c r="H310" s="38">
        <v>46265.70416666667</v>
      </c>
      <c r="I310" s="28">
        <f t="shared" si="106"/>
        <v>0.17152777778392192</v>
      </c>
      <c r="J310" s="29">
        <v>8.3333333333333329E-2</v>
      </c>
      <c r="K310" s="28">
        <f t="shared" si="107"/>
        <v>8.8194444450588591E-2</v>
      </c>
      <c r="L310" s="30" t="s">
        <v>235</v>
      </c>
    </row>
    <row r="311" spans="1:12" ht="15.6" x14ac:dyDescent="0.3">
      <c r="A311" s="25">
        <v>3</v>
      </c>
      <c r="B311" s="25">
        <v>8216304</v>
      </c>
      <c r="C311" s="26" t="s">
        <v>756</v>
      </c>
      <c r="D311" s="26" t="s">
        <v>195</v>
      </c>
      <c r="E311" s="27" t="s">
        <v>83</v>
      </c>
      <c r="F311" s="25" t="s">
        <v>204</v>
      </c>
      <c r="G311" s="38">
        <v>46265.375</v>
      </c>
      <c r="H311" s="38">
        <v>46265.534722222219</v>
      </c>
      <c r="I311" s="28">
        <f t="shared" si="106"/>
        <v>0.15972222221898846</v>
      </c>
      <c r="J311" s="29">
        <v>6.25E-2</v>
      </c>
      <c r="K311" s="28">
        <f t="shared" si="107"/>
        <v>9.7222222218988463E-2</v>
      </c>
      <c r="L311" s="30" t="s">
        <v>235</v>
      </c>
    </row>
    <row r="312" spans="1:12" ht="15.6" x14ac:dyDescent="0.3">
      <c r="A312" s="25">
        <v>4</v>
      </c>
      <c r="B312" s="25">
        <v>8216547</v>
      </c>
      <c r="C312" s="26" t="s">
        <v>756</v>
      </c>
      <c r="D312" s="26" t="s">
        <v>198</v>
      </c>
      <c r="E312" s="27" t="s">
        <v>51</v>
      </c>
      <c r="F312" s="25" t="s">
        <v>13</v>
      </c>
      <c r="G312" s="38">
        <v>46265.853472222225</v>
      </c>
      <c r="H312" s="38">
        <v>46265.999305555553</v>
      </c>
      <c r="I312" s="28">
        <f t="shared" si="106"/>
        <v>0.14583333332848269</v>
      </c>
      <c r="J312" s="29">
        <v>8.3333333333333329E-2</v>
      </c>
      <c r="K312" s="28">
        <f t="shared" si="107"/>
        <v>6.2499999995149366E-2</v>
      </c>
      <c r="L312" s="30" t="s">
        <v>235</v>
      </c>
    </row>
    <row r="313" spans="1:12" ht="15.6" x14ac:dyDescent="0.3">
      <c r="A313" s="25">
        <v>5</v>
      </c>
      <c r="B313" s="25">
        <v>8217397</v>
      </c>
      <c r="C313" s="26" t="s">
        <v>756</v>
      </c>
      <c r="D313" s="26" t="s">
        <v>336</v>
      </c>
      <c r="E313" s="27" t="s">
        <v>84</v>
      </c>
      <c r="F313" s="25" t="s">
        <v>174</v>
      </c>
      <c r="G313" s="38">
        <v>46265.76458333333</v>
      </c>
      <c r="H313" s="38">
        <v>46265.816666666666</v>
      </c>
      <c r="I313" s="28">
        <f t="shared" si="106"/>
        <v>5.2083333335758653E-2</v>
      </c>
      <c r="J313" s="29">
        <v>4.1666666666666664E-2</v>
      </c>
      <c r="K313" s="28">
        <f t="shared" si="107"/>
        <v>1.0416666669091988E-2</v>
      </c>
      <c r="L313" s="30" t="s">
        <v>235</v>
      </c>
    </row>
    <row r="314" spans="1:12" ht="15.6" x14ac:dyDescent="0.3">
      <c r="A314" s="25">
        <v>6</v>
      </c>
      <c r="B314" s="25">
        <v>8218177</v>
      </c>
      <c r="C314" s="26" t="s">
        <v>756</v>
      </c>
      <c r="D314" s="26" t="s">
        <v>190</v>
      </c>
      <c r="E314" s="27" t="s">
        <v>757</v>
      </c>
      <c r="F314" s="25" t="s">
        <v>96</v>
      </c>
      <c r="G314" s="38">
        <v>46266.095833333333</v>
      </c>
      <c r="H314" s="38">
        <v>46266.244444444441</v>
      </c>
      <c r="I314" s="28">
        <f t="shared" si="106"/>
        <v>0.14861111110803904</v>
      </c>
      <c r="J314" s="29">
        <v>8.3333333333333329E-2</v>
      </c>
      <c r="K314" s="28">
        <f t="shared" si="107"/>
        <v>6.5277777774705711E-2</v>
      </c>
      <c r="L314" s="30" t="s">
        <v>235</v>
      </c>
    </row>
  </sheetData>
  <autoFilter ref="A1:N1" xr:uid="{00000000-0001-0000-0400-000000000000}"/>
  <conditionalFormatting sqref="B1 B289:B1048576">
    <cfRule type="duplicateValues" dxfId="3214" priority="185298"/>
    <cfRule type="duplicateValues" dxfId="3213" priority="185299"/>
    <cfRule type="duplicateValues" dxfId="3212" priority="185300"/>
  </conditionalFormatting>
  <conditionalFormatting sqref="B1">
    <cfRule type="duplicateValues" dxfId="3211" priority="4781"/>
    <cfRule type="duplicateValues" dxfId="3210" priority="4782"/>
    <cfRule type="duplicateValues" dxfId="3209" priority="4783"/>
    <cfRule type="duplicateValues" dxfId="3208" priority="4784"/>
    <cfRule type="duplicateValues" dxfId="3207" priority="4785"/>
    <cfRule type="duplicateValues" dxfId="3206" priority="4786"/>
    <cfRule type="duplicateValues" dxfId="3205" priority="4787"/>
    <cfRule type="duplicateValues" dxfId="3204" priority="4788"/>
    <cfRule type="duplicateValues" dxfId="3203" priority="4789"/>
    <cfRule type="duplicateValues" dxfId="3202" priority="84980"/>
  </conditionalFormatting>
  <conditionalFormatting sqref="B1:B1048576">
    <cfRule type="duplicateValues" dxfId="3201" priority="185278"/>
    <cfRule type="duplicateValues" dxfId="3200" priority="185279"/>
    <cfRule type="duplicateValues" dxfId="3199" priority="185280"/>
    <cfRule type="duplicateValues" dxfId="3198" priority="185281"/>
    <cfRule type="duplicateValues" dxfId="3197" priority="185282"/>
  </conditionalFormatting>
  <conditionalFormatting sqref="B2:B8">
    <cfRule type="duplicateValues" dxfId="3196" priority="3277"/>
    <cfRule type="duplicateValues" dxfId="3195" priority="3278"/>
    <cfRule type="duplicateValues" dxfId="3194" priority="3279"/>
    <cfRule type="duplicateValues" dxfId="3193" priority="3280"/>
    <cfRule type="duplicateValues" dxfId="3192" priority="3281"/>
    <cfRule type="duplicateValues" dxfId="3191" priority="3282"/>
    <cfRule type="duplicateValues" dxfId="3190" priority="3283"/>
    <cfRule type="duplicateValues" dxfId="3189" priority="3284"/>
    <cfRule type="duplicateValues" dxfId="3188" priority="3285"/>
    <cfRule type="duplicateValues" dxfId="3187" priority="3286"/>
    <cfRule type="duplicateValues" dxfId="3186" priority="3287"/>
    <cfRule type="duplicateValues" dxfId="3185" priority="3288"/>
    <cfRule type="duplicateValues" dxfId="3184" priority="3289"/>
    <cfRule type="duplicateValues" dxfId="3183" priority="3290"/>
    <cfRule type="duplicateValues" dxfId="3182" priority="3291"/>
    <cfRule type="duplicateValues" dxfId="3181" priority="3292"/>
    <cfRule type="duplicateValues" dxfId="3180" priority="3293"/>
    <cfRule type="duplicateValues" dxfId="3179" priority="3294"/>
    <cfRule type="duplicateValues" dxfId="3178" priority="3295"/>
    <cfRule type="duplicateValues" dxfId="3177" priority="3296"/>
    <cfRule type="duplicateValues" dxfId="3176" priority="3297"/>
    <cfRule type="duplicateValues" dxfId="3175" priority="3298"/>
    <cfRule type="duplicateValues" dxfId="3174" priority="3299"/>
    <cfRule type="duplicateValues" dxfId="3173" priority="3300"/>
    <cfRule type="duplicateValues" dxfId="3172" priority="3301"/>
    <cfRule type="duplicateValues" dxfId="3171" priority="3302"/>
    <cfRule type="duplicateValues" dxfId="3170" priority="3303"/>
    <cfRule type="duplicateValues" dxfId="3169" priority="3304"/>
    <cfRule type="duplicateValues" dxfId="3168" priority="3305"/>
    <cfRule type="duplicateValues" dxfId="3167" priority="3306"/>
    <cfRule type="duplicateValues" dxfId="3166" priority="3307"/>
    <cfRule type="duplicateValues" dxfId="3165" priority="3308"/>
    <cfRule type="duplicateValues" dxfId="3164" priority="3309"/>
    <cfRule type="duplicateValues" dxfId="3163" priority="3310"/>
    <cfRule type="duplicateValues" dxfId="3162" priority="3311"/>
    <cfRule type="duplicateValues" dxfId="3161" priority="3312"/>
    <cfRule type="duplicateValues" dxfId="3160" priority="3313"/>
    <cfRule type="duplicateValues" dxfId="3159" priority="3314"/>
    <cfRule type="duplicateValues" dxfId="3158" priority="3315"/>
  </conditionalFormatting>
  <conditionalFormatting sqref="B2:B245">
    <cfRule type="duplicateValues" dxfId="3157" priority="137800"/>
    <cfRule type="duplicateValues" dxfId="3156" priority="137801"/>
    <cfRule type="duplicateValues" dxfId="3155" priority="137802"/>
    <cfRule type="duplicateValues" dxfId="3154" priority="137803"/>
    <cfRule type="duplicateValues" dxfId="3153" priority="137804"/>
    <cfRule type="duplicateValues" dxfId="3152" priority="137805"/>
    <cfRule type="duplicateValues" dxfId="3151" priority="137806"/>
    <cfRule type="duplicateValues" dxfId="3150" priority="137807"/>
    <cfRule type="duplicateValues" dxfId="3149" priority="137808"/>
    <cfRule type="duplicateValues" dxfId="3148" priority="137809"/>
    <cfRule type="duplicateValues" dxfId="3147" priority="137810"/>
    <cfRule type="duplicateValues" dxfId="3146" priority="137811"/>
    <cfRule type="duplicateValues" dxfId="3145" priority="137812"/>
    <cfRule type="duplicateValues" dxfId="3144" priority="137813"/>
    <cfRule type="duplicateValues" dxfId="3143" priority="137814"/>
    <cfRule type="duplicateValues" dxfId="3142" priority="137815"/>
    <cfRule type="duplicateValues" dxfId="3141" priority="137816"/>
    <cfRule type="duplicateValues" dxfId="3140" priority="137817"/>
    <cfRule type="duplicateValues" dxfId="3139" priority="137818"/>
    <cfRule type="duplicateValues" dxfId="3138" priority="137819"/>
    <cfRule type="duplicateValues" dxfId="3137" priority="137820"/>
    <cfRule type="duplicateValues" dxfId="3136" priority="137821"/>
    <cfRule type="duplicateValues" dxfId="3135" priority="137822"/>
    <cfRule type="duplicateValues" dxfId="3134" priority="137823"/>
    <cfRule type="duplicateValues" dxfId="3133" priority="137824"/>
    <cfRule type="duplicateValues" dxfId="3132" priority="137825"/>
    <cfRule type="duplicateValues" dxfId="3131" priority="137826"/>
    <cfRule type="duplicateValues" dxfId="3130" priority="137827"/>
    <cfRule type="duplicateValues" dxfId="3129" priority="137828"/>
    <cfRule type="duplicateValues" dxfId="3128" priority="137829"/>
    <cfRule type="duplicateValues" dxfId="3127" priority="137830"/>
    <cfRule type="duplicateValues" dxfId="3126" priority="137831"/>
    <cfRule type="duplicateValues" dxfId="3125" priority="137832"/>
    <cfRule type="duplicateValues" dxfId="3124" priority="137833"/>
    <cfRule type="duplicateValues" dxfId="3123" priority="164009"/>
    <cfRule type="duplicateValues" dxfId="3122" priority="164010"/>
    <cfRule type="duplicateValues" dxfId="3121" priority="164011"/>
    <cfRule type="duplicateValues" dxfId="3120" priority="164012"/>
    <cfRule type="duplicateValues" dxfId="3119" priority="164013"/>
    <cfRule type="duplicateValues" dxfId="3118" priority="164014"/>
    <cfRule type="duplicateValues" dxfId="3117" priority="164015"/>
    <cfRule type="duplicateValues" dxfId="3116" priority="164016"/>
    <cfRule type="duplicateValues" dxfId="3115" priority="164017"/>
    <cfRule type="duplicateValues" dxfId="3114" priority="164018"/>
    <cfRule type="duplicateValues" dxfId="3113" priority="164019"/>
    <cfRule type="duplicateValues" dxfId="3112" priority="164020"/>
    <cfRule type="duplicateValues" dxfId="3111" priority="164021"/>
    <cfRule type="duplicateValues" dxfId="3110" priority="164022"/>
    <cfRule type="duplicateValues" dxfId="3109" priority="164023"/>
    <cfRule type="duplicateValues" dxfId="3108" priority="164024"/>
    <cfRule type="duplicateValues" dxfId="3107" priority="164025"/>
    <cfRule type="duplicateValues" dxfId="3106" priority="164026"/>
    <cfRule type="duplicateValues" dxfId="3105" priority="164027"/>
    <cfRule type="duplicateValues" dxfId="3104" priority="164028"/>
    <cfRule type="duplicateValues" dxfId="3103" priority="164029"/>
    <cfRule type="duplicateValues" dxfId="3102" priority="164030"/>
    <cfRule type="duplicateValues" dxfId="3101" priority="164031"/>
    <cfRule type="duplicateValues" dxfId="3100" priority="164032"/>
    <cfRule type="duplicateValues" dxfId="3099" priority="164033"/>
    <cfRule type="duplicateValues" dxfId="3098" priority="164034"/>
    <cfRule type="duplicateValues" dxfId="3097" priority="164035"/>
    <cfRule type="duplicateValues" dxfId="3096" priority="164036"/>
    <cfRule type="duplicateValues" dxfId="3095" priority="164037"/>
    <cfRule type="duplicateValues" dxfId="3094" priority="164038"/>
    <cfRule type="duplicateValues" dxfId="3093" priority="164039"/>
    <cfRule type="duplicateValues" dxfId="3092" priority="164040"/>
    <cfRule type="duplicateValues" dxfId="3091" priority="164041"/>
    <cfRule type="duplicateValues" dxfId="3090" priority="164042"/>
    <cfRule type="duplicateValues" dxfId="3089" priority="164043"/>
    <cfRule type="duplicateValues" dxfId="3088" priority="164044"/>
    <cfRule type="duplicateValues" dxfId="3087" priority="164045"/>
    <cfRule type="duplicateValues" dxfId="3086" priority="164046"/>
    <cfRule type="duplicateValues" dxfId="3085" priority="164047"/>
    <cfRule type="duplicateValues" dxfId="3084" priority="164048"/>
    <cfRule type="duplicateValues" dxfId="3083" priority="164049"/>
    <cfRule type="duplicateValues" dxfId="3082" priority="164050"/>
    <cfRule type="duplicateValues" dxfId="3081" priority="167278"/>
    <cfRule type="duplicateValues" dxfId="3080" priority="167279"/>
    <cfRule type="duplicateValues" dxfId="3079" priority="167280"/>
    <cfRule type="duplicateValues" dxfId="3078" priority="167281"/>
    <cfRule type="duplicateValues" dxfId="3077" priority="167282"/>
    <cfRule type="duplicateValues" dxfId="3076" priority="167283"/>
    <cfRule type="duplicateValues" dxfId="3075" priority="167284"/>
    <cfRule type="duplicateValues" dxfId="3074" priority="167285"/>
    <cfRule type="duplicateValues" dxfId="3073" priority="167286"/>
    <cfRule type="duplicateValues" dxfId="3072" priority="167287"/>
    <cfRule type="duplicateValues" dxfId="3071" priority="167288"/>
    <cfRule type="duplicateValues" dxfId="3070" priority="167289"/>
    <cfRule type="duplicateValues" dxfId="3069" priority="167290"/>
    <cfRule type="duplicateValues" dxfId="3068" priority="167291"/>
    <cfRule type="duplicateValues" dxfId="3067" priority="167292"/>
    <cfRule type="duplicateValues" dxfId="3066" priority="167293"/>
    <cfRule type="duplicateValues" dxfId="3065" priority="167294"/>
    <cfRule type="duplicateValues" dxfId="3064" priority="167295"/>
    <cfRule type="duplicateValues" dxfId="3063" priority="167296"/>
    <cfRule type="duplicateValues" dxfId="3062" priority="167297"/>
    <cfRule type="duplicateValues" dxfId="3061" priority="167298"/>
    <cfRule type="duplicateValues" dxfId="3060" priority="167299"/>
    <cfRule type="duplicateValues" dxfId="3059" priority="167300"/>
    <cfRule type="duplicateValues" dxfId="3058" priority="167301"/>
    <cfRule type="duplicateValues" dxfId="3057" priority="167302"/>
    <cfRule type="duplicateValues" dxfId="3056" priority="167303"/>
    <cfRule type="duplicateValues" dxfId="3055" priority="167304"/>
    <cfRule type="duplicateValues" dxfId="3054" priority="167305"/>
    <cfRule type="duplicateValues" dxfId="3053" priority="167306"/>
    <cfRule type="duplicateValues" dxfId="3052" priority="167307"/>
    <cfRule type="duplicateValues" dxfId="3051" priority="167308"/>
    <cfRule type="duplicateValues" dxfId="3050" priority="167309"/>
    <cfRule type="duplicateValues" dxfId="3049" priority="167310"/>
    <cfRule type="duplicateValues" dxfId="3048" priority="167311"/>
    <cfRule type="duplicateValues" dxfId="3047" priority="167312"/>
    <cfRule type="duplicateValues" dxfId="3046" priority="167313"/>
    <cfRule type="duplicateValues" dxfId="3045" priority="167314"/>
    <cfRule type="duplicateValues" dxfId="3044" priority="167315"/>
    <cfRule type="duplicateValues" dxfId="3043" priority="167316"/>
    <cfRule type="duplicateValues" dxfId="3042" priority="167317"/>
    <cfRule type="duplicateValues" dxfId="3041" priority="167318"/>
    <cfRule type="duplicateValues" dxfId="3040" priority="167319"/>
  </conditionalFormatting>
  <conditionalFormatting sqref="B9:B314">
    <cfRule type="duplicateValues" dxfId="3039" priority="191562"/>
    <cfRule type="duplicateValues" dxfId="3038" priority="191563"/>
    <cfRule type="duplicateValues" dxfId="3037" priority="191564"/>
    <cfRule type="duplicateValues" dxfId="3036" priority="191565"/>
    <cfRule type="duplicateValues" dxfId="3035" priority="191566"/>
    <cfRule type="duplicateValues" dxfId="3034" priority="191567"/>
    <cfRule type="duplicateValues" dxfId="3033" priority="191568"/>
    <cfRule type="duplicateValues" dxfId="3032" priority="191569"/>
    <cfRule type="duplicateValues" dxfId="3031" priority="191570"/>
    <cfRule type="duplicateValues" dxfId="3030" priority="191571"/>
    <cfRule type="duplicateValues" dxfId="3029" priority="191572"/>
    <cfRule type="duplicateValues" dxfId="3028" priority="191573"/>
    <cfRule type="duplicateValues" dxfId="3027" priority="191574"/>
    <cfRule type="duplicateValues" dxfId="3026" priority="191575"/>
    <cfRule type="duplicateValues" dxfId="3025" priority="191576"/>
    <cfRule type="duplicateValues" dxfId="3024" priority="191577"/>
    <cfRule type="duplicateValues" dxfId="3023" priority="191578"/>
    <cfRule type="duplicateValues" dxfId="3022" priority="191579"/>
    <cfRule type="duplicateValues" dxfId="3021" priority="191580"/>
    <cfRule type="duplicateValues" dxfId="3020" priority="191581"/>
    <cfRule type="duplicateValues" dxfId="3019" priority="191582"/>
    <cfRule type="duplicateValues" dxfId="3018" priority="191583"/>
    <cfRule type="duplicateValues" dxfId="3017" priority="191584"/>
    <cfRule type="duplicateValues" dxfId="3016" priority="191585"/>
    <cfRule type="duplicateValues" dxfId="3015" priority="191586"/>
    <cfRule type="duplicateValues" dxfId="3014" priority="191587"/>
    <cfRule type="duplicateValues" dxfId="3013" priority="191588"/>
    <cfRule type="duplicateValues" dxfId="3012" priority="191589"/>
    <cfRule type="duplicateValues" dxfId="3011" priority="191590"/>
    <cfRule type="duplicateValues" dxfId="3010" priority="191591"/>
    <cfRule type="duplicateValues" dxfId="3009" priority="191592"/>
    <cfRule type="duplicateValues" dxfId="3008" priority="191593"/>
    <cfRule type="duplicateValues" dxfId="3007" priority="191594"/>
    <cfRule type="duplicateValues" dxfId="3006" priority="191595"/>
    <cfRule type="duplicateValues" dxfId="3005" priority="191596"/>
    <cfRule type="duplicateValues" dxfId="3004" priority="191597"/>
    <cfRule type="duplicateValues" dxfId="3003" priority="191598"/>
    <cfRule type="duplicateValues" dxfId="3002" priority="191599"/>
    <cfRule type="duplicateValues" dxfId="3001" priority="191600"/>
  </conditionalFormatting>
  <conditionalFormatting sqref="B17:B314">
    <cfRule type="duplicateValues" dxfId="3000" priority="191601"/>
    <cfRule type="duplicateValues" dxfId="2999" priority="191602"/>
    <cfRule type="duplicateValues" dxfId="2998" priority="191603"/>
    <cfRule type="duplicateValues" dxfId="2997" priority="191604"/>
    <cfRule type="duplicateValues" dxfId="2996" priority="191605"/>
    <cfRule type="duplicateValues" dxfId="2995" priority="191606"/>
    <cfRule type="duplicateValues" dxfId="2994" priority="191607"/>
    <cfRule type="duplicateValues" dxfId="2993" priority="191608"/>
    <cfRule type="duplicateValues" dxfId="2992" priority="191609"/>
    <cfRule type="duplicateValues" dxfId="2991" priority="191610"/>
    <cfRule type="duplicateValues" dxfId="2990" priority="191611"/>
    <cfRule type="duplicateValues" dxfId="2989" priority="191612"/>
    <cfRule type="duplicateValues" dxfId="2988" priority="191613"/>
    <cfRule type="duplicateValues" dxfId="2987" priority="191614"/>
    <cfRule type="duplicateValues" dxfId="2986" priority="191615"/>
    <cfRule type="duplicateValues" dxfId="2985" priority="191616"/>
    <cfRule type="duplicateValues" dxfId="2984" priority="191617"/>
    <cfRule type="duplicateValues" dxfId="2983" priority="191618"/>
    <cfRule type="duplicateValues" dxfId="2982" priority="191619"/>
    <cfRule type="duplicateValues" dxfId="2981" priority="191620"/>
    <cfRule type="duplicateValues" dxfId="2980" priority="191621"/>
    <cfRule type="duplicateValues" dxfId="2979" priority="191622"/>
    <cfRule type="duplicateValues" dxfId="2978" priority="191623"/>
    <cfRule type="duplicateValues" dxfId="2977" priority="191624"/>
    <cfRule type="duplicateValues" dxfId="2976" priority="191625"/>
    <cfRule type="duplicateValues" dxfId="2975" priority="191626"/>
    <cfRule type="duplicateValues" dxfId="2974" priority="191627"/>
    <cfRule type="duplicateValues" dxfId="2973" priority="191628"/>
    <cfRule type="duplicateValues" dxfId="2972" priority="191629"/>
    <cfRule type="duplicateValues" dxfId="2971" priority="191630"/>
    <cfRule type="duplicateValues" dxfId="2970" priority="191631"/>
    <cfRule type="duplicateValues" dxfId="2969" priority="191632"/>
    <cfRule type="duplicateValues" dxfId="2968" priority="191633"/>
    <cfRule type="duplicateValues" dxfId="2967" priority="191634"/>
    <cfRule type="duplicateValues" dxfId="2966" priority="191635"/>
    <cfRule type="duplicateValues" dxfId="2965" priority="191636"/>
    <cfRule type="duplicateValues" dxfId="2964" priority="191637"/>
    <cfRule type="duplicateValues" dxfId="2963" priority="191638"/>
    <cfRule type="duplicateValues" dxfId="2962" priority="191639"/>
  </conditionalFormatting>
  <conditionalFormatting sqref="B40">
    <cfRule type="duplicateValues" dxfId="2961" priority="2887"/>
    <cfRule type="duplicateValues" dxfId="2960" priority="2888"/>
    <cfRule type="duplicateValues" dxfId="2959" priority="2889"/>
    <cfRule type="duplicateValues" dxfId="2958" priority="2890"/>
    <cfRule type="duplicateValues" dxfId="2957" priority="2891"/>
    <cfRule type="duplicateValues" dxfId="2956" priority="2892"/>
    <cfRule type="duplicateValues" dxfId="2955" priority="2893"/>
    <cfRule type="duplicateValues" dxfId="2954" priority="2894"/>
    <cfRule type="duplicateValues" dxfId="2953" priority="2895"/>
    <cfRule type="duplicateValues" dxfId="2952" priority="2896"/>
    <cfRule type="duplicateValues" dxfId="2951" priority="2897"/>
    <cfRule type="duplicateValues" dxfId="2950" priority="2898"/>
    <cfRule type="duplicateValues" dxfId="2949" priority="2899"/>
    <cfRule type="duplicateValues" dxfId="2948" priority="2900"/>
    <cfRule type="duplicateValues" dxfId="2947" priority="2901"/>
    <cfRule type="duplicateValues" dxfId="2946" priority="2902"/>
    <cfRule type="duplicateValues" dxfId="2945" priority="2903"/>
    <cfRule type="duplicateValues" dxfId="2944" priority="2904"/>
    <cfRule type="duplicateValues" dxfId="2943" priority="2905"/>
    <cfRule type="duplicateValues" dxfId="2942" priority="2906"/>
    <cfRule type="duplicateValues" dxfId="2941" priority="2907"/>
    <cfRule type="duplicateValues" dxfId="2940" priority="2908"/>
    <cfRule type="duplicateValues" dxfId="2939" priority="2909"/>
    <cfRule type="duplicateValues" dxfId="2938" priority="2910"/>
    <cfRule type="duplicateValues" dxfId="2937" priority="2911"/>
    <cfRule type="duplicateValues" dxfId="2936" priority="2912"/>
    <cfRule type="duplicateValues" dxfId="2935" priority="2913"/>
    <cfRule type="duplicateValues" dxfId="2934" priority="2914"/>
    <cfRule type="duplicateValues" dxfId="2933" priority="2915"/>
    <cfRule type="duplicateValues" dxfId="2932" priority="2916"/>
    <cfRule type="duplicateValues" dxfId="2931" priority="2917"/>
    <cfRule type="duplicateValues" dxfId="2930" priority="2918"/>
    <cfRule type="duplicateValues" dxfId="2929" priority="2919"/>
    <cfRule type="duplicateValues" dxfId="2928" priority="2920"/>
    <cfRule type="duplicateValues" dxfId="2927" priority="2921"/>
    <cfRule type="duplicateValues" dxfId="2926" priority="2922"/>
    <cfRule type="duplicateValues" dxfId="2925" priority="2923"/>
    <cfRule type="duplicateValues" dxfId="2924" priority="2924"/>
    <cfRule type="duplicateValues" dxfId="2923" priority="2925"/>
  </conditionalFormatting>
  <conditionalFormatting sqref="B41">
    <cfRule type="duplicateValues" dxfId="2922" priority="2926"/>
    <cfRule type="duplicateValues" dxfId="2921" priority="2927"/>
    <cfRule type="duplicateValues" dxfId="2920" priority="2928"/>
    <cfRule type="duplicateValues" dxfId="2919" priority="2929"/>
    <cfRule type="duplicateValues" dxfId="2918" priority="2930"/>
    <cfRule type="duplicateValues" dxfId="2917" priority="2931"/>
    <cfRule type="duplicateValues" dxfId="2916" priority="2932"/>
    <cfRule type="duplicateValues" dxfId="2915" priority="2933"/>
    <cfRule type="duplicateValues" dxfId="2914" priority="2934"/>
    <cfRule type="duplicateValues" dxfId="2913" priority="2935"/>
    <cfRule type="duplicateValues" dxfId="2912" priority="2936"/>
    <cfRule type="duplicateValues" dxfId="2911" priority="2937"/>
    <cfRule type="duplicateValues" dxfId="2910" priority="2938"/>
    <cfRule type="duplicateValues" dxfId="2909" priority="2939"/>
    <cfRule type="duplicateValues" dxfId="2908" priority="2940"/>
    <cfRule type="duplicateValues" dxfId="2907" priority="2941"/>
    <cfRule type="duplicateValues" dxfId="2906" priority="2942"/>
    <cfRule type="duplicateValues" dxfId="2905" priority="2943"/>
    <cfRule type="duplicateValues" dxfId="2904" priority="2944"/>
    <cfRule type="duplicateValues" dxfId="2903" priority="2945"/>
    <cfRule type="duplicateValues" dxfId="2902" priority="2946"/>
    <cfRule type="duplicateValues" dxfId="2901" priority="2947"/>
    <cfRule type="duplicateValues" dxfId="2900" priority="2948"/>
    <cfRule type="duplicateValues" dxfId="2899" priority="2949"/>
    <cfRule type="duplicateValues" dxfId="2898" priority="2950"/>
    <cfRule type="duplicateValues" dxfId="2897" priority="2951"/>
    <cfRule type="duplicateValues" dxfId="2896" priority="2952"/>
    <cfRule type="duplicateValues" dxfId="2895" priority="2953"/>
    <cfRule type="duplicateValues" dxfId="2894" priority="2954"/>
    <cfRule type="duplicateValues" dxfId="2893" priority="2955"/>
    <cfRule type="duplicateValues" dxfId="2892" priority="2956"/>
    <cfRule type="duplicateValues" dxfId="2891" priority="2957"/>
    <cfRule type="duplicateValues" dxfId="2890" priority="2958"/>
    <cfRule type="duplicateValues" dxfId="2889" priority="2959"/>
    <cfRule type="duplicateValues" dxfId="2888" priority="2960"/>
    <cfRule type="duplicateValues" dxfId="2887" priority="2961"/>
    <cfRule type="duplicateValues" dxfId="2886" priority="2962"/>
    <cfRule type="duplicateValues" dxfId="2885" priority="2963"/>
    <cfRule type="duplicateValues" dxfId="2884" priority="2964"/>
  </conditionalFormatting>
  <conditionalFormatting sqref="B42:B314">
    <cfRule type="duplicateValues" dxfId="2883" priority="191640"/>
    <cfRule type="duplicateValues" dxfId="2882" priority="191641"/>
    <cfRule type="duplicateValues" dxfId="2881" priority="191642"/>
    <cfRule type="duplicateValues" dxfId="2880" priority="191643"/>
    <cfRule type="duplicateValues" dxfId="2879" priority="191644"/>
    <cfRule type="duplicateValues" dxfId="2878" priority="191645"/>
    <cfRule type="duplicateValues" dxfId="2877" priority="191646"/>
    <cfRule type="duplicateValues" dxfId="2876" priority="191647"/>
    <cfRule type="duplicateValues" dxfId="2875" priority="191648"/>
    <cfRule type="duplicateValues" dxfId="2874" priority="191649"/>
    <cfRule type="duplicateValues" dxfId="2873" priority="191650"/>
    <cfRule type="duplicateValues" dxfId="2872" priority="191651"/>
    <cfRule type="duplicateValues" dxfId="2871" priority="191652"/>
    <cfRule type="duplicateValues" dxfId="2870" priority="191653"/>
    <cfRule type="duplicateValues" dxfId="2869" priority="191654"/>
    <cfRule type="duplicateValues" dxfId="2868" priority="191655"/>
    <cfRule type="duplicateValues" dxfId="2867" priority="191656"/>
    <cfRule type="duplicateValues" dxfId="2866" priority="191657"/>
    <cfRule type="duplicateValues" dxfId="2865" priority="191658"/>
    <cfRule type="duplicateValues" dxfId="2864" priority="191659"/>
    <cfRule type="duplicateValues" dxfId="2863" priority="191660"/>
    <cfRule type="duplicateValues" dxfId="2862" priority="191661"/>
    <cfRule type="duplicateValues" dxfId="2861" priority="191662"/>
    <cfRule type="duplicateValues" dxfId="2860" priority="191663"/>
    <cfRule type="duplicateValues" dxfId="2859" priority="191664"/>
    <cfRule type="duplicateValues" dxfId="2858" priority="191665"/>
    <cfRule type="duplicateValues" dxfId="2857" priority="191666"/>
    <cfRule type="duplicateValues" dxfId="2856" priority="191667"/>
    <cfRule type="duplicateValues" dxfId="2855" priority="191668"/>
    <cfRule type="duplicateValues" dxfId="2854" priority="191669"/>
    <cfRule type="duplicateValues" dxfId="2853" priority="191670"/>
    <cfRule type="duplicateValues" dxfId="2852" priority="191671"/>
    <cfRule type="duplicateValues" dxfId="2851" priority="191672"/>
    <cfRule type="duplicateValues" dxfId="2850" priority="191673"/>
    <cfRule type="duplicateValues" dxfId="2849" priority="191674"/>
    <cfRule type="duplicateValues" dxfId="2848" priority="191675"/>
    <cfRule type="duplicateValues" dxfId="2847" priority="191676"/>
    <cfRule type="duplicateValues" dxfId="2846" priority="191677"/>
    <cfRule type="duplicateValues" dxfId="2845" priority="191678"/>
  </conditionalFormatting>
  <conditionalFormatting sqref="B47:B314">
    <cfRule type="duplicateValues" dxfId="2844" priority="191679"/>
    <cfRule type="duplicateValues" dxfId="2843" priority="191680"/>
    <cfRule type="duplicateValues" dxfId="2842" priority="191681"/>
    <cfRule type="duplicateValues" dxfId="2841" priority="191682"/>
    <cfRule type="duplicateValues" dxfId="2840" priority="191683"/>
    <cfRule type="duplicateValues" dxfId="2839" priority="191684"/>
    <cfRule type="duplicateValues" dxfId="2838" priority="191685"/>
    <cfRule type="duplicateValues" dxfId="2837" priority="191686"/>
    <cfRule type="duplicateValues" dxfId="2836" priority="191687"/>
    <cfRule type="duplicateValues" dxfId="2835" priority="191688"/>
    <cfRule type="duplicateValues" dxfId="2834" priority="191689"/>
    <cfRule type="duplicateValues" dxfId="2833" priority="191690"/>
    <cfRule type="duplicateValues" dxfId="2832" priority="191691"/>
    <cfRule type="duplicateValues" dxfId="2831" priority="191692"/>
    <cfRule type="duplicateValues" dxfId="2830" priority="191693"/>
    <cfRule type="duplicateValues" dxfId="2829" priority="191694"/>
    <cfRule type="duplicateValues" dxfId="2828" priority="191695"/>
    <cfRule type="duplicateValues" dxfId="2827" priority="191696"/>
    <cfRule type="duplicateValues" dxfId="2826" priority="191697"/>
    <cfRule type="duplicateValues" dxfId="2825" priority="191698"/>
    <cfRule type="duplicateValues" dxfId="2824" priority="191699"/>
    <cfRule type="duplicateValues" dxfId="2823" priority="191700"/>
    <cfRule type="duplicateValues" dxfId="2822" priority="191701"/>
    <cfRule type="duplicateValues" dxfId="2821" priority="191702"/>
    <cfRule type="duplicateValues" dxfId="2820" priority="191703"/>
    <cfRule type="duplicateValues" dxfId="2819" priority="191704"/>
    <cfRule type="duplicateValues" dxfId="2818" priority="191705"/>
    <cfRule type="duplicateValues" dxfId="2817" priority="191706"/>
    <cfRule type="duplicateValues" dxfId="2816" priority="191707"/>
    <cfRule type="duplicateValues" dxfId="2815" priority="191708"/>
    <cfRule type="duplicateValues" dxfId="2814" priority="191709"/>
    <cfRule type="duplicateValues" dxfId="2813" priority="191710"/>
    <cfRule type="duplicateValues" dxfId="2812" priority="191711"/>
    <cfRule type="duplicateValues" dxfId="2811" priority="191712"/>
    <cfRule type="duplicateValues" dxfId="2810" priority="191713"/>
    <cfRule type="duplicateValues" dxfId="2809" priority="191714"/>
    <cfRule type="duplicateValues" dxfId="2808" priority="191715"/>
    <cfRule type="duplicateValues" dxfId="2807" priority="191716"/>
    <cfRule type="duplicateValues" dxfId="2806" priority="191717"/>
  </conditionalFormatting>
  <conditionalFormatting sqref="B52:B314">
    <cfRule type="duplicateValues" dxfId="2805" priority="191718"/>
    <cfRule type="duplicateValues" dxfId="2804" priority="191719"/>
    <cfRule type="duplicateValues" dxfId="2803" priority="191720"/>
    <cfRule type="duplicateValues" dxfId="2802" priority="191721"/>
    <cfRule type="duplicateValues" dxfId="2801" priority="191722"/>
    <cfRule type="duplicateValues" dxfId="2800" priority="191723"/>
    <cfRule type="duplicateValues" dxfId="2799" priority="191724"/>
    <cfRule type="duplicateValues" dxfId="2798" priority="191725"/>
    <cfRule type="duplicateValues" dxfId="2797" priority="191726"/>
    <cfRule type="duplicateValues" dxfId="2796" priority="191727"/>
    <cfRule type="duplicateValues" dxfId="2795" priority="191728"/>
    <cfRule type="duplicateValues" dxfId="2794" priority="191729"/>
    <cfRule type="duplicateValues" dxfId="2793" priority="191730"/>
    <cfRule type="duplicateValues" dxfId="2792" priority="191731"/>
    <cfRule type="duplicateValues" dxfId="2791" priority="191732"/>
    <cfRule type="duplicateValues" dxfId="2790" priority="191733"/>
    <cfRule type="duplicateValues" dxfId="2789" priority="191734"/>
    <cfRule type="duplicateValues" dxfId="2788" priority="191735"/>
    <cfRule type="duplicateValues" dxfId="2787" priority="191736"/>
    <cfRule type="duplicateValues" dxfId="2786" priority="191737"/>
    <cfRule type="duplicateValues" dxfId="2785" priority="191738"/>
    <cfRule type="duplicateValues" dxfId="2784" priority="191739"/>
    <cfRule type="duplicateValues" dxfId="2783" priority="191740"/>
    <cfRule type="duplicateValues" dxfId="2782" priority="191741"/>
    <cfRule type="duplicateValues" dxfId="2781" priority="191742"/>
    <cfRule type="duplicateValues" dxfId="2780" priority="191743"/>
    <cfRule type="duplicateValues" dxfId="2779" priority="191744"/>
    <cfRule type="duplicateValues" dxfId="2778" priority="191745"/>
    <cfRule type="duplicateValues" dxfId="2777" priority="191746"/>
    <cfRule type="duplicateValues" dxfId="2776" priority="191747"/>
    <cfRule type="duplicateValues" dxfId="2775" priority="191748"/>
    <cfRule type="duplicateValues" dxfId="2774" priority="191749"/>
    <cfRule type="duplicateValues" dxfId="2773" priority="191750"/>
    <cfRule type="duplicateValues" dxfId="2772" priority="191751"/>
    <cfRule type="duplicateValues" dxfId="2771" priority="191752"/>
    <cfRule type="duplicateValues" dxfId="2770" priority="191753"/>
    <cfRule type="duplicateValues" dxfId="2769" priority="191754"/>
    <cfRule type="duplicateValues" dxfId="2768" priority="191755"/>
    <cfRule type="duplicateValues" dxfId="2767" priority="191756"/>
  </conditionalFormatting>
  <conditionalFormatting sqref="B55">
    <cfRule type="duplicateValues" dxfId="2766" priority="2770"/>
    <cfRule type="duplicateValues" dxfId="2765" priority="2771"/>
    <cfRule type="duplicateValues" dxfId="2764" priority="2772"/>
    <cfRule type="duplicateValues" dxfId="2763" priority="2773"/>
    <cfRule type="duplicateValues" dxfId="2762" priority="2774"/>
    <cfRule type="duplicateValues" dxfId="2761" priority="2775"/>
    <cfRule type="duplicateValues" dxfId="2760" priority="2776"/>
    <cfRule type="duplicateValues" dxfId="2759" priority="2777"/>
    <cfRule type="duplicateValues" dxfId="2758" priority="2778"/>
    <cfRule type="duplicateValues" dxfId="2757" priority="2779"/>
    <cfRule type="duplicateValues" dxfId="2756" priority="2780"/>
    <cfRule type="duplicateValues" dxfId="2755" priority="2781"/>
    <cfRule type="duplicateValues" dxfId="2754" priority="2782"/>
    <cfRule type="duplicateValues" dxfId="2753" priority="2783"/>
    <cfRule type="duplicateValues" dxfId="2752" priority="2784"/>
    <cfRule type="duplicateValues" dxfId="2751" priority="2785"/>
    <cfRule type="duplicateValues" dxfId="2750" priority="2786"/>
    <cfRule type="duplicateValues" dxfId="2749" priority="2787"/>
    <cfRule type="duplicateValues" dxfId="2748" priority="2788"/>
    <cfRule type="duplicateValues" dxfId="2747" priority="2789"/>
    <cfRule type="duplicateValues" dxfId="2746" priority="2790"/>
    <cfRule type="duplicateValues" dxfId="2745" priority="2791"/>
    <cfRule type="duplicateValues" dxfId="2744" priority="2792"/>
    <cfRule type="duplicateValues" dxfId="2743" priority="2793"/>
    <cfRule type="duplicateValues" dxfId="2742" priority="2794"/>
    <cfRule type="duplicateValues" dxfId="2741" priority="2795"/>
    <cfRule type="duplicateValues" dxfId="2740" priority="2796"/>
    <cfRule type="duplicateValues" dxfId="2739" priority="2797"/>
    <cfRule type="duplicateValues" dxfId="2738" priority="2798"/>
    <cfRule type="duplicateValues" dxfId="2737" priority="2799"/>
    <cfRule type="duplicateValues" dxfId="2736" priority="2800"/>
    <cfRule type="duplicateValues" dxfId="2735" priority="2801"/>
    <cfRule type="duplicateValues" dxfId="2734" priority="2802"/>
    <cfRule type="duplicateValues" dxfId="2733" priority="2803"/>
    <cfRule type="duplicateValues" dxfId="2732" priority="2804"/>
    <cfRule type="duplicateValues" dxfId="2731" priority="2805"/>
    <cfRule type="duplicateValues" dxfId="2730" priority="2806"/>
    <cfRule type="duplicateValues" dxfId="2729" priority="2807"/>
    <cfRule type="duplicateValues" dxfId="2728" priority="2808"/>
  </conditionalFormatting>
  <conditionalFormatting sqref="B56:B314">
    <cfRule type="duplicateValues" dxfId="2727" priority="191757"/>
    <cfRule type="duplicateValues" dxfId="2726" priority="191758"/>
    <cfRule type="duplicateValues" dxfId="2725" priority="191759"/>
    <cfRule type="duplicateValues" dxfId="2724" priority="191760"/>
    <cfRule type="duplicateValues" dxfId="2723" priority="191761"/>
    <cfRule type="duplicateValues" dxfId="2722" priority="191762"/>
    <cfRule type="duplicateValues" dxfId="2721" priority="191763"/>
    <cfRule type="duplicateValues" dxfId="2720" priority="191764"/>
    <cfRule type="duplicateValues" dxfId="2719" priority="191765"/>
    <cfRule type="duplicateValues" dxfId="2718" priority="191766"/>
    <cfRule type="duplicateValues" dxfId="2717" priority="191767"/>
    <cfRule type="duplicateValues" dxfId="2716" priority="191768"/>
    <cfRule type="duplicateValues" dxfId="2715" priority="191769"/>
    <cfRule type="duplicateValues" dxfId="2714" priority="191770"/>
    <cfRule type="duplicateValues" dxfId="2713" priority="191771"/>
    <cfRule type="duplicateValues" dxfId="2712" priority="191772"/>
    <cfRule type="duplicateValues" dxfId="2711" priority="191773"/>
    <cfRule type="duplicateValues" dxfId="2710" priority="191774"/>
    <cfRule type="duplicateValues" dxfId="2709" priority="191775"/>
    <cfRule type="duplicateValues" dxfId="2708" priority="191776"/>
    <cfRule type="duplicateValues" dxfId="2707" priority="191777"/>
    <cfRule type="duplicateValues" dxfId="2706" priority="191778"/>
    <cfRule type="duplicateValues" dxfId="2705" priority="191779"/>
    <cfRule type="duplicateValues" dxfId="2704" priority="191780"/>
    <cfRule type="duplicateValues" dxfId="2703" priority="191781"/>
    <cfRule type="duplicateValues" dxfId="2702" priority="191782"/>
    <cfRule type="duplicateValues" dxfId="2701" priority="191783"/>
    <cfRule type="duplicateValues" dxfId="2700" priority="191784"/>
    <cfRule type="duplicateValues" dxfId="2699" priority="191785"/>
    <cfRule type="duplicateValues" dxfId="2698" priority="191786"/>
    <cfRule type="duplicateValues" dxfId="2697" priority="191787"/>
    <cfRule type="duplicateValues" dxfId="2696" priority="191788"/>
    <cfRule type="duplicateValues" dxfId="2695" priority="191789"/>
    <cfRule type="duplicateValues" dxfId="2694" priority="191790"/>
    <cfRule type="duplicateValues" dxfId="2693" priority="191791"/>
    <cfRule type="duplicateValues" dxfId="2692" priority="191792"/>
    <cfRule type="duplicateValues" dxfId="2691" priority="191793"/>
    <cfRule type="duplicateValues" dxfId="2690" priority="191794"/>
    <cfRule type="duplicateValues" dxfId="2689" priority="191795"/>
  </conditionalFormatting>
  <conditionalFormatting sqref="B60:B314">
    <cfRule type="duplicateValues" dxfId="2688" priority="191796"/>
    <cfRule type="duplicateValues" dxfId="2687" priority="191797"/>
    <cfRule type="duplicateValues" dxfId="2686" priority="191798"/>
    <cfRule type="duplicateValues" dxfId="2685" priority="191799"/>
    <cfRule type="duplicateValues" dxfId="2684" priority="191800"/>
    <cfRule type="duplicateValues" dxfId="2683" priority="191801"/>
    <cfRule type="duplicateValues" dxfId="2682" priority="191802"/>
    <cfRule type="duplicateValues" dxfId="2681" priority="191803"/>
    <cfRule type="duplicateValues" dxfId="2680" priority="191804"/>
    <cfRule type="duplicateValues" dxfId="2679" priority="191805"/>
    <cfRule type="duplicateValues" dxfId="2678" priority="191806"/>
    <cfRule type="duplicateValues" dxfId="2677" priority="191807"/>
    <cfRule type="duplicateValues" dxfId="2676" priority="191808"/>
    <cfRule type="duplicateValues" dxfId="2675" priority="191809"/>
    <cfRule type="duplicateValues" dxfId="2674" priority="191810"/>
    <cfRule type="duplicateValues" dxfId="2673" priority="191811"/>
    <cfRule type="duplicateValues" dxfId="2672" priority="191812"/>
    <cfRule type="duplicateValues" dxfId="2671" priority="191813"/>
    <cfRule type="duplicateValues" dxfId="2670" priority="191814"/>
    <cfRule type="duplicateValues" dxfId="2669" priority="191815"/>
    <cfRule type="duplicateValues" dxfId="2668" priority="191816"/>
    <cfRule type="duplicateValues" dxfId="2667" priority="191817"/>
    <cfRule type="duplicateValues" dxfId="2666" priority="191818"/>
    <cfRule type="duplicateValues" dxfId="2665" priority="191819"/>
    <cfRule type="duplicateValues" dxfId="2664" priority="191820"/>
    <cfRule type="duplicateValues" dxfId="2663" priority="191821"/>
    <cfRule type="duplicateValues" dxfId="2662" priority="191822"/>
    <cfRule type="duplicateValues" dxfId="2661" priority="191823"/>
    <cfRule type="duplicateValues" dxfId="2660" priority="191824"/>
    <cfRule type="duplicateValues" dxfId="2659" priority="191825"/>
    <cfRule type="duplicateValues" dxfId="2658" priority="191826"/>
    <cfRule type="duplicateValues" dxfId="2657" priority="191827"/>
    <cfRule type="duplicateValues" dxfId="2656" priority="191828"/>
    <cfRule type="duplicateValues" dxfId="2655" priority="191829"/>
    <cfRule type="duplicateValues" dxfId="2654" priority="191830"/>
    <cfRule type="duplicateValues" dxfId="2653" priority="191831"/>
    <cfRule type="duplicateValues" dxfId="2652" priority="191832"/>
    <cfRule type="duplicateValues" dxfId="2651" priority="191833"/>
    <cfRule type="duplicateValues" dxfId="2650" priority="191834"/>
  </conditionalFormatting>
  <conditionalFormatting sqref="B61:B314">
    <cfRule type="duplicateValues" dxfId="2649" priority="191835"/>
    <cfRule type="duplicateValues" dxfId="2648" priority="191836"/>
    <cfRule type="duplicateValues" dxfId="2647" priority="191837"/>
    <cfRule type="duplicateValues" dxfId="2646" priority="191838"/>
    <cfRule type="duplicateValues" dxfId="2645" priority="191839"/>
    <cfRule type="duplicateValues" dxfId="2644" priority="191840"/>
    <cfRule type="duplicateValues" dxfId="2643" priority="191841"/>
    <cfRule type="duplicateValues" dxfId="2642" priority="191842"/>
    <cfRule type="duplicateValues" dxfId="2641" priority="191843"/>
    <cfRule type="duplicateValues" dxfId="2640" priority="191844"/>
    <cfRule type="duplicateValues" dxfId="2639" priority="191845"/>
    <cfRule type="duplicateValues" dxfId="2638" priority="191846"/>
    <cfRule type="duplicateValues" dxfId="2637" priority="191847"/>
    <cfRule type="duplicateValues" dxfId="2636" priority="191848"/>
    <cfRule type="duplicateValues" dxfId="2635" priority="191849"/>
    <cfRule type="duplicateValues" dxfId="2634" priority="191850"/>
    <cfRule type="duplicateValues" dxfId="2633" priority="191851"/>
    <cfRule type="duplicateValues" dxfId="2632" priority="191852"/>
    <cfRule type="duplicateValues" dxfId="2631" priority="191853"/>
    <cfRule type="duplicateValues" dxfId="2630" priority="191854"/>
    <cfRule type="duplicateValues" dxfId="2629" priority="191855"/>
    <cfRule type="duplicateValues" dxfId="2628" priority="191856"/>
    <cfRule type="duplicateValues" dxfId="2627" priority="191857"/>
    <cfRule type="duplicateValues" dxfId="2626" priority="191858"/>
    <cfRule type="duplicateValues" dxfId="2625" priority="191859"/>
    <cfRule type="duplicateValues" dxfId="2624" priority="191860"/>
    <cfRule type="duplicateValues" dxfId="2623" priority="191861"/>
    <cfRule type="duplicateValues" dxfId="2622" priority="191862"/>
    <cfRule type="duplicateValues" dxfId="2621" priority="191863"/>
    <cfRule type="duplicateValues" dxfId="2620" priority="191864"/>
    <cfRule type="duplicateValues" dxfId="2619" priority="191865"/>
    <cfRule type="duplicateValues" dxfId="2618" priority="191866"/>
    <cfRule type="duplicateValues" dxfId="2617" priority="191867"/>
    <cfRule type="duplicateValues" dxfId="2616" priority="191868"/>
    <cfRule type="duplicateValues" dxfId="2615" priority="191869"/>
    <cfRule type="duplicateValues" dxfId="2614" priority="191870"/>
    <cfRule type="duplicateValues" dxfId="2613" priority="191871"/>
    <cfRule type="duplicateValues" dxfId="2612" priority="191872"/>
    <cfRule type="duplicateValues" dxfId="2611" priority="191873"/>
  </conditionalFormatting>
  <conditionalFormatting sqref="B64:B314">
    <cfRule type="duplicateValues" dxfId="2610" priority="191874"/>
    <cfRule type="duplicateValues" dxfId="2609" priority="191875"/>
    <cfRule type="duplicateValues" dxfId="2608" priority="191876"/>
    <cfRule type="duplicateValues" dxfId="2607" priority="191877"/>
    <cfRule type="duplicateValues" dxfId="2606" priority="191878"/>
    <cfRule type="duplicateValues" dxfId="2605" priority="191879"/>
    <cfRule type="duplicateValues" dxfId="2604" priority="191880"/>
    <cfRule type="duplicateValues" dxfId="2603" priority="191881"/>
    <cfRule type="duplicateValues" dxfId="2602" priority="191882"/>
    <cfRule type="duplicateValues" dxfId="2601" priority="191883"/>
    <cfRule type="duplicateValues" dxfId="2600" priority="191884"/>
    <cfRule type="duplicateValues" dxfId="2599" priority="191885"/>
    <cfRule type="duplicateValues" dxfId="2598" priority="191886"/>
    <cfRule type="duplicateValues" dxfId="2597" priority="191887"/>
    <cfRule type="duplicateValues" dxfId="2596" priority="191888"/>
    <cfRule type="duplicateValues" dxfId="2595" priority="191889"/>
    <cfRule type="duplicateValues" dxfId="2594" priority="191890"/>
    <cfRule type="duplicateValues" dxfId="2593" priority="191891"/>
    <cfRule type="duplicateValues" dxfId="2592" priority="191892"/>
    <cfRule type="duplicateValues" dxfId="2591" priority="191893"/>
    <cfRule type="duplicateValues" dxfId="2590" priority="191894"/>
    <cfRule type="duplicateValues" dxfId="2589" priority="191895"/>
    <cfRule type="duplicateValues" dxfId="2588" priority="191896"/>
    <cfRule type="duplicateValues" dxfId="2587" priority="191897"/>
    <cfRule type="duplicateValues" dxfId="2586" priority="191898"/>
    <cfRule type="duplicateValues" dxfId="2585" priority="191899"/>
    <cfRule type="duplicateValues" dxfId="2584" priority="191900"/>
    <cfRule type="duplicateValues" dxfId="2583" priority="191901"/>
    <cfRule type="duplicateValues" dxfId="2582" priority="191902"/>
    <cfRule type="duplicateValues" dxfId="2581" priority="191903"/>
    <cfRule type="duplicateValues" dxfId="2580" priority="191904"/>
    <cfRule type="duplicateValues" dxfId="2579" priority="191905"/>
    <cfRule type="duplicateValues" dxfId="2578" priority="191906"/>
    <cfRule type="duplicateValues" dxfId="2577" priority="191907"/>
    <cfRule type="duplicateValues" dxfId="2576" priority="191908"/>
    <cfRule type="duplicateValues" dxfId="2575" priority="191909"/>
    <cfRule type="duplicateValues" dxfId="2574" priority="191910"/>
    <cfRule type="duplicateValues" dxfId="2573" priority="191911"/>
    <cfRule type="duplicateValues" dxfId="2572" priority="191912"/>
  </conditionalFormatting>
  <conditionalFormatting sqref="B69:B314">
    <cfRule type="duplicateValues" dxfId="2571" priority="191913"/>
    <cfRule type="duplicateValues" dxfId="2570" priority="191914"/>
    <cfRule type="duplicateValues" dxfId="2569" priority="191915"/>
    <cfRule type="duplicateValues" dxfId="2568" priority="191916"/>
    <cfRule type="duplicateValues" dxfId="2567" priority="191917"/>
    <cfRule type="duplicateValues" dxfId="2566" priority="191918"/>
    <cfRule type="duplicateValues" dxfId="2565" priority="191919"/>
    <cfRule type="duplicateValues" dxfId="2564" priority="191920"/>
    <cfRule type="duplicateValues" dxfId="2563" priority="191921"/>
    <cfRule type="duplicateValues" dxfId="2562" priority="191922"/>
    <cfRule type="duplicateValues" dxfId="2561" priority="191923"/>
    <cfRule type="duplicateValues" dxfId="2560" priority="191924"/>
    <cfRule type="duplicateValues" dxfId="2559" priority="191925"/>
    <cfRule type="duplicateValues" dxfId="2558" priority="191926"/>
    <cfRule type="duplicateValues" dxfId="2557" priority="191927"/>
    <cfRule type="duplicateValues" dxfId="2556" priority="191928"/>
    <cfRule type="duplicateValues" dxfId="2555" priority="191929"/>
    <cfRule type="duplicateValues" dxfId="2554" priority="191930"/>
    <cfRule type="duplicateValues" dxfId="2553" priority="191931"/>
    <cfRule type="duplicateValues" dxfId="2552" priority="191932"/>
    <cfRule type="duplicateValues" dxfId="2551" priority="191933"/>
    <cfRule type="duplicateValues" dxfId="2550" priority="191934"/>
    <cfRule type="duplicateValues" dxfId="2549" priority="191935"/>
    <cfRule type="duplicateValues" dxfId="2548" priority="191936"/>
    <cfRule type="duplicateValues" dxfId="2547" priority="191937"/>
    <cfRule type="duplicateValues" dxfId="2546" priority="191938"/>
    <cfRule type="duplicateValues" dxfId="2545" priority="191939"/>
    <cfRule type="duplicateValues" dxfId="2544" priority="191940"/>
    <cfRule type="duplicateValues" dxfId="2543" priority="191941"/>
    <cfRule type="duplicateValues" dxfId="2542" priority="191942"/>
    <cfRule type="duplicateValues" dxfId="2541" priority="191943"/>
    <cfRule type="duplicateValues" dxfId="2540" priority="191944"/>
    <cfRule type="duplicateValues" dxfId="2539" priority="191945"/>
    <cfRule type="duplicateValues" dxfId="2538" priority="191946"/>
    <cfRule type="duplicateValues" dxfId="2537" priority="191947"/>
    <cfRule type="duplicateValues" dxfId="2536" priority="191948"/>
    <cfRule type="duplicateValues" dxfId="2535" priority="191949"/>
    <cfRule type="duplicateValues" dxfId="2534" priority="191950"/>
    <cfRule type="duplicateValues" dxfId="2533" priority="191951"/>
  </conditionalFormatting>
  <conditionalFormatting sqref="B81:B314">
    <cfRule type="duplicateValues" dxfId="2532" priority="191952"/>
    <cfRule type="duplicateValues" dxfId="2531" priority="191953"/>
    <cfRule type="duplicateValues" dxfId="2530" priority="191954"/>
    <cfRule type="duplicateValues" dxfId="2529" priority="191955"/>
    <cfRule type="duplicateValues" dxfId="2528" priority="191956"/>
    <cfRule type="duplicateValues" dxfId="2527" priority="191957"/>
    <cfRule type="duplicateValues" dxfId="2526" priority="191958"/>
    <cfRule type="duplicateValues" dxfId="2525" priority="191959"/>
    <cfRule type="duplicateValues" dxfId="2524" priority="191960"/>
    <cfRule type="duplicateValues" dxfId="2523" priority="191961"/>
    <cfRule type="duplicateValues" dxfId="2522" priority="191962"/>
    <cfRule type="duplicateValues" dxfId="2521" priority="191963"/>
    <cfRule type="duplicateValues" dxfId="2520" priority="191964"/>
    <cfRule type="duplicateValues" dxfId="2519" priority="191965"/>
    <cfRule type="duplicateValues" dxfId="2518" priority="191966"/>
    <cfRule type="duplicateValues" dxfId="2517" priority="191967"/>
    <cfRule type="duplicateValues" dxfId="2516" priority="191968"/>
    <cfRule type="duplicateValues" dxfId="2515" priority="191969"/>
    <cfRule type="duplicateValues" dxfId="2514" priority="191970"/>
    <cfRule type="duplicateValues" dxfId="2513" priority="191971"/>
    <cfRule type="duplicateValues" dxfId="2512" priority="191972"/>
    <cfRule type="duplicateValues" dxfId="2511" priority="191973"/>
    <cfRule type="duplicateValues" dxfId="2510" priority="191974"/>
    <cfRule type="duplicateValues" dxfId="2509" priority="191975"/>
    <cfRule type="duplicateValues" dxfId="2508" priority="191976"/>
    <cfRule type="duplicateValues" dxfId="2507" priority="191977"/>
    <cfRule type="duplicateValues" dxfId="2506" priority="191978"/>
    <cfRule type="duplicateValues" dxfId="2505" priority="191979"/>
    <cfRule type="duplicateValues" dxfId="2504" priority="191980"/>
    <cfRule type="duplicateValues" dxfId="2503" priority="191981"/>
    <cfRule type="duplicateValues" dxfId="2502" priority="191982"/>
    <cfRule type="duplicateValues" dxfId="2501" priority="191983"/>
    <cfRule type="duplicateValues" dxfId="2500" priority="191984"/>
    <cfRule type="duplicateValues" dxfId="2499" priority="191985"/>
    <cfRule type="duplicateValues" dxfId="2498" priority="191986"/>
    <cfRule type="duplicateValues" dxfId="2497" priority="191987"/>
    <cfRule type="duplicateValues" dxfId="2496" priority="191988"/>
    <cfRule type="duplicateValues" dxfId="2495" priority="191989"/>
    <cfRule type="duplicateValues" dxfId="2494" priority="191990"/>
    <cfRule type="duplicateValues" dxfId="2493" priority="191991"/>
  </conditionalFormatting>
  <conditionalFormatting sqref="B86:B314">
    <cfRule type="duplicateValues" dxfId="2492" priority="191992"/>
    <cfRule type="duplicateValues" dxfId="2491" priority="191993"/>
    <cfRule type="duplicateValues" dxfId="2490" priority="191994"/>
    <cfRule type="duplicateValues" dxfId="2489" priority="191995"/>
    <cfRule type="duplicateValues" dxfId="2488" priority="191996"/>
    <cfRule type="duplicateValues" dxfId="2487" priority="191997"/>
    <cfRule type="duplicateValues" dxfId="2486" priority="191998"/>
    <cfRule type="duplicateValues" dxfId="2485" priority="191999"/>
    <cfRule type="duplicateValues" dxfId="2484" priority="192000"/>
    <cfRule type="duplicateValues" dxfId="2483" priority="192001"/>
    <cfRule type="duplicateValues" dxfId="2482" priority="192002"/>
    <cfRule type="duplicateValues" dxfId="2481" priority="192003"/>
    <cfRule type="duplicateValues" dxfId="2480" priority="192004"/>
    <cfRule type="duplicateValues" dxfId="2479" priority="192005"/>
    <cfRule type="duplicateValues" dxfId="2478" priority="192006"/>
    <cfRule type="duplicateValues" dxfId="2477" priority="192007"/>
    <cfRule type="duplicateValues" dxfId="2476" priority="192008"/>
    <cfRule type="duplicateValues" dxfId="2475" priority="192009"/>
    <cfRule type="duplicateValues" dxfId="2474" priority="192010"/>
    <cfRule type="duplicateValues" dxfId="2473" priority="192011"/>
    <cfRule type="duplicateValues" dxfId="2472" priority="192012"/>
    <cfRule type="duplicateValues" dxfId="2471" priority="192013"/>
    <cfRule type="duplicateValues" dxfId="2470" priority="192014"/>
    <cfRule type="duplicateValues" dxfId="2469" priority="192015"/>
    <cfRule type="duplicateValues" dxfId="2468" priority="192016"/>
    <cfRule type="duplicateValues" dxfId="2467" priority="192017"/>
    <cfRule type="duplicateValues" dxfId="2466" priority="192018"/>
    <cfRule type="duplicateValues" dxfId="2465" priority="192019"/>
    <cfRule type="duplicateValues" dxfId="2464" priority="192020"/>
    <cfRule type="duplicateValues" dxfId="2463" priority="192021"/>
    <cfRule type="duplicateValues" dxfId="2462" priority="192022"/>
    <cfRule type="duplicateValues" dxfId="2461" priority="192023"/>
    <cfRule type="duplicateValues" dxfId="2460" priority="192024"/>
    <cfRule type="duplicateValues" dxfId="2459" priority="192025"/>
    <cfRule type="duplicateValues" dxfId="2458" priority="192026"/>
    <cfRule type="duplicateValues" dxfId="2457" priority="192027"/>
    <cfRule type="duplicateValues" dxfId="2456" priority="192028"/>
    <cfRule type="duplicateValues" dxfId="2455" priority="192029"/>
    <cfRule type="duplicateValues" dxfId="2454" priority="192030"/>
    <cfRule type="duplicateValues" dxfId="2453" priority="192031"/>
  </conditionalFormatting>
  <conditionalFormatting sqref="B89:B314">
    <cfRule type="duplicateValues" dxfId="2452" priority="192032"/>
    <cfRule type="duplicateValues" dxfId="2451" priority="192033"/>
    <cfRule type="duplicateValues" dxfId="2450" priority="192034"/>
    <cfRule type="duplicateValues" dxfId="2449" priority="192035"/>
    <cfRule type="duplicateValues" dxfId="2448" priority="192036"/>
    <cfRule type="duplicateValues" dxfId="2447" priority="192037"/>
    <cfRule type="duplicateValues" dxfId="2446" priority="192038"/>
    <cfRule type="duplicateValues" dxfId="2445" priority="192039"/>
    <cfRule type="duplicateValues" dxfId="2444" priority="192040"/>
    <cfRule type="duplicateValues" dxfId="2443" priority="192041"/>
    <cfRule type="duplicateValues" dxfId="2442" priority="192042"/>
    <cfRule type="duplicateValues" dxfId="2441" priority="192043"/>
    <cfRule type="duplicateValues" dxfId="2440" priority="192044"/>
    <cfRule type="duplicateValues" dxfId="2439" priority="192045"/>
    <cfRule type="duplicateValues" dxfId="2438" priority="192046"/>
    <cfRule type="duplicateValues" dxfId="2437" priority="192047"/>
    <cfRule type="duplicateValues" dxfId="2436" priority="192048"/>
    <cfRule type="duplicateValues" dxfId="2435" priority="192049"/>
    <cfRule type="duplicateValues" dxfId="2434" priority="192050"/>
    <cfRule type="duplicateValues" dxfId="2433" priority="192051"/>
    <cfRule type="duplicateValues" dxfId="2432" priority="192052"/>
    <cfRule type="duplicateValues" dxfId="2431" priority="192053"/>
    <cfRule type="duplicateValues" dxfId="2430" priority="192054"/>
    <cfRule type="duplicateValues" dxfId="2429" priority="192055"/>
    <cfRule type="duplicateValues" dxfId="2428" priority="192056"/>
    <cfRule type="duplicateValues" dxfId="2427" priority="192057"/>
    <cfRule type="duplicateValues" dxfId="2426" priority="192058"/>
    <cfRule type="duplicateValues" dxfId="2425" priority="192059"/>
    <cfRule type="duplicateValues" dxfId="2424" priority="192060"/>
    <cfRule type="duplicateValues" dxfId="2423" priority="192061"/>
    <cfRule type="duplicateValues" dxfId="2422" priority="192062"/>
    <cfRule type="duplicateValues" dxfId="2421" priority="192063"/>
    <cfRule type="duplicateValues" dxfId="2420" priority="192064"/>
    <cfRule type="duplicateValues" dxfId="2419" priority="192065"/>
    <cfRule type="duplicateValues" dxfId="2418" priority="192066"/>
    <cfRule type="duplicateValues" dxfId="2417" priority="192067"/>
    <cfRule type="duplicateValues" dxfId="2416" priority="192068"/>
    <cfRule type="duplicateValues" dxfId="2415" priority="192069"/>
    <cfRule type="duplicateValues" dxfId="2414" priority="192070"/>
    <cfRule type="duplicateValues" dxfId="2413" priority="192071"/>
  </conditionalFormatting>
  <conditionalFormatting sqref="B94:B314">
    <cfRule type="duplicateValues" dxfId="2412" priority="192072"/>
    <cfRule type="duplicateValues" dxfId="2411" priority="192073"/>
    <cfRule type="duplicateValues" dxfId="2410" priority="192074"/>
    <cfRule type="duplicateValues" dxfId="2409" priority="192075"/>
    <cfRule type="duplicateValues" dxfId="2408" priority="192076"/>
    <cfRule type="duplicateValues" dxfId="2407" priority="192077"/>
    <cfRule type="duplicateValues" dxfId="2406" priority="192078"/>
    <cfRule type="duplicateValues" dxfId="2405" priority="192079"/>
    <cfRule type="duplicateValues" dxfId="2404" priority="192080"/>
    <cfRule type="duplicateValues" dxfId="2403" priority="192081"/>
    <cfRule type="duplicateValues" dxfId="2402" priority="192082"/>
    <cfRule type="duplicateValues" dxfId="2401" priority="192083"/>
    <cfRule type="duplicateValues" dxfId="2400" priority="192084"/>
    <cfRule type="duplicateValues" dxfId="2399" priority="192085"/>
    <cfRule type="duplicateValues" dxfId="2398" priority="192086"/>
    <cfRule type="duplicateValues" dxfId="2397" priority="192087"/>
    <cfRule type="duplicateValues" dxfId="2396" priority="192088"/>
    <cfRule type="duplicateValues" dxfId="2395" priority="192089"/>
    <cfRule type="duplicateValues" dxfId="2394" priority="192090"/>
    <cfRule type="duplicateValues" dxfId="2393" priority="192091"/>
    <cfRule type="duplicateValues" dxfId="2392" priority="192092"/>
    <cfRule type="duplicateValues" dxfId="2391" priority="192093"/>
    <cfRule type="duplicateValues" dxfId="2390" priority="192094"/>
    <cfRule type="duplicateValues" dxfId="2389" priority="192095"/>
    <cfRule type="duplicateValues" dxfId="2388" priority="192096"/>
    <cfRule type="duplicateValues" dxfId="2387" priority="192097"/>
    <cfRule type="duplicateValues" dxfId="2386" priority="192098"/>
    <cfRule type="duplicateValues" dxfId="2385" priority="192099"/>
    <cfRule type="duplicateValues" dxfId="2384" priority="192100"/>
    <cfRule type="duplicateValues" dxfId="2383" priority="192101"/>
    <cfRule type="duplicateValues" dxfId="2382" priority="192102"/>
    <cfRule type="duplicateValues" dxfId="2381" priority="192103"/>
    <cfRule type="duplicateValues" dxfId="2380" priority="192104"/>
    <cfRule type="duplicateValues" dxfId="2379" priority="192105"/>
    <cfRule type="duplicateValues" dxfId="2378" priority="192106"/>
    <cfRule type="duplicateValues" dxfId="2377" priority="192107"/>
    <cfRule type="duplicateValues" dxfId="2376" priority="192108"/>
    <cfRule type="duplicateValues" dxfId="2375" priority="192109"/>
    <cfRule type="duplicateValues" dxfId="2374" priority="192110"/>
    <cfRule type="duplicateValues" dxfId="2373" priority="192111"/>
  </conditionalFormatting>
  <conditionalFormatting sqref="B104:B314">
    <cfRule type="duplicateValues" dxfId="2372" priority="192112"/>
    <cfRule type="duplicateValues" dxfId="2371" priority="192113"/>
    <cfRule type="duplicateValues" dxfId="2370" priority="192114"/>
    <cfRule type="duplicateValues" dxfId="2369" priority="192115"/>
    <cfRule type="duplicateValues" dxfId="2368" priority="192116"/>
    <cfRule type="duplicateValues" dxfId="2367" priority="192117"/>
    <cfRule type="duplicateValues" dxfId="2366" priority="192118"/>
    <cfRule type="duplicateValues" dxfId="2365" priority="192119"/>
    <cfRule type="duplicateValues" dxfId="2364" priority="192120"/>
    <cfRule type="duplicateValues" dxfId="2363" priority="192121"/>
    <cfRule type="duplicateValues" dxfId="2362" priority="192122"/>
    <cfRule type="duplicateValues" dxfId="2361" priority="192123"/>
    <cfRule type="duplicateValues" dxfId="2360" priority="192124"/>
    <cfRule type="duplicateValues" dxfId="2359" priority="192125"/>
    <cfRule type="duplicateValues" dxfId="2358" priority="192126"/>
    <cfRule type="duplicateValues" dxfId="2357" priority="192127"/>
    <cfRule type="duplicateValues" dxfId="2356" priority="192128"/>
    <cfRule type="duplicateValues" dxfId="2355" priority="192129"/>
    <cfRule type="duplicateValues" dxfId="2354" priority="192130"/>
    <cfRule type="duplicateValues" dxfId="2353" priority="192131"/>
    <cfRule type="duplicateValues" dxfId="2352" priority="192132"/>
    <cfRule type="duplicateValues" dxfId="2351" priority="192133"/>
    <cfRule type="duplicateValues" dxfId="2350" priority="192134"/>
    <cfRule type="duplicateValues" dxfId="2349" priority="192135"/>
    <cfRule type="duplicateValues" dxfId="2348" priority="192136"/>
    <cfRule type="duplicateValues" dxfId="2347" priority="192137"/>
    <cfRule type="duplicateValues" dxfId="2346" priority="192138"/>
    <cfRule type="duplicateValues" dxfId="2345" priority="192139"/>
    <cfRule type="duplicateValues" dxfId="2344" priority="192140"/>
    <cfRule type="duplicateValues" dxfId="2343" priority="192141"/>
    <cfRule type="duplicateValues" dxfId="2342" priority="192142"/>
    <cfRule type="duplicateValues" dxfId="2341" priority="192143"/>
    <cfRule type="duplicateValues" dxfId="2340" priority="192144"/>
    <cfRule type="duplicateValues" dxfId="2339" priority="192145"/>
    <cfRule type="duplicateValues" dxfId="2338" priority="192146"/>
    <cfRule type="duplicateValues" dxfId="2337" priority="192147"/>
    <cfRule type="duplicateValues" dxfId="2336" priority="192148"/>
    <cfRule type="duplicateValues" dxfId="2335" priority="192149"/>
    <cfRule type="duplicateValues" dxfId="2334" priority="192150"/>
    <cfRule type="duplicateValues" dxfId="2333" priority="192151"/>
  </conditionalFormatting>
  <conditionalFormatting sqref="B109">
    <cfRule type="duplicateValues" dxfId="2332" priority="2257"/>
    <cfRule type="duplicateValues" dxfId="2331" priority="2258"/>
    <cfRule type="duplicateValues" dxfId="2330" priority="2259"/>
    <cfRule type="duplicateValues" dxfId="2329" priority="2260"/>
    <cfRule type="duplicateValues" dxfId="2328" priority="2261"/>
    <cfRule type="duplicateValues" dxfId="2327" priority="2262"/>
    <cfRule type="duplicateValues" dxfId="2326" priority="2263"/>
    <cfRule type="duplicateValues" dxfId="2325" priority="2264"/>
    <cfRule type="duplicateValues" dxfId="2324" priority="2265"/>
    <cfRule type="duplicateValues" dxfId="2323" priority="2266"/>
    <cfRule type="duplicateValues" dxfId="2322" priority="2267"/>
    <cfRule type="duplicateValues" dxfId="2321" priority="2268"/>
    <cfRule type="duplicateValues" dxfId="2320" priority="2269"/>
    <cfRule type="duplicateValues" dxfId="2319" priority="2270"/>
    <cfRule type="duplicateValues" dxfId="2318" priority="2271"/>
    <cfRule type="duplicateValues" dxfId="2317" priority="2272"/>
    <cfRule type="duplicateValues" dxfId="2316" priority="2273"/>
    <cfRule type="duplicateValues" dxfId="2315" priority="2274"/>
    <cfRule type="duplicateValues" dxfId="2314" priority="2275"/>
    <cfRule type="duplicateValues" dxfId="2313" priority="2276"/>
    <cfRule type="duplicateValues" dxfId="2312" priority="2277"/>
    <cfRule type="duplicateValues" dxfId="2311" priority="2278"/>
    <cfRule type="duplicateValues" dxfId="2310" priority="2279"/>
    <cfRule type="duplicateValues" dxfId="2309" priority="2280"/>
    <cfRule type="duplicateValues" dxfId="2308" priority="2281"/>
    <cfRule type="duplicateValues" dxfId="2307" priority="2282"/>
    <cfRule type="duplicateValues" dxfId="2306" priority="2283"/>
    <cfRule type="duplicateValues" dxfId="2305" priority="2284"/>
    <cfRule type="duplicateValues" dxfId="2304" priority="2285"/>
    <cfRule type="duplicateValues" dxfId="2303" priority="2286"/>
    <cfRule type="duplicateValues" dxfId="2302" priority="2287"/>
    <cfRule type="duplicateValues" dxfId="2301" priority="2288"/>
    <cfRule type="duplicateValues" dxfId="2300" priority="2289"/>
    <cfRule type="duplicateValues" dxfId="2299" priority="2290"/>
    <cfRule type="duplicateValues" dxfId="2298" priority="2291"/>
    <cfRule type="duplicateValues" dxfId="2297" priority="2292"/>
    <cfRule type="duplicateValues" dxfId="2296" priority="2293"/>
    <cfRule type="duplicateValues" dxfId="2295" priority="2294"/>
    <cfRule type="duplicateValues" dxfId="2294" priority="2295"/>
    <cfRule type="duplicateValues" dxfId="2293" priority="2296"/>
  </conditionalFormatting>
  <conditionalFormatting sqref="B110:B314">
    <cfRule type="duplicateValues" dxfId="2292" priority="192152"/>
    <cfRule type="duplicateValues" dxfId="2291" priority="192153"/>
    <cfRule type="duplicateValues" dxfId="2290" priority="192154"/>
    <cfRule type="duplicateValues" dxfId="2289" priority="192155"/>
    <cfRule type="duplicateValues" dxfId="2288" priority="192156"/>
    <cfRule type="duplicateValues" dxfId="2287" priority="192157"/>
    <cfRule type="duplicateValues" dxfId="2286" priority="192158"/>
    <cfRule type="duplicateValues" dxfId="2285" priority="192159"/>
    <cfRule type="duplicateValues" dxfId="2284" priority="192160"/>
    <cfRule type="duplicateValues" dxfId="2283" priority="192161"/>
    <cfRule type="duplicateValues" dxfId="2282" priority="192162"/>
    <cfRule type="duplicateValues" dxfId="2281" priority="192163"/>
    <cfRule type="duplicateValues" dxfId="2280" priority="192164"/>
    <cfRule type="duplicateValues" dxfId="2279" priority="192165"/>
    <cfRule type="duplicateValues" dxfId="2278" priority="192166"/>
    <cfRule type="duplicateValues" dxfId="2277" priority="192167"/>
    <cfRule type="duplicateValues" dxfId="2276" priority="192168"/>
    <cfRule type="duplicateValues" dxfId="2275" priority="192169"/>
    <cfRule type="duplicateValues" dxfId="2274" priority="192170"/>
    <cfRule type="duplicateValues" dxfId="2273" priority="192171"/>
    <cfRule type="duplicateValues" dxfId="2272" priority="192172"/>
    <cfRule type="duplicateValues" dxfId="2271" priority="192173"/>
    <cfRule type="duplicateValues" dxfId="2270" priority="192174"/>
    <cfRule type="duplicateValues" dxfId="2269" priority="192175"/>
    <cfRule type="duplicateValues" dxfId="2268" priority="192176"/>
    <cfRule type="duplicateValues" dxfId="2267" priority="192177"/>
    <cfRule type="duplicateValues" dxfId="2266" priority="192178"/>
    <cfRule type="duplicateValues" dxfId="2265" priority="192179"/>
    <cfRule type="duplicateValues" dxfId="2264" priority="192180"/>
    <cfRule type="duplicateValues" dxfId="2263" priority="192181"/>
    <cfRule type="duplicateValues" dxfId="2262" priority="192182"/>
    <cfRule type="duplicateValues" dxfId="2261" priority="192183"/>
    <cfRule type="duplicateValues" dxfId="2260" priority="192184"/>
    <cfRule type="duplicateValues" dxfId="2259" priority="192185"/>
    <cfRule type="duplicateValues" dxfId="2258" priority="192186"/>
    <cfRule type="duplicateValues" dxfId="2257" priority="192187"/>
    <cfRule type="duplicateValues" dxfId="2256" priority="192188"/>
    <cfRule type="duplicateValues" dxfId="2255" priority="192189"/>
    <cfRule type="duplicateValues" dxfId="2254" priority="192190"/>
    <cfRule type="duplicateValues" dxfId="2253" priority="192191"/>
  </conditionalFormatting>
  <conditionalFormatting sqref="B114:B314">
    <cfRule type="duplicateValues" dxfId="2252" priority="192192"/>
    <cfRule type="duplicateValues" dxfId="2251" priority="192193"/>
    <cfRule type="duplicateValues" dxfId="2250" priority="192194"/>
    <cfRule type="duplicateValues" dxfId="2249" priority="192195"/>
    <cfRule type="duplicateValues" dxfId="2248" priority="192196"/>
    <cfRule type="duplicateValues" dxfId="2247" priority="192197"/>
    <cfRule type="duplicateValues" dxfId="2246" priority="192198"/>
    <cfRule type="duplicateValues" dxfId="2245" priority="192199"/>
    <cfRule type="duplicateValues" dxfId="2244" priority="192200"/>
    <cfRule type="duplicateValues" dxfId="2243" priority="192201"/>
    <cfRule type="duplicateValues" dxfId="2242" priority="192202"/>
    <cfRule type="duplicateValues" dxfId="2241" priority="192203"/>
    <cfRule type="duplicateValues" dxfId="2240" priority="192204"/>
    <cfRule type="duplicateValues" dxfId="2239" priority="192205"/>
    <cfRule type="duplicateValues" dxfId="2238" priority="192206"/>
    <cfRule type="duplicateValues" dxfId="2237" priority="192207"/>
    <cfRule type="duplicateValues" dxfId="2236" priority="192208"/>
    <cfRule type="duplicateValues" dxfId="2235" priority="192209"/>
    <cfRule type="duplicateValues" dxfId="2234" priority="192210"/>
    <cfRule type="duplicateValues" dxfId="2233" priority="192211"/>
    <cfRule type="duplicateValues" dxfId="2232" priority="192212"/>
    <cfRule type="duplicateValues" dxfId="2231" priority="192213"/>
    <cfRule type="duplicateValues" dxfId="2230" priority="192214"/>
    <cfRule type="duplicateValues" dxfId="2229" priority="192215"/>
    <cfRule type="duplicateValues" dxfId="2228" priority="192216"/>
    <cfRule type="duplicateValues" dxfId="2227" priority="192217"/>
    <cfRule type="duplicateValues" dxfId="2226" priority="192218"/>
    <cfRule type="duplicateValues" dxfId="2225" priority="192219"/>
    <cfRule type="duplicateValues" dxfId="2224" priority="192220"/>
    <cfRule type="duplicateValues" dxfId="2223" priority="192221"/>
    <cfRule type="duplicateValues" dxfId="2222" priority="192222"/>
    <cfRule type="duplicateValues" dxfId="2221" priority="192223"/>
    <cfRule type="duplicateValues" dxfId="2220" priority="192224"/>
    <cfRule type="duplicateValues" dxfId="2219" priority="192225"/>
    <cfRule type="duplicateValues" dxfId="2218" priority="192226"/>
    <cfRule type="duplicateValues" dxfId="2217" priority="192227"/>
    <cfRule type="duplicateValues" dxfId="2216" priority="192228"/>
    <cfRule type="duplicateValues" dxfId="2215" priority="192229"/>
    <cfRule type="duplicateValues" dxfId="2214" priority="192230"/>
    <cfRule type="duplicateValues" dxfId="2213" priority="192231"/>
  </conditionalFormatting>
  <conditionalFormatting sqref="B119:B314">
    <cfRule type="duplicateValues" dxfId="2212" priority="192232"/>
    <cfRule type="duplicateValues" dxfId="2211" priority="192233"/>
    <cfRule type="duplicateValues" dxfId="2210" priority="192234"/>
    <cfRule type="duplicateValues" dxfId="2209" priority="192235"/>
    <cfRule type="duplicateValues" dxfId="2208" priority="192236"/>
    <cfRule type="duplicateValues" dxfId="2207" priority="192237"/>
    <cfRule type="duplicateValues" dxfId="2206" priority="192238"/>
    <cfRule type="duplicateValues" dxfId="2205" priority="192239"/>
    <cfRule type="duplicateValues" dxfId="2204" priority="192240"/>
    <cfRule type="duplicateValues" dxfId="2203" priority="192241"/>
    <cfRule type="duplicateValues" dxfId="2202" priority="192242"/>
    <cfRule type="duplicateValues" dxfId="2201" priority="192243"/>
    <cfRule type="duplicateValues" dxfId="2200" priority="192244"/>
    <cfRule type="duplicateValues" dxfId="2199" priority="192245"/>
    <cfRule type="duplicateValues" dxfId="2198" priority="192246"/>
    <cfRule type="duplicateValues" dxfId="2197" priority="192247"/>
    <cfRule type="duplicateValues" dxfId="2196" priority="192248"/>
    <cfRule type="duplicateValues" dxfId="2195" priority="192249"/>
    <cfRule type="duplicateValues" dxfId="2194" priority="192250"/>
    <cfRule type="duplicateValues" dxfId="2193" priority="192251"/>
    <cfRule type="duplicateValues" dxfId="2192" priority="192252"/>
    <cfRule type="duplicateValues" dxfId="2191" priority="192253"/>
    <cfRule type="duplicateValues" dxfId="2190" priority="192254"/>
    <cfRule type="duplicateValues" dxfId="2189" priority="192255"/>
    <cfRule type="duplicateValues" dxfId="2188" priority="192256"/>
    <cfRule type="duplicateValues" dxfId="2187" priority="192257"/>
    <cfRule type="duplicateValues" dxfId="2186" priority="192258"/>
    <cfRule type="duplicateValues" dxfId="2185" priority="192259"/>
    <cfRule type="duplicateValues" dxfId="2184" priority="192260"/>
    <cfRule type="duplicateValues" dxfId="2183" priority="192261"/>
    <cfRule type="duplicateValues" dxfId="2182" priority="192262"/>
    <cfRule type="duplicateValues" dxfId="2181" priority="192263"/>
    <cfRule type="duplicateValues" dxfId="2180" priority="192264"/>
    <cfRule type="duplicateValues" dxfId="2179" priority="192265"/>
    <cfRule type="duplicateValues" dxfId="2178" priority="192266"/>
    <cfRule type="duplicateValues" dxfId="2177" priority="192267"/>
    <cfRule type="duplicateValues" dxfId="2176" priority="192268"/>
    <cfRule type="duplicateValues" dxfId="2175" priority="192269"/>
    <cfRule type="duplicateValues" dxfId="2174" priority="192270"/>
    <cfRule type="duplicateValues" dxfId="2173" priority="192271"/>
  </conditionalFormatting>
  <conditionalFormatting sqref="B122">
    <cfRule type="duplicateValues" dxfId="2172" priority="2097"/>
    <cfRule type="duplicateValues" dxfId="2171" priority="2098"/>
    <cfRule type="duplicateValues" dxfId="2170" priority="2099"/>
    <cfRule type="duplicateValues" dxfId="2169" priority="2100"/>
    <cfRule type="duplicateValues" dxfId="2168" priority="2101"/>
    <cfRule type="duplicateValues" dxfId="2167" priority="2102"/>
    <cfRule type="duplicateValues" dxfId="2166" priority="2103"/>
    <cfRule type="duplicateValues" dxfId="2165" priority="2104"/>
    <cfRule type="duplicateValues" dxfId="2164" priority="2105"/>
    <cfRule type="duplicateValues" dxfId="2163" priority="2106"/>
    <cfRule type="duplicateValues" dxfId="2162" priority="2107"/>
    <cfRule type="duplicateValues" dxfId="2161" priority="2108"/>
    <cfRule type="duplicateValues" dxfId="2160" priority="2109"/>
    <cfRule type="duplicateValues" dxfId="2159" priority="2110"/>
    <cfRule type="duplicateValues" dxfId="2158" priority="2111"/>
    <cfRule type="duplicateValues" dxfId="2157" priority="2112"/>
    <cfRule type="duplicateValues" dxfId="2156" priority="2113"/>
    <cfRule type="duplicateValues" dxfId="2155" priority="2114"/>
    <cfRule type="duplicateValues" dxfId="2154" priority="2115"/>
    <cfRule type="duplicateValues" dxfId="2153" priority="2116"/>
    <cfRule type="duplicateValues" dxfId="2152" priority="2117"/>
    <cfRule type="duplicateValues" dxfId="2151" priority="2118"/>
    <cfRule type="duplicateValues" dxfId="2150" priority="2119"/>
    <cfRule type="duplicateValues" dxfId="2149" priority="2120"/>
    <cfRule type="duplicateValues" dxfId="2148" priority="2121"/>
    <cfRule type="duplicateValues" dxfId="2147" priority="2122"/>
    <cfRule type="duplicateValues" dxfId="2146" priority="2123"/>
    <cfRule type="duplicateValues" dxfId="2145" priority="2124"/>
    <cfRule type="duplicateValues" dxfId="2144" priority="2125"/>
    <cfRule type="duplicateValues" dxfId="2143" priority="2126"/>
    <cfRule type="duplicateValues" dxfId="2142" priority="2127"/>
    <cfRule type="duplicateValues" dxfId="2141" priority="2128"/>
    <cfRule type="duplicateValues" dxfId="2140" priority="2129"/>
    <cfRule type="duplicateValues" dxfId="2139" priority="2130"/>
    <cfRule type="duplicateValues" dxfId="2138" priority="2131"/>
    <cfRule type="duplicateValues" dxfId="2137" priority="2132"/>
    <cfRule type="duplicateValues" dxfId="2136" priority="2133"/>
    <cfRule type="duplicateValues" dxfId="2135" priority="2134"/>
    <cfRule type="duplicateValues" dxfId="2134" priority="2135"/>
    <cfRule type="duplicateValues" dxfId="2133" priority="2136"/>
  </conditionalFormatting>
  <conditionalFormatting sqref="B123:B314">
    <cfRule type="duplicateValues" dxfId="2132" priority="192272"/>
    <cfRule type="duplicateValues" dxfId="2131" priority="192273"/>
    <cfRule type="duplicateValues" dxfId="2130" priority="192274"/>
    <cfRule type="duplicateValues" dxfId="2129" priority="192275"/>
    <cfRule type="duplicateValues" dxfId="2128" priority="192276"/>
    <cfRule type="duplicateValues" dxfId="2127" priority="192277"/>
    <cfRule type="duplicateValues" dxfId="2126" priority="192278"/>
    <cfRule type="duplicateValues" dxfId="2125" priority="192279"/>
    <cfRule type="duplicateValues" dxfId="2124" priority="192280"/>
    <cfRule type="duplicateValues" dxfId="2123" priority="192281"/>
    <cfRule type="duplicateValues" dxfId="2122" priority="192282"/>
    <cfRule type="duplicateValues" dxfId="2121" priority="192283"/>
    <cfRule type="duplicateValues" dxfId="2120" priority="192284"/>
    <cfRule type="duplicateValues" dxfId="2119" priority="192285"/>
    <cfRule type="duplicateValues" dxfId="2118" priority="192286"/>
    <cfRule type="duplicateValues" dxfId="2117" priority="192287"/>
    <cfRule type="duplicateValues" dxfId="2116" priority="192288"/>
    <cfRule type="duplicateValues" dxfId="2115" priority="192289"/>
    <cfRule type="duplicateValues" dxfId="2114" priority="192290"/>
    <cfRule type="duplicateValues" dxfId="2113" priority="192291"/>
    <cfRule type="duplicateValues" dxfId="2112" priority="192292"/>
    <cfRule type="duplicateValues" dxfId="2111" priority="192293"/>
    <cfRule type="duplicateValues" dxfId="2110" priority="192294"/>
    <cfRule type="duplicateValues" dxfId="2109" priority="192295"/>
    <cfRule type="duplicateValues" dxfId="2108" priority="192296"/>
    <cfRule type="duplicateValues" dxfId="2107" priority="192297"/>
    <cfRule type="duplicateValues" dxfId="2106" priority="192298"/>
    <cfRule type="duplicateValues" dxfId="2105" priority="192299"/>
    <cfRule type="duplicateValues" dxfId="2104" priority="192300"/>
    <cfRule type="duplicateValues" dxfId="2103" priority="192301"/>
    <cfRule type="duplicateValues" dxfId="2102" priority="192302"/>
    <cfRule type="duplicateValues" dxfId="2101" priority="192303"/>
    <cfRule type="duplicateValues" dxfId="2100" priority="192304"/>
    <cfRule type="duplicateValues" dxfId="2099" priority="192305"/>
    <cfRule type="duplicateValues" dxfId="2098" priority="192306"/>
    <cfRule type="duplicateValues" dxfId="2097" priority="192307"/>
    <cfRule type="duplicateValues" dxfId="2096" priority="192308"/>
    <cfRule type="duplicateValues" dxfId="2095" priority="192309"/>
    <cfRule type="duplicateValues" dxfId="2094" priority="192310"/>
    <cfRule type="duplicateValues" dxfId="2093" priority="192311"/>
  </conditionalFormatting>
  <conditionalFormatting sqref="B130:B314">
    <cfRule type="duplicateValues" dxfId="2092" priority="192312"/>
    <cfRule type="duplicateValues" dxfId="2091" priority="192313"/>
    <cfRule type="duplicateValues" dxfId="2090" priority="192314"/>
    <cfRule type="duplicateValues" dxfId="2089" priority="192315"/>
    <cfRule type="duplicateValues" dxfId="2088" priority="192316"/>
    <cfRule type="duplicateValues" dxfId="2087" priority="192317"/>
    <cfRule type="duplicateValues" dxfId="2086" priority="192318"/>
    <cfRule type="duplicateValues" dxfId="2085" priority="192319"/>
    <cfRule type="duplicateValues" dxfId="2084" priority="192320"/>
    <cfRule type="duplicateValues" dxfId="2083" priority="192321"/>
    <cfRule type="duplicateValues" dxfId="2082" priority="192322"/>
    <cfRule type="duplicateValues" dxfId="2081" priority="192323"/>
    <cfRule type="duplicateValues" dxfId="2080" priority="192324"/>
    <cfRule type="duplicateValues" dxfId="2079" priority="192325"/>
    <cfRule type="duplicateValues" dxfId="2078" priority="192326"/>
    <cfRule type="duplicateValues" dxfId="2077" priority="192327"/>
    <cfRule type="duplicateValues" dxfId="2076" priority="192328"/>
    <cfRule type="duplicateValues" dxfId="2075" priority="192329"/>
    <cfRule type="duplicateValues" dxfId="2074" priority="192330"/>
    <cfRule type="duplicateValues" dxfId="2073" priority="192331"/>
    <cfRule type="duplicateValues" dxfId="2072" priority="192332"/>
    <cfRule type="duplicateValues" dxfId="2071" priority="192333"/>
    <cfRule type="duplicateValues" dxfId="2070" priority="192334"/>
    <cfRule type="duplicateValues" dxfId="2069" priority="192335"/>
    <cfRule type="duplicateValues" dxfId="2068" priority="192336"/>
    <cfRule type="duplicateValues" dxfId="2067" priority="192337"/>
    <cfRule type="duplicateValues" dxfId="2066" priority="192338"/>
    <cfRule type="duplicateValues" dxfId="2065" priority="192339"/>
    <cfRule type="duplicateValues" dxfId="2064" priority="192340"/>
    <cfRule type="duplicateValues" dxfId="2063" priority="192341"/>
    <cfRule type="duplicateValues" dxfId="2062" priority="192342"/>
    <cfRule type="duplicateValues" dxfId="2061" priority="192343"/>
    <cfRule type="duplicateValues" dxfId="2060" priority="192344"/>
    <cfRule type="duplicateValues" dxfId="2059" priority="192345"/>
    <cfRule type="duplicateValues" dxfId="2058" priority="192346"/>
    <cfRule type="duplicateValues" dxfId="2057" priority="192347"/>
    <cfRule type="duplicateValues" dxfId="2056" priority="192348"/>
    <cfRule type="duplicateValues" dxfId="2055" priority="192349"/>
    <cfRule type="duplicateValues" dxfId="2054" priority="192350"/>
    <cfRule type="duplicateValues" dxfId="2053" priority="192351"/>
  </conditionalFormatting>
  <conditionalFormatting sqref="B144">
    <cfRule type="duplicateValues" dxfId="2052" priority="1977"/>
    <cfRule type="duplicateValues" dxfId="2051" priority="1978"/>
    <cfRule type="duplicateValues" dxfId="2050" priority="1979"/>
    <cfRule type="duplicateValues" dxfId="2049" priority="1980"/>
    <cfRule type="duplicateValues" dxfId="2048" priority="1981"/>
    <cfRule type="duplicateValues" dxfId="2047" priority="1982"/>
    <cfRule type="duplicateValues" dxfId="2046" priority="1983"/>
    <cfRule type="duplicateValues" dxfId="2045" priority="1984"/>
    <cfRule type="duplicateValues" dxfId="2044" priority="1985"/>
    <cfRule type="duplicateValues" dxfId="2043" priority="1986"/>
    <cfRule type="duplicateValues" dxfId="2042" priority="1987"/>
    <cfRule type="duplicateValues" dxfId="2041" priority="1988"/>
    <cfRule type="duplicateValues" dxfId="2040" priority="1989"/>
    <cfRule type="duplicateValues" dxfId="2039" priority="1990"/>
    <cfRule type="duplicateValues" dxfId="2038" priority="1991"/>
    <cfRule type="duplicateValues" dxfId="2037" priority="1992"/>
    <cfRule type="duplicateValues" dxfId="2036" priority="1993"/>
    <cfRule type="duplicateValues" dxfId="2035" priority="1994"/>
    <cfRule type="duplicateValues" dxfId="2034" priority="1995"/>
    <cfRule type="duplicateValues" dxfId="2033" priority="1996"/>
    <cfRule type="duplicateValues" dxfId="2032" priority="1997"/>
    <cfRule type="duplicateValues" dxfId="2031" priority="1998"/>
    <cfRule type="duplicateValues" dxfId="2030" priority="1999"/>
    <cfRule type="duplicateValues" dxfId="2029" priority="2000"/>
    <cfRule type="duplicateValues" dxfId="2028" priority="2001"/>
    <cfRule type="duplicateValues" dxfId="2027" priority="2002"/>
    <cfRule type="duplicateValues" dxfId="2026" priority="2003"/>
    <cfRule type="duplicateValues" dxfId="2025" priority="2004"/>
    <cfRule type="duplicateValues" dxfId="2024" priority="2005"/>
    <cfRule type="duplicateValues" dxfId="2023" priority="2006"/>
    <cfRule type="duplicateValues" dxfId="2022" priority="2007"/>
    <cfRule type="duplicateValues" dxfId="2021" priority="2008"/>
    <cfRule type="duplicateValues" dxfId="2020" priority="2009"/>
    <cfRule type="duplicateValues" dxfId="2019" priority="2010"/>
    <cfRule type="duplicateValues" dxfId="2018" priority="2011"/>
    <cfRule type="duplicateValues" dxfId="2017" priority="2012"/>
    <cfRule type="duplicateValues" dxfId="2016" priority="2013"/>
    <cfRule type="duplicateValues" dxfId="2015" priority="2014"/>
    <cfRule type="duplicateValues" dxfId="2014" priority="2015"/>
    <cfRule type="duplicateValues" dxfId="2013" priority="2016"/>
  </conditionalFormatting>
  <conditionalFormatting sqref="B145">
    <cfRule type="duplicateValues" dxfId="2012" priority="1937"/>
    <cfRule type="duplicateValues" dxfId="2011" priority="1938"/>
    <cfRule type="duplicateValues" dxfId="2010" priority="1939"/>
    <cfRule type="duplicateValues" dxfId="2009" priority="1940"/>
    <cfRule type="duplicateValues" dxfId="2008" priority="1941"/>
    <cfRule type="duplicateValues" dxfId="2007" priority="1942"/>
    <cfRule type="duplicateValues" dxfId="2006" priority="1943"/>
    <cfRule type="duplicateValues" dxfId="2005" priority="1944"/>
    <cfRule type="duplicateValues" dxfId="2004" priority="1945"/>
    <cfRule type="duplicateValues" dxfId="2003" priority="1946"/>
    <cfRule type="duplicateValues" dxfId="2002" priority="1947"/>
    <cfRule type="duplicateValues" dxfId="2001" priority="1948"/>
    <cfRule type="duplicateValues" dxfId="2000" priority="1949"/>
    <cfRule type="duplicateValues" dxfId="1999" priority="1950"/>
    <cfRule type="duplicateValues" dxfId="1998" priority="1951"/>
    <cfRule type="duplicateValues" dxfId="1997" priority="1952"/>
    <cfRule type="duplicateValues" dxfId="1996" priority="1953"/>
    <cfRule type="duplicateValues" dxfId="1995" priority="1954"/>
    <cfRule type="duplicateValues" dxfId="1994" priority="1955"/>
    <cfRule type="duplicateValues" dxfId="1993" priority="1956"/>
    <cfRule type="duplicateValues" dxfId="1992" priority="1957"/>
    <cfRule type="duplicateValues" dxfId="1991" priority="1958"/>
    <cfRule type="duplicateValues" dxfId="1990" priority="1959"/>
    <cfRule type="duplicateValues" dxfId="1989" priority="1960"/>
    <cfRule type="duplicateValues" dxfId="1988" priority="1961"/>
    <cfRule type="duplicateValues" dxfId="1987" priority="1962"/>
    <cfRule type="duplicateValues" dxfId="1986" priority="1963"/>
    <cfRule type="duplicateValues" dxfId="1985" priority="1964"/>
    <cfRule type="duplicateValues" dxfId="1984" priority="1965"/>
    <cfRule type="duplicateValues" dxfId="1983" priority="1966"/>
    <cfRule type="duplicateValues" dxfId="1982" priority="1967"/>
    <cfRule type="duplicateValues" dxfId="1981" priority="1968"/>
    <cfRule type="duplicateValues" dxfId="1980" priority="1969"/>
    <cfRule type="duplicateValues" dxfId="1979" priority="1970"/>
    <cfRule type="duplicateValues" dxfId="1978" priority="1971"/>
    <cfRule type="duplicateValues" dxfId="1977" priority="1972"/>
    <cfRule type="duplicateValues" dxfId="1976" priority="1973"/>
    <cfRule type="duplicateValues" dxfId="1975" priority="1974"/>
    <cfRule type="duplicateValues" dxfId="1974" priority="1975"/>
    <cfRule type="duplicateValues" dxfId="1973" priority="1976"/>
  </conditionalFormatting>
  <conditionalFormatting sqref="B146:B314">
    <cfRule type="duplicateValues" dxfId="1972" priority="192352"/>
    <cfRule type="duplicateValues" dxfId="1971" priority="192353"/>
    <cfRule type="duplicateValues" dxfId="1970" priority="192354"/>
    <cfRule type="duplicateValues" dxfId="1969" priority="192355"/>
    <cfRule type="duplicateValues" dxfId="1968" priority="192356"/>
    <cfRule type="duplicateValues" dxfId="1967" priority="192357"/>
    <cfRule type="duplicateValues" dxfId="1966" priority="192358"/>
    <cfRule type="duplicateValues" dxfId="1965" priority="192359"/>
    <cfRule type="duplicateValues" dxfId="1964" priority="192360"/>
    <cfRule type="duplicateValues" dxfId="1963" priority="192361"/>
    <cfRule type="duplicateValues" dxfId="1962" priority="192362"/>
    <cfRule type="duplicateValues" dxfId="1961" priority="192363"/>
    <cfRule type="duplicateValues" dxfId="1960" priority="192364"/>
    <cfRule type="duplicateValues" dxfId="1959" priority="192365"/>
    <cfRule type="duplicateValues" dxfId="1958" priority="192366"/>
    <cfRule type="duplicateValues" dxfId="1957" priority="192367"/>
    <cfRule type="duplicateValues" dxfId="1956" priority="192368"/>
    <cfRule type="duplicateValues" dxfId="1955" priority="192369"/>
    <cfRule type="duplicateValues" dxfId="1954" priority="192370"/>
    <cfRule type="duplicateValues" dxfId="1953" priority="192371"/>
    <cfRule type="duplicateValues" dxfId="1952" priority="192372"/>
    <cfRule type="duplicateValues" dxfId="1951" priority="192373"/>
    <cfRule type="duplicateValues" dxfId="1950" priority="192374"/>
    <cfRule type="duplicateValues" dxfId="1949" priority="192375"/>
    <cfRule type="duplicateValues" dxfId="1948" priority="192376"/>
    <cfRule type="duplicateValues" dxfId="1947" priority="192377"/>
    <cfRule type="duplicateValues" dxfId="1946" priority="192378"/>
    <cfRule type="duplicateValues" dxfId="1945" priority="192379"/>
    <cfRule type="duplicateValues" dxfId="1944" priority="192380"/>
    <cfRule type="duplicateValues" dxfId="1943" priority="192381"/>
    <cfRule type="duplicateValues" dxfId="1942" priority="192382"/>
    <cfRule type="duplicateValues" dxfId="1941" priority="192383"/>
    <cfRule type="duplicateValues" dxfId="1940" priority="192384"/>
    <cfRule type="duplicateValues" dxfId="1939" priority="192385"/>
    <cfRule type="duplicateValues" dxfId="1938" priority="192386"/>
    <cfRule type="duplicateValues" dxfId="1937" priority="192387"/>
    <cfRule type="duplicateValues" dxfId="1936" priority="192388"/>
    <cfRule type="duplicateValues" dxfId="1935" priority="192389"/>
    <cfRule type="duplicateValues" dxfId="1934" priority="192390"/>
    <cfRule type="duplicateValues" dxfId="1933" priority="192391"/>
  </conditionalFormatting>
  <conditionalFormatting sqref="B150:B314">
    <cfRule type="duplicateValues" dxfId="1932" priority="192392"/>
    <cfRule type="duplicateValues" dxfId="1931" priority="192393"/>
    <cfRule type="duplicateValues" dxfId="1930" priority="192394"/>
    <cfRule type="duplicateValues" dxfId="1929" priority="192395"/>
    <cfRule type="duplicateValues" dxfId="1928" priority="192396"/>
    <cfRule type="duplicateValues" dxfId="1927" priority="192397"/>
    <cfRule type="duplicateValues" dxfId="1926" priority="192398"/>
    <cfRule type="duplicateValues" dxfId="1925" priority="192399"/>
    <cfRule type="duplicateValues" dxfId="1924" priority="192400"/>
    <cfRule type="duplicateValues" dxfId="1923" priority="192401"/>
    <cfRule type="duplicateValues" dxfId="1922" priority="192402"/>
    <cfRule type="duplicateValues" dxfId="1921" priority="192403"/>
    <cfRule type="duplicateValues" dxfId="1920" priority="192404"/>
    <cfRule type="duplicateValues" dxfId="1919" priority="192405"/>
    <cfRule type="duplicateValues" dxfId="1918" priority="192406"/>
    <cfRule type="duplicateValues" dxfId="1917" priority="192407"/>
    <cfRule type="duplicateValues" dxfId="1916" priority="192408"/>
    <cfRule type="duplicateValues" dxfId="1915" priority="192409"/>
    <cfRule type="duplicateValues" dxfId="1914" priority="192410"/>
    <cfRule type="duplicateValues" dxfId="1913" priority="192411"/>
    <cfRule type="duplicateValues" dxfId="1912" priority="192412"/>
    <cfRule type="duplicateValues" dxfId="1911" priority="192413"/>
    <cfRule type="duplicateValues" dxfId="1910" priority="192414"/>
    <cfRule type="duplicateValues" dxfId="1909" priority="192415"/>
    <cfRule type="duplicateValues" dxfId="1908" priority="192416"/>
    <cfRule type="duplicateValues" dxfId="1907" priority="192417"/>
    <cfRule type="duplicateValues" dxfId="1906" priority="192418"/>
    <cfRule type="duplicateValues" dxfId="1905" priority="192419"/>
    <cfRule type="duplicateValues" dxfId="1904" priority="192420"/>
    <cfRule type="duplicateValues" dxfId="1903" priority="192421"/>
    <cfRule type="duplicateValues" dxfId="1902" priority="192422"/>
    <cfRule type="duplicateValues" dxfId="1901" priority="192423"/>
    <cfRule type="duplicateValues" dxfId="1900" priority="192424"/>
    <cfRule type="duplicateValues" dxfId="1899" priority="192425"/>
    <cfRule type="duplicateValues" dxfId="1898" priority="192426"/>
    <cfRule type="duplicateValues" dxfId="1897" priority="192427"/>
    <cfRule type="duplicateValues" dxfId="1896" priority="192428"/>
    <cfRule type="duplicateValues" dxfId="1895" priority="192429"/>
    <cfRule type="duplicateValues" dxfId="1894" priority="192430"/>
    <cfRule type="duplicateValues" dxfId="1893" priority="192431"/>
  </conditionalFormatting>
  <conditionalFormatting sqref="B154:B314">
    <cfRule type="duplicateValues" dxfId="1892" priority="192432"/>
    <cfRule type="duplicateValues" dxfId="1891" priority="192433"/>
    <cfRule type="duplicateValues" dxfId="1890" priority="192434"/>
    <cfRule type="duplicateValues" dxfId="1889" priority="192435"/>
    <cfRule type="duplicateValues" dxfId="1888" priority="192436"/>
    <cfRule type="duplicateValues" dxfId="1887" priority="192437"/>
    <cfRule type="duplicateValues" dxfId="1886" priority="192438"/>
    <cfRule type="duplicateValues" dxfId="1885" priority="192439"/>
    <cfRule type="duplicateValues" dxfId="1884" priority="192440"/>
    <cfRule type="duplicateValues" dxfId="1883" priority="192441"/>
    <cfRule type="duplicateValues" dxfId="1882" priority="192442"/>
    <cfRule type="duplicateValues" dxfId="1881" priority="192443"/>
    <cfRule type="duplicateValues" dxfId="1880" priority="192444"/>
    <cfRule type="duplicateValues" dxfId="1879" priority="192445"/>
    <cfRule type="duplicateValues" dxfId="1878" priority="192446"/>
    <cfRule type="duplicateValues" dxfId="1877" priority="192447"/>
    <cfRule type="duplicateValues" dxfId="1876" priority="192448"/>
    <cfRule type="duplicateValues" dxfId="1875" priority="192449"/>
    <cfRule type="duplicateValues" dxfId="1874" priority="192450"/>
    <cfRule type="duplicateValues" dxfId="1873" priority="192451"/>
    <cfRule type="duplicateValues" dxfId="1872" priority="192452"/>
    <cfRule type="duplicateValues" dxfId="1871" priority="192453"/>
    <cfRule type="duplicateValues" dxfId="1870" priority="192454"/>
    <cfRule type="duplicateValues" dxfId="1869" priority="192455"/>
    <cfRule type="duplicateValues" dxfId="1868" priority="192456"/>
    <cfRule type="duplicateValues" dxfId="1867" priority="192457"/>
    <cfRule type="duplicateValues" dxfId="1866" priority="192458"/>
    <cfRule type="duplicateValues" dxfId="1865" priority="192459"/>
    <cfRule type="duplicateValues" dxfId="1864" priority="192460"/>
    <cfRule type="duplicateValues" dxfId="1863" priority="192461"/>
    <cfRule type="duplicateValues" dxfId="1862" priority="192462"/>
    <cfRule type="duplicateValues" dxfId="1861" priority="192463"/>
    <cfRule type="duplicateValues" dxfId="1860" priority="192464"/>
    <cfRule type="duplicateValues" dxfId="1859" priority="192465"/>
    <cfRule type="duplicateValues" dxfId="1858" priority="192466"/>
    <cfRule type="duplicateValues" dxfId="1857" priority="192467"/>
    <cfRule type="duplicateValues" dxfId="1856" priority="192468"/>
    <cfRule type="duplicateValues" dxfId="1855" priority="192469"/>
    <cfRule type="duplicateValues" dxfId="1854" priority="192470"/>
    <cfRule type="duplicateValues" dxfId="1853" priority="192471"/>
  </conditionalFormatting>
  <conditionalFormatting sqref="B159:B314">
    <cfRule type="duplicateValues" dxfId="1852" priority="192472"/>
    <cfRule type="duplicateValues" dxfId="1851" priority="192473"/>
    <cfRule type="duplicateValues" dxfId="1850" priority="192474"/>
    <cfRule type="duplicateValues" dxfId="1849" priority="192475"/>
    <cfRule type="duplicateValues" dxfId="1848" priority="192476"/>
    <cfRule type="duplicateValues" dxfId="1847" priority="192477"/>
    <cfRule type="duplicateValues" dxfId="1846" priority="192478"/>
    <cfRule type="duplicateValues" dxfId="1845" priority="192479"/>
    <cfRule type="duplicateValues" dxfId="1844" priority="192480"/>
    <cfRule type="duplicateValues" dxfId="1843" priority="192481"/>
    <cfRule type="duplicateValues" dxfId="1842" priority="192482"/>
    <cfRule type="duplicateValues" dxfId="1841" priority="192483"/>
    <cfRule type="duplicateValues" dxfId="1840" priority="192484"/>
    <cfRule type="duplicateValues" dxfId="1839" priority="192485"/>
    <cfRule type="duplicateValues" dxfId="1838" priority="192486"/>
    <cfRule type="duplicateValues" dxfId="1837" priority="192487"/>
    <cfRule type="duplicateValues" dxfId="1836" priority="192488"/>
    <cfRule type="duplicateValues" dxfId="1835" priority="192489"/>
    <cfRule type="duplicateValues" dxfId="1834" priority="192490"/>
    <cfRule type="duplicateValues" dxfId="1833" priority="192491"/>
    <cfRule type="duplicateValues" dxfId="1832" priority="192492"/>
    <cfRule type="duplicateValues" dxfId="1831" priority="192493"/>
    <cfRule type="duplicateValues" dxfId="1830" priority="192494"/>
    <cfRule type="duplicateValues" dxfId="1829" priority="192495"/>
    <cfRule type="duplicateValues" dxfId="1828" priority="192496"/>
    <cfRule type="duplicateValues" dxfId="1827" priority="192497"/>
    <cfRule type="duplicateValues" dxfId="1826" priority="192498"/>
    <cfRule type="duplicateValues" dxfId="1825" priority="192499"/>
    <cfRule type="duplicateValues" dxfId="1824" priority="192500"/>
    <cfRule type="duplicateValues" dxfId="1823" priority="192501"/>
    <cfRule type="duplicateValues" dxfId="1822" priority="192502"/>
    <cfRule type="duplicateValues" dxfId="1821" priority="192503"/>
    <cfRule type="duplicateValues" dxfId="1820" priority="192504"/>
    <cfRule type="duplicateValues" dxfId="1819" priority="192505"/>
    <cfRule type="duplicateValues" dxfId="1818" priority="192506"/>
    <cfRule type="duplicateValues" dxfId="1817" priority="192507"/>
    <cfRule type="duplicateValues" dxfId="1816" priority="192508"/>
    <cfRule type="duplicateValues" dxfId="1815" priority="192509"/>
    <cfRule type="duplicateValues" dxfId="1814" priority="192510"/>
    <cfRule type="duplicateValues" dxfId="1813" priority="192511"/>
  </conditionalFormatting>
  <conditionalFormatting sqref="B164:B314">
    <cfRule type="duplicateValues" dxfId="1812" priority="192512"/>
    <cfRule type="duplicateValues" dxfId="1811" priority="192513"/>
    <cfRule type="duplicateValues" dxfId="1810" priority="192514"/>
    <cfRule type="duplicateValues" dxfId="1809" priority="192515"/>
    <cfRule type="duplicateValues" dxfId="1808" priority="192516"/>
    <cfRule type="duplicateValues" dxfId="1807" priority="192517"/>
    <cfRule type="duplicateValues" dxfId="1806" priority="192518"/>
    <cfRule type="duplicateValues" dxfId="1805" priority="192519"/>
    <cfRule type="duplicateValues" dxfId="1804" priority="192520"/>
    <cfRule type="duplicateValues" dxfId="1803" priority="192521"/>
    <cfRule type="duplicateValues" dxfId="1802" priority="192522"/>
    <cfRule type="duplicateValues" dxfId="1801" priority="192523"/>
    <cfRule type="duplicateValues" dxfId="1800" priority="192524"/>
    <cfRule type="duplicateValues" dxfId="1799" priority="192525"/>
    <cfRule type="duplicateValues" dxfId="1798" priority="192526"/>
    <cfRule type="duplicateValues" dxfId="1797" priority="192527"/>
    <cfRule type="duplicateValues" dxfId="1796" priority="192528"/>
    <cfRule type="duplicateValues" dxfId="1795" priority="192529"/>
    <cfRule type="duplicateValues" dxfId="1794" priority="192530"/>
    <cfRule type="duplicateValues" dxfId="1793" priority="192531"/>
    <cfRule type="duplicateValues" dxfId="1792" priority="192532"/>
    <cfRule type="duplicateValues" dxfId="1791" priority="192533"/>
    <cfRule type="duplicateValues" dxfId="1790" priority="192534"/>
    <cfRule type="duplicateValues" dxfId="1789" priority="192535"/>
    <cfRule type="duplicateValues" dxfId="1788" priority="192536"/>
    <cfRule type="duplicateValues" dxfId="1787" priority="192537"/>
    <cfRule type="duplicateValues" dxfId="1786" priority="192538"/>
    <cfRule type="duplicateValues" dxfId="1785" priority="192539"/>
    <cfRule type="duplicateValues" dxfId="1784" priority="192540"/>
    <cfRule type="duplicateValues" dxfId="1783" priority="192541"/>
    <cfRule type="duplicateValues" dxfId="1782" priority="192542"/>
    <cfRule type="duplicateValues" dxfId="1781" priority="192543"/>
    <cfRule type="duplicateValues" dxfId="1780" priority="192544"/>
    <cfRule type="duplicateValues" dxfId="1779" priority="192545"/>
    <cfRule type="duplicateValues" dxfId="1778" priority="192546"/>
    <cfRule type="duplicateValues" dxfId="1777" priority="192547"/>
    <cfRule type="duplicateValues" dxfId="1776" priority="192548"/>
    <cfRule type="duplicateValues" dxfId="1775" priority="192549"/>
    <cfRule type="duplicateValues" dxfId="1774" priority="192550"/>
    <cfRule type="duplicateValues" dxfId="1773" priority="192551"/>
  </conditionalFormatting>
  <conditionalFormatting sqref="B171:B314">
    <cfRule type="duplicateValues" dxfId="1772" priority="192552"/>
    <cfRule type="duplicateValues" dxfId="1771" priority="192553"/>
    <cfRule type="duplicateValues" dxfId="1770" priority="192554"/>
    <cfRule type="duplicateValues" dxfId="1769" priority="192555"/>
    <cfRule type="duplicateValues" dxfId="1768" priority="192556"/>
    <cfRule type="duplicateValues" dxfId="1767" priority="192557"/>
    <cfRule type="duplicateValues" dxfId="1766" priority="192558"/>
    <cfRule type="duplicateValues" dxfId="1765" priority="192559"/>
    <cfRule type="duplicateValues" dxfId="1764" priority="192560"/>
    <cfRule type="duplicateValues" dxfId="1763" priority="192561"/>
    <cfRule type="duplicateValues" dxfId="1762" priority="192562"/>
    <cfRule type="duplicateValues" dxfId="1761" priority="192563"/>
    <cfRule type="duplicateValues" dxfId="1760" priority="192564"/>
    <cfRule type="duplicateValues" dxfId="1759" priority="192565"/>
    <cfRule type="duplicateValues" dxfId="1758" priority="192566"/>
    <cfRule type="duplicateValues" dxfId="1757" priority="192567"/>
    <cfRule type="duplicateValues" dxfId="1756" priority="192568"/>
    <cfRule type="duplicateValues" dxfId="1755" priority="192569"/>
    <cfRule type="duplicateValues" dxfId="1754" priority="192570"/>
    <cfRule type="duplicateValues" dxfId="1753" priority="192571"/>
    <cfRule type="duplicateValues" dxfId="1752" priority="192572"/>
    <cfRule type="duplicateValues" dxfId="1751" priority="192573"/>
    <cfRule type="duplicateValues" dxfId="1750" priority="192574"/>
    <cfRule type="duplicateValues" dxfId="1749" priority="192575"/>
    <cfRule type="duplicateValues" dxfId="1748" priority="192576"/>
    <cfRule type="duplicateValues" dxfId="1747" priority="192577"/>
    <cfRule type="duplicateValues" dxfId="1746" priority="192578"/>
    <cfRule type="duplicateValues" dxfId="1745" priority="192579"/>
    <cfRule type="duplicateValues" dxfId="1744" priority="192580"/>
    <cfRule type="duplicateValues" dxfId="1743" priority="192581"/>
    <cfRule type="duplicateValues" dxfId="1742" priority="192582"/>
    <cfRule type="duplicateValues" dxfId="1741" priority="192583"/>
    <cfRule type="duplicateValues" dxfId="1740" priority="192584"/>
    <cfRule type="duplicateValues" dxfId="1739" priority="192585"/>
    <cfRule type="duplicateValues" dxfId="1738" priority="192586"/>
    <cfRule type="duplicateValues" dxfId="1737" priority="192587"/>
    <cfRule type="duplicateValues" dxfId="1736" priority="192588"/>
    <cfRule type="duplicateValues" dxfId="1735" priority="192589"/>
    <cfRule type="duplicateValues" dxfId="1734" priority="192590"/>
    <cfRule type="duplicateValues" dxfId="1733" priority="192591"/>
  </conditionalFormatting>
  <conditionalFormatting sqref="B178:B314">
    <cfRule type="duplicateValues" dxfId="1732" priority="192592"/>
    <cfRule type="duplicateValues" dxfId="1731" priority="192593"/>
    <cfRule type="duplicateValues" dxfId="1730" priority="192594"/>
    <cfRule type="duplicateValues" dxfId="1729" priority="192595"/>
    <cfRule type="duplicateValues" dxfId="1728" priority="192596"/>
    <cfRule type="duplicateValues" dxfId="1727" priority="192597"/>
    <cfRule type="duplicateValues" dxfId="1726" priority="192598"/>
    <cfRule type="duplicateValues" dxfId="1725" priority="192599"/>
    <cfRule type="duplicateValues" dxfId="1724" priority="192600"/>
    <cfRule type="duplicateValues" dxfId="1723" priority="192601"/>
    <cfRule type="duplicateValues" dxfId="1722" priority="192602"/>
    <cfRule type="duplicateValues" dxfId="1721" priority="192603"/>
    <cfRule type="duplicateValues" dxfId="1720" priority="192604"/>
    <cfRule type="duplicateValues" dxfId="1719" priority="192605"/>
    <cfRule type="duplicateValues" dxfId="1718" priority="192606"/>
    <cfRule type="duplicateValues" dxfId="1717" priority="192607"/>
    <cfRule type="duplicateValues" dxfId="1716" priority="192608"/>
    <cfRule type="duplicateValues" dxfId="1715" priority="192609"/>
    <cfRule type="duplicateValues" dxfId="1714" priority="192610"/>
    <cfRule type="duplicateValues" dxfId="1713" priority="192611"/>
    <cfRule type="duplicateValues" dxfId="1712" priority="192612"/>
    <cfRule type="duplicateValues" dxfId="1711" priority="192613"/>
    <cfRule type="duplicateValues" dxfId="1710" priority="192614"/>
    <cfRule type="duplicateValues" dxfId="1709" priority="192615"/>
    <cfRule type="duplicateValues" dxfId="1708" priority="192616"/>
    <cfRule type="duplicateValues" dxfId="1707" priority="192617"/>
    <cfRule type="duplicateValues" dxfId="1706" priority="192618"/>
    <cfRule type="duplicateValues" dxfId="1705" priority="192619"/>
    <cfRule type="duplicateValues" dxfId="1704" priority="192620"/>
    <cfRule type="duplicateValues" dxfId="1703" priority="192621"/>
    <cfRule type="duplicateValues" dxfId="1702" priority="192622"/>
    <cfRule type="duplicateValues" dxfId="1701" priority="192623"/>
    <cfRule type="duplicateValues" dxfId="1700" priority="192624"/>
    <cfRule type="duplicateValues" dxfId="1699" priority="192625"/>
    <cfRule type="duplicateValues" dxfId="1698" priority="192626"/>
    <cfRule type="duplicateValues" dxfId="1697" priority="192627"/>
    <cfRule type="duplicateValues" dxfId="1696" priority="192628"/>
    <cfRule type="duplicateValues" dxfId="1695" priority="192629"/>
    <cfRule type="duplicateValues" dxfId="1694" priority="192630"/>
    <cfRule type="duplicateValues" dxfId="1693" priority="192631"/>
  </conditionalFormatting>
  <conditionalFormatting sqref="B184">
    <cfRule type="duplicateValues" dxfId="1692" priority="1385"/>
    <cfRule type="duplicateValues" dxfId="1691" priority="1386"/>
    <cfRule type="duplicateValues" dxfId="1690" priority="1387"/>
    <cfRule type="duplicateValues" dxfId="1689" priority="1388"/>
    <cfRule type="duplicateValues" dxfId="1688" priority="1389"/>
    <cfRule type="duplicateValues" dxfId="1687" priority="1390"/>
    <cfRule type="duplicateValues" dxfId="1686" priority="1391"/>
    <cfRule type="duplicateValues" dxfId="1685" priority="1392"/>
    <cfRule type="duplicateValues" dxfId="1684" priority="1393"/>
    <cfRule type="duplicateValues" dxfId="1683" priority="1394"/>
    <cfRule type="duplicateValues" dxfId="1682" priority="1395"/>
    <cfRule type="duplicateValues" dxfId="1681" priority="1396"/>
    <cfRule type="duplicateValues" dxfId="1680" priority="1397"/>
    <cfRule type="duplicateValues" dxfId="1679" priority="1398"/>
    <cfRule type="duplicateValues" dxfId="1678" priority="1399"/>
    <cfRule type="duplicateValues" dxfId="1677" priority="1400"/>
    <cfRule type="duplicateValues" dxfId="1676" priority="1401"/>
    <cfRule type="duplicateValues" dxfId="1675" priority="1402"/>
    <cfRule type="duplicateValues" dxfId="1674" priority="1403"/>
    <cfRule type="duplicateValues" dxfId="1673" priority="1404"/>
    <cfRule type="duplicateValues" dxfId="1672" priority="1405"/>
    <cfRule type="duplicateValues" dxfId="1671" priority="1406"/>
    <cfRule type="duplicateValues" dxfId="1670" priority="1407"/>
    <cfRule type="duplicateValues" dxfId="1669" priority="1408"/>
    <cfRule type="duplicateValues" dxfId="1668" priority="1409"/>
    <cfRule type="duplicateValues" dxfId="1667" priority="1410"/>
    <cfRule type="duplicateValues" dxfId="1666" priority="1411"/>
    <cfRule type="duplicateValues" dxfId="1665" priority="1412"/>
    <cfRule type="duplicateValues" dxfId="1664" priority="1413"/>
    <cfRule type="duplicateValues" dxfId="1663" priority="1414"/>
    <cfRule type="duplicateValues" dxfId="1662" priority="1415"/>
    <cfRule type="duplicateValues" dxfId="1661" priority="1416"/>
    <cfRule type="duplicateValues" dxfId="1660" priority="1417"/>
    <cfRule type="duplicateValues" dxfId="1659" priority="1418"/>
    <cfRule type="duplicateValues" dxfId="1658" priority="1419"/>
    <cfRule type="duplicateValues" dxfId="1657" priority="1420"/>
    <cfRule type="duplicateValues" dxfId="1656" priority="1421"/>
    <cfRule type="duplicateValues" dxfId="1655" priority="1422"/>
    <cfRule type="duplicateValues" dxfId="1654" priority="1423"/>
    <cfRule type="duplicateValues" dxfId="1653" priority="1424"/>
  </conditionalFormatting>
  <conditionalFormatting sqref="B185:B314">
    <cfRule type="duplicateValues" dxfId="1652" priority="192632"/>
    <cfRule type="duplicateValues" dxfId="1651" priority="192633"/>
    <cfRule type="duplicateValues" dxfId="1650" priority="192634"/>
    <cfRule type="duplicateValues" dxfId="1649" priority="192635"/>
    <cfRule type="duplicateValues" dxfId="1648" priority="192636"/>
    <cfRule type="duplicateValues" dxfId="1647" priority="192637"/>
    <cfRule type="duplicateValues" dxfId="1646" priority="192638"/>
    <cfRule type="duplicateValues" dxfId="1645" priority="192639"/>
    <cfRule type="duplicateValues" dxfId="1644" priority="192640"/>
    <cfRule type="duplicateValues" dxfId="1643" priority="192641"/>
    <cfRule type="duplicateValues" dxfId="1642" priority="192642"/>
    <cfRule type="duplicateValues" dxfId="1641" priority="192643"/>
    <cfRule type="duplicateValues" dxfId="1640" priority="192644"/>
    <cfRule type="duplicateValues" dxfId="1639" priority="192645"/>
    <cfRule type="duplicateValues" dxfId="1638" priority="192646"/>
    <cfRule type="duplicateValues" dxfId="1637" priority="192647"/>
    <cfRule type="duplicateValues" dxfId="1636" priority="192648"/>
    <cfRule type="duplicateValues" dxfId="1635" priority="192649"/>
    <cfRule type="duplicateValues" dxfId="1634" priority="192650"/>
    <cfRule type="duplicateValues" dxfId="1633" priority="192651"/>
    <cfRule type="duplicateValues" dxfId="1632" priority="192652"/>
    <cfRule type="duplicateValues" dxfId="1631" priority="192653"/>
    <cfRule type="duplicateValues" dxfId="1630" priority="192654"/>
    <cfRule type="duplicateValues" dxfId="1629" priority="192655"/>
    <cfRule type="duplicateValues" dxfId="1628" priority="192656"/>
    <cfRule type="duplicateValues" dxfId="1627" priority="192657"/>
    <cfRule type="duplicateValues" dxfId="1626" priority="192658"/>
    <cfRule type="duplicateValues" dxfId="1625" priority="192659"/>
    <cfRule type="duplicateValues" dxfId="1624" priority="192660"/>
    <cfRule type="duplicateValues" dxfId="1623" priority="192661"/>
    <cfRule type="duplicateValues" dxfId="1622" priority="192662"/>
    <cfRule type="duplicateValues" dxfId="1621" priority="192663"/>
    <cfRule type="duplicateValues" dxfId="1620" priority="192664"/>
    <cfRule type="duplicateValues" dxfId="1619" priority="192665"/>
    <cfRule type="duplicateValues" dxfId="1618" priority="192666"/>
    <cfRule type="duplicateValues" dxfId="1617" priority="192667"/>
    <cfRule type="duplicateValues" dxfId="1616" priority="192668"/>
    <cfRule type="duplicateValues" dxfId="1615" priority="192669"/>
    <cfRule type="duplicateValues" dxfId="1614" priority="192670"/>
    <cfRule type="duplicateValues" dxfId="1613" priority="192671"/>
  </conditionalFormatting>
  <conditionalFormatting sqref="B191">
    <cfRule type="duplicateValues" dxfId="1612" priority="1265"/>
    <cfRule type="duplicateValues" dxfId="1611" priority="1266"/>
    <cfRule type="duplicateValues" dxfId="1610" priority="1267"/>
    <cfRule type="duplicateValues" dxfId="1609" priority="1268"/>
    <cfRule type="duplicateValues" dxfId="1608" priority="1269"/>
    <cfRule type="duplicateValues" dxfId="1607" priority="1270"/>
    <cfRule type="duplicateValues" dxfId="1606" priority="1271"/>
    <cfRule type="duplicateValues" dxfId="1605" priority="1272"/>
    <cfRule type="duplicateValues" dxfId="1604" priority="1273"/>
    <cfRule type="duplicateValues" dxfId="1603" priority="1274"/>
    <cfRule type="duplicateValues" dxfId="1602" priority="1275"/>
    <cfRule type="duplicateValues" dxfId="1601" priority="1276"/>
    <cfRule type="duplicateValues" dxfId="1600" priority="1277"/>
    <cfRule type="duplicateValues" dxfId="1599" priority="1278"/>
    <cfRule type="duplicateValues" dxfId="1598" priority="1279"/>
    <cfRule type="duplicateValues" dxfId="1597" priority="1280"/>
    <cfRule type="duplicateValues" dxfId="1596" priority="1281"/>
    <cfRule type="duplicateValues" dxfId="1595" priority="1282"/>
    <cfRule type="duplicateValues" dxfId="1594" priority="1283"/>
    <cfRule type="duplicateValues" dxfId="1593" priority="1284"/>
    <cfRule type="duplicateValues" dxfId="1592" priority="1285"/>
    <cfRule type="duplicateValues" dxfId="1591" priority="1286"/>
    <cfRule type="duplicateValues" dxfId="1590" priority="1287"/>
    <cfRule type="duplicateValues" dxfId="1589" priority="1288"/>
    <cfRule type="duplicateValues" dxfId="1588" priority="1289"/>
    <cfRule type="duplicateValues" dxfId="1587" priority="1290"/>
    <cfRule type="duplicateValues" dxfId="1586" priority="1291"/>
    <cfRule type="duplicateValues" dxfId="1585" priority="1292"/>
    <cfRule type="duplicateValues" dxfId="1584" priority="1293"/>
    <cfRule type="duplicateValues" dxfId="1583" priority="1294"/>
    <cfRule type="duplicateValues" dxfId="1582" priority="1295"/>
    <cfRule type="duplicateValues" dxfId="1581" priority="1296"/>
    <cfRule type="duplicateValues" dxfId="1580" priority="1297"/>
    <cfRule type="duplicateValues" dxfId="1579" priority="1298"/>
    <cfRule type="duplicateValues" dxfId="1578" priority="1299"/>
    <cfRule type="duplicateValues" dxfId="1577" priority="1300"/>
    <cfRule type="duplicateValues" dxfId="1576" priority="1301"/>
    <cfRule type="duplicateValues" dxfId="1575" priority="1302"/>
    <cfRule type="duplicateValues" dxfId="1574" priority="1303"/>
    <cfRule type="duplicateValues" dxfId="1573" priority="1304"/>
  </conditionalFormatting>
  <conditionalFormatting sqref="B192:B314">
    <cfRule type="duplicateValues" dxfId="1572" priority="192672"/>
    <cfRule type="duplicateValues" dxfId="1571" priority="192673"/>
    <cfRule type="duplicateValues" dxfId="1570" priority="192674"/>
    <cfRule type="duplicateValues" dxfId="1569" priority="192675"/>
    <cfRule type="duplicateValues" dxfId="1568" priority="192676"/>
    <cfRule type="duplicateValues" dxfId="1567" priority="192677"/>
    <cfRule type="duplicateValues" dxfId="1566" priority="192678"/>
    <cfRule type="duplicateValues" dxfId="1565" priority="192679"/>
    <cfRule type="duplicateValues" dxfId="1564" priority="192680"/>
    <cfRule type="duplicateValues" dxfId="1563" priority="192681"/>
    <cfRule type="duplicateValues" dxfId="1562" priority="192682"/>
    <cfRule type="duplicateValues" dxfId="1561" priority="192683"/>
    <cfRule type="duplicateValues" dxfId="1560" priority="192684"/>
    <cfRule type="duplicateValues" dxfId="1559" priority="192685"/>
    <cfRule type="duplicateValues" dxfId="1558" priority="192686"/>
    <cfRule type="duplicateValues" dxfId="1557" priority="192687"/>
    <cfRule type="duplicateValues" dxfId="1556" priority="192688"/>
    <cfRule type="duplicateValues" dxfId="1555" priority="192689"/>
    <cfRule type="duplicateValues" dxfId="1554" priority="192690"/>
    <cfRule type="duplicateValues" dxfId="1553" priority="192691"/>
    <cfRule type="duplicateValues" dxfId="1552" priority="192692"/>
    <cfRule type="duplicateValues" dxfId="1551" priority="192693"/>
    <cfRule type="duplicateValues" dxfId="1550" priority="192694"/>
    <cfRule type="duplicateValues" dxfId="1549" priority="192695"/>
    <cfRule type="duplicateValues" dxfId="1548" priority="192696"/>
    <cfRule type="duplicateValues" dxfId="1547" priority="192697"/>
    <cfRule type="duplicateValues" dxfId="1546" priority="192698"/>
    <cfRule type="duplicateValues" dxfId="1545" priority="192699"/>
    <cfRule type="duplicateValues" dxfId="1544" priority="192700"/>
    <cfRule type="duplicateValues" dxfId="1543" priority="192701"/>
    <cfRule type="duplicateValues" dxfId="1542" priority="192702"/>
    <cfRule type="duplicateValues" dxfId="1541" priority="192703"/>
    <cfRule type="duplicateValues" dxfId="1540" priority="192704"/>
    <cfRule type="duplicateValues" dxfId="1539" priority="192705"/>
    <cfRule type="duplicateValues" dxfId="1538" priority="192706"/>
    <cfRule type="duplicateValues" dxfId="1537" priority="192707"/>
    <cfRule type="duplicateValues" dxfId="1536" priority="192708"/>
    <cfRule type="duplicateValues" dxfId="1535" priority="192709"/>
    <cfRule type="duplicateValues" dxfId="1534" priority="192710"/>
    <cfRule type="duplicateValues" dxfId="1533" priority="192711"/>
  </conditionalFormatting>
  <conditionalFormatting sqref="B197:B314">
    <cfRule type="duplicateValues" dxfId="1532" priority="192712"/>
    <cfRule type="duplicateValues" dxfId="1531" priority="192713"/>
    <cfRule type="duplicateValues" dxfId="1530" priority="192714"/>
    <cfRule type="duplicateValues" dxfId="1529" priority="192715"/>
    <cfRule type="duplicateValues" dxfId="1528" priority="192716"/>
    <cfRule type="duplicateValues" dxfId="1527" priority="192717"/>
    <cfRule type="duplicateValues" dxfId="1526" priority="192718"/>
    <cfRule type="duplicateValues" dxfId="1525" priority="192719"/>
    <cfRule type="duplicateValues" dxfId="1524" priority="192720"/>
    <cfRule type="duplicateValues" dxfId="1523" priority="192721"/>
    <cfRule type="duplicateValues" dxfId="1522" priority="192722"/>
    <cfRule type="duplicateValues" dxfId="1521" priority="192723"/>
    <cfRule type="duplicateValues" dxfId="1520" priority="192724"/>
    <cfRule type="duplicateValues" dxfId="1519" priority="192725"/>
    <cfRule type="duplicateValues" dxfId="1518" priority="192726"/>
    <cfRule type="duplicateValues" dxfId="1517" priority="192727"/>
    <cfRule type="duplicateValues" dxfId="1516" priority="192728"/>
    <cfRule type="duplicateValues" dxfId="1515" priority="192729"/>
    <cfRule type="duplicateValues" dxfId="1514" priority="192730"/>
    <cfRule type="duplicateValues" dxfId="1513" priority="192731"/>
    <cfRule type="duplicateValues" dxfId="1512" priority="192732"/>
    <cfRule type="duplicateValues" dxfId="1511" priority="192733"/>
    <cfRule type="duplicateValues" dxfId="1510" priority="192734"/>
    <cfRule type="duplicateValues" dxfId="1509" priority="192735"/>
    <cfRule type="duplicateValues" dxfId="1508" priority="192736"/>
    <cfRule type="duplicateValues" dxfId="1507" priority="192737"/>
    <cfRule type="duplicateValues" dxfId="1506" priority="192738"/>
    <cfRule type="duplicateValues" dxfId="1505" priority="192739"/>
    <cfRule type="duplicateValues" dxfId="1504" priority="192740"/>
    <cfRule type="duplicateValues" dxfId="1503" priority="192741"/>
    <cfRule type="duplicateValues" dxfId="1502" priority="192742"/>
    <cfRule type="duplicateValues" dxfId="1501" priority="192743"/>
    <cfRule type="duplicateValues" dxfId="1500" priority="192744"/>
    <cfRule type="duplicateValues" dxfId="1499" priority="192745"/>
    <cfRule type="duplicateValues" dxfId="1498" priority="192746"/>
    <cfRule type="duplicateValues" dxfId="1497" priority="192747"/>
    <cfRule type="duplicateValues" dxfId="1496" priority="192748"/>
    <cfRule type="duplicateValues" dxfId="1495" priority="192749"/>
    <cfRule type="duplicateValues" dxfId="1494" priority="192750"/>
    <cfRule type="duplicateValues" dxfId="1493" priority="192751"/>
  </conditionalFormatting>
  <conditionalFormatting sqref="B205:B314">
    <cfRule type="duplicateValues" dxfId="1492" priority="192752"/>
    <cfRule type="duplicateValues" dxfId="1491" priority="192753"/>
    <cfRule type="duplicateValues" dxfId="1490" priority="192754"/>
    <cfRule type="duplicateValues" dxfId="1489" priority="192755"/>
    <cfRule type="duplicateValues" dxfId="1488" priority="192756"/>
    <cfRule type="duplicateValues" dxfId="1487" priority="192757"/>
    <cfRule type="duplicateValues" dxfId="1486" priority="192758"/>
    <cfRule type="duplicateValues" dxfId="1485" priority="192759"/>
    <cfRule type="duplicateValues" dxfId="1484" priority="192760"/>
    <cfRule type="duplicateValues" dxfId="1483" priority="192761"/>
    <cfRule type="duplicateValues" dxfId="1482" priority="192762"/>
    <cfRule type="duplicateValues" dxfId="1481" priority="192763"/>
    <cfRule type="duplicateValues" dxfId="1480" priority="192764"/>
    <cfRule type="duplicateValues" dxfId="1479" priority="192765"/>
    <cfRule type="duplicateValues" dxfId="1478" priority="192766"/>
    <cfRule type="duplicateValues" dxfId="1477" priority="192767"/>
    <cfRule type="duplicateValues" dxfId="1476" priority="192768"/>
    <cfRule type="duplicateValues" dxfId="1475" priority="192769"/>
    <cfRule type="duplicateValues" dxfId="1474" priority="192770"/>
    <cfRule type="duplicateValues" dxfId="1473" priority="192771"/>
    <cfRule type="duplicateValues" dxfId="1472" priority="192772"/>
    <cfRule type="duplicateValues" dxfId="1471" priority="192773"/>
    <cfRule type="duplicateValues" dxfId="1470" priority="192774"/>
    <cfRule type="duplicateValues" dxfId="1469" priority="192775"/>
    <cfRule type="duplicateValues" dxfId="1468" priority="192776"/>
    <cfRule type="duplicateValues" dxfId="1467" priority="192777"/>
    <cfRule type="duplicateValues" dxfId="1466" priority="192778"/>
    <cfRule type="duplicateValues" dxfId="1465" priority="192779"/>
    <cfRule type="duplicateValues" dxfId="1464" priority="192780"/>
    <cfRule type="duplicateValues" dxfId="1463" priority="192781"/>
    <cfRule type="duplicateValues" dxfId="1462" priority="192782"/>
    <cfRule type="duplicateValues" dxfId="1461" priority="192783"/>
    <cfRule type="duplicateValues" dxfId="1460" priority="192784"/>
    <cfRule type="duplicateValues" dxfId="1459" priority="192785"/>
    <cfRule type="duplicateValues" dxfId="1458" priority="192786"/>
    <cfRule type="duplicateValues" dxfId="1457" priority="192787"/>
    <cfRule type="duplicateValues" dxfId="1456" priority="192788"/>
    <cfRule type="duplicateValues" dxfId="1455" priority="192789"/>
    <cfRule type="duplicateValues" dxfId="1454" priority="192790"/>
    <cfRule type="duplicateValues" dxfId="1453" priority="192791"/>
  </conditionalFormatting>
  <conditionalFormatting sqref="B211:B314">
    <cfRule type="duplicateValues" dxfId="1452" priority="192792"/>
    <cfRule type="duplicateValues" dxfId="1451" priority="192793"/>
    <cfRule type="duplicateValues" dxfId="1450" priority="192794"/>
    <cfRule type="duplicateValues" dxfId="1449" priority="192795"/>
    <cfRule type="duplicateValues" dxfId="1448" priority="192796"/>
    <cfRule type="duplicateValues" dxfId="1447" priority="192797"/>
    <cfRule type="duplicateValues" dxfId="1446" priority="192798"/>
    <cfRule type="duplicateValues" dxfId="1445" priority="192799"/>
    <cfRule type="duplicateValues" dxfId="1444" priority="192800"/>
    <cfRule type="duplicateValues" dxfId="1443" priority="192801"/>
    <cfRule type="duplicateValues" dxfId="1442" priority="192802"/>
    <cfRule type="duplicateValues" dxfId="1441" priority="192803"/>
    <cfRule type="duplicateValues" dxfId="1440" priority="192804"/>
    <cfRule type="duplicateValues" dxfId="1439" priority="192805"/>
    <cfRule type="duplicateValues" dxfId="1438" priority="192806"/>
    <cfRule type="duplicateValues" dxfId="1437" priority="192807"/>
    <cfRule type="duplicateValues" dxfId="1436" priority="192808"/>
    <cfRule type="duplicateValues" dxfId="1435" priority="192809"/>
    <cfRule type="duplicateValues" dxfId="1434" priority="192810"/>
    <cfRule type="duplicateValues" dxfId="1433" priority="192811"/>
    <cfRule type="duplicateValues" dxfId="1432" priority="192812"/>
    <cfRule type="duplicateValues" dxfId="1431" priority="192813"/>
    <cfRule type="duplicateValues" dxfId="1430" priority="192814"/>
    <cfRule type="duplicateValues" dxfId="1429" priority="192815"/>
    <cfRule type="duplicateValues" dxfId="1428" priority="192816"/>
    <cfRule type="duplicateValues" dxfId="1427" priority="192817"/>
    <cfRule type="duplicateValues" dxfId="1426" priority="192818"/>
    <cfRule type="duplicateValues" dxfId="1425" priority="192819"/>
    <cfRule type="duplicateValues" dxfId="1424" priority="192820"/>
    <cfRule type="duplicateValues" dxfId="1423" priority="192821"/>
    <cfRule type="duplicateValues" dxfId="1422" priority="192822"/>
    <cfRule type="duplicateValues" dxfId="1421" priority="192823"/>
    <cfRule type="duplicateValues" dxfId="1420" priority="192824"/>
    <cfRule type="duplicateValues" dxfId="1419" priority="192825"/>
    <cfRule type="duplicateValues" dxfId="1418" priority="192826"/>
    <cfRule type="duplicateValues" dxfId="1417" priority="192827"/>
    <cfRule type="duplicateValues" dxfId="1416" priority="192828"/>
    <cfRule type="duplicateValues" dxfId="1415" priority="192829"/>
    <cfRule type="duplicateValues" dxfId="1414" priority="192830"/>
    <cfRule type="duplicateValues" dxfId="1413" priority="192831"/>
  </conditionalFormatting>
  <conditionalFormatting sqref="B216">
    <cfRule type="duplicateValues" dxfId="1412" priority="1024"/>
    <cfRule type="duplicateValues" dxfId="1411" priority="1025"/>
    <cfRule type="duplicateValues" dxfId="1410" priority="1026"/>
    <cfRule type="duplicateValues" dxfId="1409" priority="1027"/>
    <cfRule type="duplicateValues" dxfId="1408" priority="1028"/>
    <cfRule type="duplicateValues" dxfId="1407" priority="1029"/>
    <cfRule type="duplicateValues" dxfId="1406" priority="1030"/>
    <cfRule type="duplicateValues" dxfId="1405" priority="1031"/>
    <cfRule type="duplicateValues" dxfId="1404" priority="1032"/>
    <cfRule type="duplicateValues" dxfId="1403" priority="1033"/>
    <cfRule type="duplicateValues" dxfId="1402" priority="1034"/>
    <cfRule type="duplicateValues" dxfId="1401" priority="1035"/>
    <cfRule type="duplicateValues" dxfId="1400" priority="1036"/>
    <cfRule type="duplicateValues" dxfId="1399" priority="1037"/>
    <cfRule type="duplicateValues" dxfId="1398" priority="1038"/>
    <cfRule type="duplicateValues" dxfId="1397" priority="1039"/>
    <cfRule type="duplicateValues" dxfId="1396" priority="1040"/>
    <cfRule type="duplicateValues" dxfId="1395" priority="1041"/>
    <cfRule type="duplicateValues" dxfId="1394" priority="1042"/>
    <cfRule type="duplicateValues" dxfId="1393" priority="1043"/>
    <cfRule type="duplicateValues" dxfId="1392" priority="1044"/>
    <cfRule type="duplicateValues" dxfId="1391" priority="1045"/>
    <cfRule type="duplicateValues" dxfId="1390" priority="1046"/>
    <cfRule type="duplicateValues" dxfId="1389" priority="1047"/>
    <cfRule type="duplicateValues" dxfId="1388" priority="1048"/>
    <cfRule type="duplicateValues" dxfId="1387" priority="1049"/>
    <cfRule type="duplicateValues" dxfId="1386" priority="1050"/>
    <cfRule type="duplicateValues" dxfId="1385" priority="1051"/>
    <cfRule type="duplicateValues" dxfId="1384" priority="1052"/>
    <cfRule type="duplicateValues" dxfId="1383" priority="1053"/>
    <cfRule type="duplicateValues" dxfId="1382" priority="1054"/>
    <cfRule type="duplicateValues" dxfId="1381" priority="1055"/>
    <cfRule type="duplicateValues" dxfId="1380" priority="1056"/>
    <cfRule type="duplicateValues" dxfId="1379" priority="1057"/>
    <cfRule type="duplicateValues" dxfId="1378" priority="1058"/>
    <cfRule type="duplicateValues" dxfId="1377" priority="1059"/>
    <cfRule type="duplicateValues" dxfId="1376" priority="1060"/>
    <cfRule type="duplicateValues" dxfId="1375" priority="1061"/>
    <cfRule type="duplicateValues" dxfId="1374" priority="1062"/>
    <cfRule type="duplicateValues" dxfId="1373" priority="1063"/>
    <cfRule type="duplicateValues" dxfId="1372" priority="1064"/>
  </conditionalFormatting>
  <conditionalFormatting sqref="B217:B314">
    <cfRule type="duplicateValues" dxfId="1371" priority="192832"/>
    <cfRule type="duplicateValues" dxfId="1370" priority="192833"/>
    <cfRule type="duplicateValues" dxfId="1369" priority="192834"/>
    <cfRule type="duplicateValues" dxfId="1368" priority="192835"/>
    <cfRule type="duplicateValues" dxfId="1367" priority="192836"/>
    <cfRule type="duplicateValues" dxfId="1366" priority="192837"/>
    <cfRule type="duplicateValues" dxfId="1365" priority="192838"/>
    <cfRule type="duplicateValues" dxfId="1364" priority="192839"/>
    <cfRule type="duplicateValues" dxfId="1363" priority="192840"/>
    <cfRule type="duplicateValues" dxfId="1362" priority="192841"/>
    <cfRule type="duplicateValues" dxfId="1361" priority="192842"/>
    <cfRule type="duplicateValues" dxfId="1360" priority="192843"/>
    <cfRule type="duplicateValues" dxfId="1359" priority="192844"/>
    <cfRule type="duplicateValues" dxfId="1358" priority="192845"/>
    <cfRule type="duplicateValues" dxfId="1357" priority="192846"/>
    <cfRule type="duplicateValues" dxfId="1356" priority="192847"/>
    <cfRule type="duplicateValues" dxfId="1355" priority="192848"/>
    <cfRule type="duplicateValues" dxfId="1354" priority="192849"/>
    <cfRule type="duplicateValues" dxfId="1353" priority="192850"/>
    <cfRule type="duplicateValues" dxfId="1352" priority="192851"/>
    <cfRule type="duplicateValues" dxfId="1351" priority="192852"/>
    <cfRule type="duplicateValues" dxfId="1350" priority="192853"/>
    <cfRule type="duplicateValues" dxfId="1349" priority="192854"/>
    <cfRule type="duplicateValues" dxfId="1348" priority="192855"/>
    <cfRule type="duplicateValues" dxfId="1347" priority="192856"/>
    <cfRule type="duplicateValues" dxfId="1346" priority="192857"/>
    <cfRule type="duplicateValues" dxfId="1345" priority="192858"/>
    <cfRule type="duplicateValues" dxfId="1344" priority="192859"/>
    <cfRule type="duplicateValues" dxfId="1343" priority="192860"/>
    <cfRule type="duplicateValues" dxfId="1342" priority="192861"/>
    <cfRule type="duplicateValues" dxfId="1341" priority="192862"/>
    <cfRule type="duplicateValues" dxfId="1340" priority="192863"/>
    <cfRule type="duplicateValues" dxfId="1339" priority="192864"/>
    <cfRule type="duplicateValues" dxfId="1338" priority="192865"/>
    <cfRule type="duplicateValues" dxfId="1337" priority="192866"/>
    <cfRule type="duplicateValues" dxfId="1336" priority="192867"/>
    <cfRule type="duplicateValues" dxfId="1335" priority="192868"/>
    <cfRule type="duplicateValues" dxfId="1334" priority="192869"/>
    <cfRule type="duplicateValues" dxfId="1333" priority="192870"/>
    <cfRule type="duplicateValues" dxfId="1332" priority="192871"/>
    <cfRule type="duplicateValues" dxfId="1331" priority="192872"/>
  </conditionalFormatting>
  <conditionalFormatting sqref="B226:B314">
    <cfRule type="duplicateValues" dxfId="1330" priority="192873"/>
    <cfRule type="duplicateValues" dxfId="1329" priority="192874"/>
    <cfRule type="duplicateValues" dxfId="1328" priority="192875"/>
    <cfRule type="duplicateValues" dxfId="1327" priority="192876"/>
    <cfRule type="duplicateValues" dxfId="1326" priority="192877"/>
    <cfRule type="duplicateValues" dxfId="1325" priority="192878"/>
    <cfRule type="duplicateValues" dxfId="1324" priority="192879"/>
    <cfRule type="duplicateValues" dxfId="1323" priority="192880"/>
    <cfRule type="duplicateValues" dxfId="1322" priority="192881"/>
    <cfRule type="duplicateValues" dxfId="1321" priority="192882"/>
    <cfRule type="duplicateValues" dxfId="1320" priority="192883"/>
    <cfRule type="duplicateValues" dxfId="1319" priority="192884"/>
    <cfRule type="duplicateValues" dxfId="1318" priority="192885"/>
    <cfRule type="duplicateValues" dxfId="1317" priority="192886"/>
    <cfRule type="duplicateValues" dxfId="1316" priority="192887"/>
    <cfRule type="duplicateValues" dxfId="1315" priority="192888"/>
    <cfRule type="duplicateValues" dxfId="1314" priority="192889"/>
    <cfRule type="duplicateValues" dxfId="1313" priority="192890"/>
    <cfRule type="duplicateValues" dxfId="1312" priority="192891"/>
    <cfRule type="duplicateValues" dxfId="1311" priority="192892"/>
    <cfRule type="duplicateValues" dxfId="1310" priority="192893"/>
    <cfRule type="duplicateValues" dxfId="1309" priority="192894"/>
    <cfRule type="duplicateValues" dxfId="1308" priority="192895"/>
    <cfRule type="duplicateValues" dxfId="1307" priority="192896"/>
    <cfRule type="duplicateValues" dxfId="1306" priority="192897"/>
    <cfRule type="duplicateValues" dxfId="1305" priority="192898"/>
    <cfRule type="duplicateValues" dxfId="1304" priority="192899"/>
    <cfRule type="duplicateValues" dxfId="1303" priority="192900"/>
    <cfRule type="duplicateValues" dxfId="1302" priority="192901"/>
    <cfRule type="duplicateValues" dxfId="1301" priority="192902"/>
    <cfRule type="duplicateValues" dxfId="1300" priority="192903"/>
    <cfRule type="duplicateValues" dxfId="1299" priority="192904"/>
    <cfRule type="duplicateValues" dxfId="1298" priority="192905"/>
    <cfRule type="duplicateValues" dxfId="1297" priority="192906"/>
    <cfRule type="duplicateValues" dxfId="1296" priority="192907"/>
    <cfRule type="duplicateValues" dxfId="1295" priority="192908"/>
    <cfRule type="duplicateValues" dxfId="1294" priority="192909"/>
    <cfRule type="duplicateValues" dxfId="1293" priority="192910"/>
    <cfRule type="duplicateValues" dxfId="1292" priority="192911"/>
    <cfRule type="duplicateValues" dxfId="1291" priority="192912"/>
    <cfRule type="duplicateValues" dxfId="1290" priority="192913"/>
    <cfRule type="duplicateValues" dxfId="1289" priority="192914"/>
  </conditionalFormatting>
  <conditionalFormatting sqref="B230:B314">
    <cfRule type="duplicateValues" dxfId="1288" priority="192915"/>
    <cfRule type="duplicateValues" dxfId="1287" priority="192916"/>
    <cfRule type="duplicateValues" dxfId="1286" priority="192917"/>
    <cfRule type="duplicateValues" dxfId="1285" priority="192918"/>
    <cfRule type="duplicateValues" dxfId="1284" priority="192919"/>
    <cfRule type="duplicateValues" dxfId="1283" priority="192920"/>
    <cfRule type="duplicateValues" dxfId="1282" priority="192921"/>
    <cfRule type="duplicateValues" dxfId="1281" priority="192922"/>
    <cfRule type="duplicateValues" dxfId="1280" priority="192923"/>
    <cfRule type="duplicateValues" dxfId="1279" priority="192924"/>
    <cfRule type="duplicateValues" dxfId="1278" priority="192925"/>
    <cfRule type="duplicateValues" dxfId="1277" priority="192926"/>
    <cfRule type="duplicateValues" dxfId="1276" priority="192927"/>
    <cfRule type="duplicateValues" dxfId="1275" priority="192928"/>
    <cfRule type="duplicateValues" dxfId="1274" priority="192929"/>
    <cfRule type="duplicateValues" dxfId="1273" priority="192930"/>
    <cfRule type="duplicateValues" dxfId="1272" priority="192931"/>
    <cfRule type="duplicateValues" dxfId="1271" priority="192932"/>
    <cfRule type="duplicateValues" dxfId="1270" priority="192933"/>
    <cfRule type="duplicateValues" dxfId="1269" priority="192934"/>
    <cfRule type="duplicateValues" dxfId="1268" priority="192935"/>
    <cfRule type="duplicateValues" dxfId="1267" priority="192936"/>
    <cfRule type="duplicateValues" dxfId="1266" priority="192937"/>
    <cfRule type="duplicateValues" dxfId="1265" priority="192938"/>
    <cfRule type="duplicateValues" dxfId="1264" priority="192939"/>
    <cfRule type="duplicateValues" dxfId="1263" priority="192940"/>
    <cfRule type="duplicateValues" dxfId="1262" priority="192941"/>
    <cfRule type="duplicateValues" dxfId="1261" priority="192942"/>
    <cfRule type="duplicateValues" dxfId="1260" priority="192943"/>
    <cfRule type="duplicateValues" dxfId="1259" priority="192944"/>
    <cfRule type="duplicateValues" dxfId="1258" priority="192945"/>
    <cfRule type="duplicateValues" dxfId="1257" priority="192946"/>
    <cfRule type="duplicateValues" dxfId="1256" priority="192947"/>
    <cfRule type="duplicateValues" dxfId="1255" priority="192948"/>
    <cfRule type="duplicateValues" dxfId="1254" priority="192949"/>
    <cfRule type="duplicateValues" dxfId="1253" priority="192950"/>
    <cfRule type="duplicateValues" dxfId="1252" priority="192951"/>
    <cfRule type="duplicateValues" dxfId="1251" priority="192952"/>
    <cfRule type="duplicateValues" dxfId="1250" priority="192953"/>
    <cfRule type="duplicateValues" dxfId="1249" priority="192954"/>
    <cfRule type="duplicateValues" dxfId="1248" priority="192955"/>
    <cfRule type="duplicateValues" dxfId="1247" priority="192956"/>
  </conditionalFormatting>
  <conditionalFormatting sqref="B235:B314">
    <cfRule type="duplicateValues" dxfId="1246" priority="192957"/>
    <cfRule type="duplicateValues" dxfId="1245" priority="192958"/>
    <cfRule type="duplicateValues" dxfId="1244" priority="192959"/>
    <cfRule type="duplicateValues" dxfId="1243" priority="192960"/>
    <cfRule type="duplicateValues" dxfId="1242" priority="192961"/>
    <cfRule type="duplicateValues" dxfId="1241" priority="192962"/>
    <cfRule type="duplicateValues" dxfId="1240" priority="192963"/>
    <cfRule type="duplicateValues" dxfId="1239" priority="192964"/>
    <cfRule type="duplicateValues" dxfId="1238" priority="192965"/>
    <cfRule type="duplicateValues" dxfId="1237" priority="192966"/>
    <cfRule type="duplicateValues" dxfId="1236" priority="192967"/>
    <cfRule type="duplicateValues" dxfId="1235" priority="192968"/>
    <cfRule type="duplicateValues" dxfId="1234" priority="192969"/>
    <cfRule type="duplicateValues" dxfId="1233" priority="192970"/>
    <cfRule type="duplicateValues" dxfId="1232" priority="192971"/>
    <cfRule type="duplicateValues" dxfId="1231" priority="192972"/>
    <cfRule type="duplicateValues" dxfId="1230" priority="192973"/>
    <cfRule type="duplicateValues" dxfId="1229" priority="192974"/>
    <cfRule type="duplicateValues" dxfId="1228" priority="192975"/>
    <cfRule type="duplicateValues" dxfId="1227" priority="192976"/>
    <cfRule type="duplicateValues" dxfId="1226" priority="192977"/>
    <cfRule type="duplicateValues" dxfId="1225" priority="192978"/>
    <cfRule type="duplicateValues" dxfId="1224" priority="192979"/>
    <cfRule type="duplicateValues" dxfId="1223" priority="192980"/>
    <cfRule type="duplicateValues" dxfId="1222" priority="192981"/>
    <cfRule type="duplicateValues" dxfId="1221" priority="192982"/>
    <cfRule type="duplicateValues" dxfId="1220" priority="192983"/>
    <cfRule type="duplicateValues" dxfId="1219" priority="192984"/>
    <cfRule type="duplicateValues" dxfId="1218" priority="192985"/>
    <cfRule type="duplicateValues" dxfId="1217" priority="192986"/>
    <cfRule type="duplicateValues" dxfId="1216" priority="192987"/>
    <cfRule type="duplicateValues" dxfId="1215" priority="192988"/>
    <cfRule type="duplicateValues" dxfId="1214" priority="192989"/>
    <cfRule type="duplicateValues" dxfId="1213" priority="192990"/>
    <cfRule type="duplicateValues" dxfId="1212" priority="192991"/>
    <cfRule type="duplicateValues" dxfId="1211" priority="192992"/>
    <cfRule type="duplicateValues" dxfId="1210" priority="192993"/>
    <cfRule type="duplicateValues" dxfId="1209" priority="192994"/>
    <cfRule type="duplicateValues" dxfId="1208" priority="192995"/>
    <cfRule type="duplicateValues" dxfId="1207" priority="192996"/>
    <cfRule type="duplicateValues" dxfId="1206" priority="192997"/>
    <cfRule type="duplicateValues" dxfId="1205" priority="192998"/>
  </conditionalFormatting>
  <conditionalFormatting sqref="B238:B240">
    <cfRule type="duplicateValues" dxfId="1204" priority="815"/>
    <cfRule type="duplicateValues" dxfId="1203" priority="816"/>
    <cfRule type="duplicateValues" dxfId="1202" priority="817"/>
    <cfRule type="duplicateValues" dxfId="1201" priority="818"/>
    <cfRule type="duplicateValues" dxfId="1200" priority="819"/>
    <cfRule type="duplicateValues" dxfId="1199" priority="820"/>
    <cfRule type="duplicateValues" dxfId="1198" priority="821"/>
    <cfRule type="duplicateValues" dxfId="1197" priority="822"/>
    <cfRule type="duplicateValues" dxfId="1196" priority="823"/>
    <cfRule type="duplicateValues" dxfId="1195" priority="824"/>
    <cfRule type="duplicateValues" dxfId="1194" priority="825"/>
    <cfRule type="duplicateValues" dxfId="1193" priority="826"/>
    <cfRule type="duplicateValues" dxfId="1192" priority="827"/>
    <cfRule type="duplicateValues" dxfId="1191" priority="828"/>
    <cfRule type="duplicateValues" dxfId="1190" priority="829"/>
    <cfRule type="duplicateValues" dxfId="1189" priority="830"/>
    <cfRule type="duplicateValues" dxfId="1188" priority="831"/>
    <cfRule type="duplicateValues" dxfId="1187" priority="832"/>
    <cfRule type="duplicateValues" dxfId="1186" priority="833"/>
    <cfRule type="duplicateValues" dxfId="1185" priority="834"/>
    <cfRule type="duplicateValues" dxfId="1184" priority="835"/>
    <cfRule type="duplicateValues" dxfId="1183" priority="836"/>
    <cfRule type="duplicateValues" dxfId="1182" priority="837"/>
    <cfRule type="duplicateValues" dxfId="1181" priority="838"/>
    <cfRule type="duplicateValues" dxfId="1180" priority="839"/>
    <cfRule type="duplicateValues" dxfId="1179" priority="840"/>
    <cfRule type="duplicateValues" dxfId="1178" priority="841"/>
    <cfRule type="duplicateValues" dxfId="1177" priority="842"/>
    <cfRule type="duplicateValues" dxfId="1176" priority="843"/>
    <cfRule type="duplicateValues" dxfId="1175" priority="844"/>
    <cfRule type="duplicateValues" dxfId="1174" priority="845"/>
    <cfRule type="duplicateValues" dxfId="1173" priority="846"/>
    <cfRule type="duplicateValues" dxfId="1172" priority="847"/>
    <cfRule type="duplicateValues" dxfId="1171" priority="848"/>
    <cfRule type="duplicateValues" dxfId="1170" priority="849"/>
    <cfRule type="duplicateValues" dxfId="1169" priority="850"/>
    <cfRule type="duplicateValues" dxfId="1168" priority="851"/>
    <cfRule type="duplicateValues" dxfId="1167" priority="852"/>
    <cfRule type="duplicateValues" dxfId="1166" priority="853"/>
    <cfRule type="duplicateValues" dxfId="1165" priority="854"/>
    <cfRule type="duplicateValues" dxfId="1164" priority="855"/>
    <cfRule type="duplicateValues" dxfId="1163" priority="856"/>
  </conditionalFormatting>
  <conditionalFormatting sqref="B241:B314">
    <cfRule type="duplicateValues" dxfId="1162" priority="192999"/>
    <cfRule type="duplicateValues" dxfId="1161" priority="193000"/>
    <cfRule type="duplicateValues" dxfId="1160" priority="193001"/>
    <cfRule type="duplicateValues" dxfId="1159" priority="193002"/>
    <cfRule type="duplicateValues" dxfId="1158" priority="193003"/>
    <cfRule type="duplicateValues" dxfId="1157" priority="193004"/>
    <cfRule type="duplicateValues" dxfId="1156" priority="193005"/>
    <cfRule type="duplicateValues" dxfId="1155" priority="193006"/>
    <cfRule type="duplicateValues" dxfId="1154" priority="193007"/>
    <cfRule type="duplicateValues" dxfId="1153" priority="193008"/>
    <cfRule type="duplicateValues" dxfId="1152" priority="193009"/>
    <cfRule type="duplicateValues" dxfId="1151" priority="193010"/>
    <cfRule type="duplicateValues" dxfId="1150" priority="193011"/>
    <cfRule type="duplicateValues" dxfId="1149" priority="193012"/>
    <cfRule type="duplicateValues" dxfId="1148" priority="193013"/>
    <cfRule type="duplicateValues" dxfId="1147" priority="193014"/>
    <cfRule type="duplicateValues" dxfId="1146" priority="193015"/>
    <cfRule type="duplicateValues" dxfId="1145" priority="193016"/>
    <cfRule type="duplicateValues" dxfId="1144" priority="193017"/>
    <cfRule type="duplicateValues" dxfId="1143" priority="193018"/>
    <cfRule type="duplicateValues" dxfId="1142" priority="193019"/>
    <cfRule type="duplicateValues" dxfId="1141" priority="193020"/>
    <cfRule type="duplicateValues" dxfId="1140" priority="193021"/>
    <cfRule type="duplicateValues" dxfId="1139" priority="193022"/>
    <cfRule type="duplicateValues" dxfId="1138" priority="193023"/>
    <cfRule type="duplicateValues" dxfId="1137" priority="193024"/>
    <cfRule type="duplicateValues" dxfId="1136" priority="193025"/>
    <cfRule type="duplicateValues" dxfId="1135" priority="193026"/>
    <cfRule type="duplicateValues" dxfId="1134" priority="193027"/>
    <cfRule type="duplicateValues" dxfId="1133" priority="193028"/>
    <cfRule type="duplicateValues" dxfId="1132" priority="193029"/>
    <cfRule type="duplicateValues" dxfId="1131" priority="193030"/>
    <cfRule type="duplicateValues" dxfId="1130" priority="193031"/>
    <cfRule type="duplicateValues" dxfId="1129" priority="193032"/>
    <cfRule type="duplicateValues" dxfId="1128" priority="193033"/>
    <cfRule type="duplicateValues" dxfId="1127" priority="193034"/>
    <cfRule type="duplicateValues" dxfId="1126" priority="193035"/>
    <cfRule type="duplicateValues" dxfId="1125" priority="193036"/>
    <cfRule type="duplicateValues" dxfId="1124" priority="193037"/>
    <cfRule type="duplicateValues" dxfId="1123" priority="193038"/>
    <cfRule type="duplicateValues" dxfId="1122" priority="193039"/>
    <cfRule type="duplicateValues" dxfId="1121" priority="193040"/>
  </conditionalFormatting>
  <conditionalFormatting sqref="B242:B314">
    <cfRule type="duplicateValues" dxfId="1120" priority="193041"/>
    <cfRule type="duplicateValues" dxfId="1119" priority="193042"/>
    <cfRule type="duplicateValues" dxfId="1118" priority="193043"/>
    <cfRule type="duplicateValues" dxfId="1117" priority="193044"/>
    <cfRule type="duplicateValues" dxfId="1116" priority="193045"/>
    <cfRule type="duplicateValues" dxfId="1115" priority="193046"/>
    <cfRule type="duplicateValues" dxfId="1114" priority="193047"/>
    <cfRule type="duplicateValues" dxfId="1113" priority="193048"/>
    <cfRule type="duplicateValues" dxfId="1112" priority="193049"/>
    <cfRule type="duplicateValues" dxfId="1111" priority="193050"/>
    <cfRule type="duplicateValues" dxfId="1110" priority="193051"/>
    <cfRule type="duplicateValues" dxfId="1109" priority="193052"/>
    <cfRule type="duplicateValues" dxfId="1108" priority="193053"/>
    <cfRule type="duplicateValues" dxfId="1107" priority="193054"/>
    <cfRule type="duplicateValues" dxfId="1106" priority="193055"/>
    <cfRule type="duplicateValues" dxfId="1105" priority="193056"/>
    <cfRule type="duplicateValues" dxfId="1104" priority="193057"/>
    <cfRule type="duplicateValues" dxfId="1103" priority="193058"/>
    <cfRule type="duplicateValues" dxfId="1102" priority="193059"/>
    <cfRule type="duplicateValues" dxfId="1101" priority="193060"/>
    <cfRule type="duplicateValues" dxfId="1100" priority="193061"/>
    <cfRule type="duplicateValues" dxfId="1099" priority="193062"/>
    <cfRule type="duplicateValues" dxfId="1098" priority="193063"/>
    <cfRule type="duplicateValues" dxfId="1097" priority="193064"/>
    <cfRule type="duplicateValues" dxfId="1096" priority="193065"/>
    <cfRule type="duplicateValues" dxfId="1095" priority="193066"/>
    <cfRule type="duplicateValues" dxfId="1094" priority="193067"/>
    <cfRule type="duplicateValues" dxfId="1093" priority="193068"/>
    <cfRule type="duplicateValues" dxfId="1092" priority="193069"/>
    <cfRule type="duplicateValues" dxfId="1091" priority="193070"/>
    <cfRule type="duplicateValues" dxfId="1090" priority="193071"/>
    <cfRule type="duplicateValues" dxfId="1089" priority="193072"/>
    <cfRule type="duplicateValues" dxfId="1088" priority="193073"/>
    <cfRule type="duplicateValues" dxfId="1087" priority="193074"/>
    <cfRule type="duplicateValues" dxfId="1086" priority="193075"/>
    <cfRule type="duplicateValues" dxfId="1085" priority="193076"/>
    <cfRule type="duplicateValues" dxfId="1084" priority="193077"/>
    <cfRule type="duplicateValues" dxfId="1083" priority="193078"/>
    <cfRule type="duplicateValues" dxfId="1082" priority="193079"/>
    <cfRule type="duplicateValues" dxfId="1081" priority="193080"/>
    <cfRule type="duplicateValues" dxfId="1080" priority="193081"/>
    <cfRule type="duplicateValues" dxfId="1079" priority="193082"/>
  </conditionalFormatting>
  <conditionalFormatting sqref="B246:B248">
    <cfRule type="duplicateValues" dxfId="1078" priority="167320"/>
    <cfRule type="duplicateValues" dxfId="1077" priority="167321"/>
    <cfRule type="duplicateValues" dxfId="1076" priority="167322"/>
    <cfRule type="duplicateValues" dxfId="1075" priority="167323"/>
    <cfRule type="duplicateValues" dxfId="1074" priority="167324"/>
    <cfRule type="duplicateValues" dxfId="1073" priority="167325"/>
    <cfRule type="duplicateValues" dxfId="1072" priority="167326"/>
    <cfRule type="duplicateValues" dxfId="1071" priority="167327"/>
    <cfRule type="duplicateValues" dxfId="1070" priority="167328"/>
    <cfRule type="duplicateValues" dxfId="1069" priority="167329"/>
    <cfRule type="duplicateValues" dxfId="1068" priority="167330"/>
    <cfRule type="duplicateValues" dxfId="1067" priority="167331"/>
    <cfRule type="duplicateValues" dxfId="1066" priority="167332"/>
    <cfRule type="duplicateValues" dxfId="1065" priority="167333"/>
    <cfRule type="duplicateValues" dxfId="1064" priority="167334"/>
    <cfRule type="duplicateValues" dxfId="1063" priority="167335"/>
    <cfRule type="duplicateValues" dxfId="1062" priority="167336"/>
    <cfRule type="duplicateValues" dxfId="1061" priority="167337"/>
    <cfRule type="duplicateValues" dxfId="1060" priority="167338"/>
    <cfRule type="duplicateValues" dxfId="1059" priority="167339"/>
    <cfRule type="duplicateValues" dxfId="1058" priority="167340"/>
    <cfRule type="duplicateValues" dxfId="1057" priority="167341"/>
    <cfRule type="duplicateValues" dxfId="1056" priority="167342"/>
    <cfRule type="duplicateValues" dxfId="1055" priority="167343"/>
    <cfRule type="duplicateValues" dxfId="1054" priority="167344"/>
    <cfRule type="duplicateValues" dxfId="1053" priority="167345"/>
    <cfRule type="duplicateValues" dxfId="1052" priority="167346"/>
    <cfRule type="duplicateValues" dxfId="1051" priority="167347"/>
    <cfRule type="duplicateValues" dxfId="1050" priority="167348"/>
    <cfRule type="duplicateValues" dxfId="1049" priority="167349"/>
    <cfRule type="duplicateValues" dxfId="1048" priority="167350"/>
    <cfRule type="duplicateValues" dxfId="1047" priority="167351"/>
    <cfRule type="duplicateValues" dxfId="1046" priority="167352"/>
    <cfRule type="duplicateValues" dxfId="1045" priority="167353"/>
    <cfRule type="duplicateValues" dxfId="1044" priority="167354"/>
    <cfRule type="duplicateValues" dxfId="1043" priority="167355"/>
    <cfRule type="duplicateValues" dxfId="1042" priority="167356"/>
    <cfRule type="duplicateValues" dxfId="1041" priority="167357"/>
    <cfRule type="duplicateValues" dxfId="1040" priority="167358"/>
    <cfRule type="duplicateValues" dxfId="1039" priority="167359"/>
    <cfRule type="duplicateValues" dxfId="1038" priority="167360"/>
    <cfRule type="duplicateValues" dxfId="1037" priority="167361"/>
    <cfRule type="duplicateValues" dxfId="1036" priority="167404"/>
    <cfRule type="duplicateValues" dxfId="1035" priority="167405"/>
    <cfRule type="duplicateValues" dxfId="1034" priority="167406"/>
    <cfRule type="duplicateValues" dxfId="1033" priority="167407"/>
    <cfRule type="duplicateValues" dxfId="1032" priority="167408"/>
    <cfRule type="duplicateValues" dxfId="1031" priority="167409"/>
    <cfRule type="duplicateValues" dxfId="1030" priority="167410"/>
    <cfRule type="duplicateValues" dxfId="1029" priority="167411"/>
    <cfRule type="duplicateValues" dxfId="1028" priority="167412"/>
    <cfRule type="duplicateValues" dxfId="1027" priority="167413"/>
    <cfRule type="duplicateValues" dxfId="1026" priority="167414"/>
    <cfRule type="duplicateValues" dxfId="1025" priority="167415"/>
    <cfRule type="duplicateValues" dxfId="1024" priority="167416"/>
    <cfRule type="duplicateValues" dxfId="1023" priority="167417"/>
    <cfRule type="duplicateValues" dxfId="1022" priority="167418"/>
    <cfRule type="duplicateValues" dxfId="1021" priority="167419"/>
    <cfRule type="duplicateValues" dxfId="1020" priority="167420"/>
    <cfRule type="duplicateValues" dxfId="1019" priority="167421"/>
    <cfRule type="duplicateValues" dxfId="1018" priority="167422"/>
    <cfRule type="duplicateValues" dxfId="1017" priority="167423"/>
    <cfRule type="duplicateValues" dxfId="1016" priority="167424"/>
    <cfRule type="duplicateValues" dxfId="1015" priority="167425"/>
    <cfRule type="duplicateValues" dxfId="1014" priority="167426"/>
    <cfRule type="duplicateValues" dxfId="1013" priority="167427"/>
    <cfRule type="duplicateValues" dxfId="1012" priority="167428"/>
    <cfRule type="duplicateValues" dxfId="1011" priority="167429"/>
    <cfRule type="duplicateValues" dxfId="1010" priority="167430"/>
    <cfRule type="duplicateValues" dxfId="1009" priority="167431"/>
    <cfRule type="duplicateValues" dxfId="1008" priority="167432"/>
    <cfRule type="duplicateValues" dxfId="1007" priority="167433"/>
    <cfRule type="duplicateValues" dxfId="1006" priority="167434"/>
    <cfRule type="duplicateValues" dxfId="1005" priority="167435"/>
    <cfRule type="duplicateValues" dxfId="1004" priority="167436"/>
    <cfRule type="duplicateValues" dxfId="1003" priority="167437"/>
    <cfRule type="duplicateValues" dxfId="1002" priority="167438"/>
    <cfRule type="duplicateValues" dxfId="1001" priority="167439"/>
    <cfRule type="duplicateValues" dxfId="1000" priority="167440"/>
    <cfRule type="duplicateValues" dxfId="999" priority="167441"/>
    <cfRule type="duplicateValues" dxfId="998" priority="167442"/>
    <cfRule type="duplicateValues" dxfId="997" priority="167443"/>
    <cfRule type="duplicateValues" dxfId="996" priority="167444"/>
    <cfRule type="duplicateValues" dxfId="995" priority="167445"/>
    <cfRule type="duplicateValues" dxfId="994" priority="167480"/>
    <cfRule type="duplicateValues" dxfId="993" priority="167481"/>
    <cfRule type="duplicateValues" dxfId="992" priority="167482"/>
    <cfRule type="duplicateValues" dxfId="991" priority="167483"/>
    <cfRule type="duplicateValues" dxfId="990" priority="167484"/>
    <cfRule type="duplicateValues" dxfId="989" priority="167485"/>
    <cfRule type="duplicateValues" dxfId="988" priority="167486"/>
    <cfRule type="duplicateValues" dxfId="987" priority="167487"/>
    <cfRule type="duplicateValues" dxfId="986" priority="167488"/>
    <cfRule type="duplicateValues" dxfId="985" priority="167489"/>
    <cfRule type="duplicateValues" dxfId="984" priority="167490"/>
    <cfRule type="duplicateValues" dxfId="983" priority="167491"/>
    <cfRule type="duplicateValues" dxfId="982" priority="167492"/>
    <cfRule type="duplicateValues" dxfId="981" priority="167493"/>
    <cfRule type="duplicateValues" dxfId="980" priority="167494"/>
    <cfRule type="duplicateValues" dxfId="979" priority="167495"/>
    <cfRule type="duplicateValues" dxfId="978" priority="167496"/>
    <cfRule type="duplicateValues" dxfId="977" priority="167497"/>
    <cfRule type="duplicateValues" dxfId="976" priority="167498"/>
    <cfRule type="duplicateValues" dxfId="975" priority="167499"/>
    <cfRule type="duplicateValues" dxfId="974" priority="167500"/>
    <cfRule type="duplicateValues" dxfId="973" priority="167501"/>
    <cfRule type="duplicateValues" dxfId="972" priority="167502"/>
    <cfRule type="duplicateValues" dxfId="971" priority="167503"/>
    <cfRule type="duplicateValues" dxfId="970" priority="167504"/>
    <cfRule type="duplicateValues" dxfId="969" priority="167505"/>
    <cfRule type="duplicateValues" dxfId="968" priority="167506"/>
    <cfRule type="duplicateValues" dxfId="967" priority="167507"/>
    <cfRule type="duplicateValues" dxfId="966" priority="167508"/>
    <cfRule type="duplicateValues" dxfId="965" priority="167509"/>
    <cfRule type="duplicateValues" dxfId="964" priority="167510"/>
    <cfRule type="duplicateValues" dxfId="963" priority="167511"/>
    <cfRule type="duplicateValues" dxfId="962" priority="167512"/>
    <cfRule type="duplicateValues" dxfId="961" priority="167513"/>
  </conditionalFormatting>
  <conditionalFormatting sqref="B249:B314">
    <cfRule type="duplicateValues" dxfId="960" priority="193083"/>
    <cfRule type="duplicateValues" dxfId="959" priority="193084"/>
    <cfRule type="duplicateValues" dxfId="958" priority="193085"/>
    <cfRule type="duplicateValues" dxfId="957" priority="193086"/>
    <cfRule type="duplicateValues" dxfId="956" priority="193087"/>
    <cfRule type="duplicateValues" dxfId="955" priority="193088"/>
    <cfRule type="duplicateValues" dxfId="954" priority="193089"/>
    <cfRule type="duplicateValues" dxfId="953" priority="193090"/>
    <cfRule type="duplicateValues" dxfId="952" priority="193091"/>
    <cfRule type="duplicateValues" dxfId="951" priority="193092"/>
    <cfRule type="duplicateValues" dxfId="950" priority="193093"/>
    <cfRule type="duplicateValues" dxfId="949" priority="193094"/>
    <cfRule type="duplicateValues" dxfId="948" priority="193095"/>
    <cfRule type="duplicateValues" dxfId="947" priority="193096"/>
    <cfRule type="duplicateValues" dxfId="946" priority="193097"/>
    <cfRule type="duplicateValues" dxfId="945" priority="193098"/>
    <cfRule type="duplicateValues" dxfId="944" priority="193099"/>
    <cfRule type="duplicateValues" dxfId="943" priority="193100"/>
    <cfRule type="duplicateValues" dxfId="942" priority="193101"/>
    <cfRule type="duplicateValues" dxfId="941" priority="193102"/>
    <cfRule type="duplicateValues" dxfId="940" priority="193103"/>
    <cfRule type="duplicateValues" dxfId="939" priority="193104"/>
    <cfRule type="duplicateValues" dxfId="938" priority="193105"/>
    <cfRule type="duplicateValues" dxfId="937" priority="193106"/>
    <cfRule type="duplicateValues" dxfId="936" priority="193107"/>
    <cfRule type="duplicateValues" dxfId="935" priority="193108"/>
    <cfRule type="duplicateValues" dxfId="934" priority="193109"/>
    <cfRule type="duplicateValues" dxfId="933" priority="193110"/>
    <cfRule type="duplicateValues" dxfId="932" priority="193111"/>
    <cfRule type="duplicateValues" dxfId="931" priority="193112"/>
    <cfRule type="duplicateValues" dxfId="930" priority="193113"/>
    <cfRule type="duplicateValues" dxfId="929" priority="193114"/>
    <cfRule type="duplicateValues" dxfId="928" priority="193115"/>
    <cfRule type="duplicateValues" dxfId="927" priority="193116"/>
    <cfRule type="duplicateValues" dxfId="926" priority="193117"/>
    <cfRule type="duplicateValues" dxfId="925" priority="193118"/>
    <cfRule type="duplicateValues" dxfId="924" priority="193119"/>
    <cfRule type="duplicateValues" dxfId="923" priority="193120"/>
    <cfRule type="duplicateValues" dxfId="922" priority="193121"/>
    <cfRule type="duplicateValues" dxfId="921" priority="193122"/>
    <cfRule type="duplicateValues" dxfId="920" priority="193123"/>
    <cfRule type="duplicateValues" dxfId="919" priority="193124"/>
    <cfRule type="duplicateValues" dxfId="918" priority="193125"/>
    <cfRule type="duplicateValues" dxfId="917" priority="193126"/>
    <cfRule type="duplicateValues" dxfId="916" priority="193127"/>
    <cfRule type="duplicateValues" dxfId="915" priority="193128"/>
    <cfRule type="duplicateValues" dxfId="914" priority="193129"/>
    <cfRule type="duplicateValues" dxfId="913" priority="193130"/>
    <cfRule type="duplicateValues" dxfId="912" priority="193131"/>
    <cfRule type="duplicateValues" dxfId="911" priority="193132"/>
    <cfRule type="duplicateValues" dxfId="910" priority="193133"/>
    <cfRule type="duplicateValues" dxfId="909" priority="193134"/>
    <cfRule type="duplicateValues" dxfId="908" priority="193135"/>
    <cfRule type="duplicateValues" dxfId="907" priority="193136"/>
    <cfRule type="duplicateValues" dxfId="906" priority="193137"/>
    <cfRule type="duplicateValues" dxfId="905" priority="193138"/>
    <cfRule type="duplicateValues" dxfId="904" priority="193139"/>
    <cfRule type="duplicateValues" dxfId="903" priority="193140"/>
    <cfRule type="duplicateValues" dxfId="902" priority="193141"/>
    <cfRule type="duplicateValues" dxfId="901" priority="193142"/>
    <cfRule type="duplicateValues" dxfId="900" priority="193143"/>
    <cfRule type="duplicateValues" dxfId="899" priority="193144"/>
    <cfRule type="duplicateValues" dxfId="898" priority="193145"/>
    <cfRule type="duplicateValues" dxfId="897" priority="193146"/>
    <cfRule type="duplicateValues" dxfId="896" priority="193147"/>
    <cfRule type="duplicateValues" dxfId="895" priority="193148"/>
    <cfRule type="duplicateValues" dxfId="894" priority="193149"/>
    <cfRule type="duplicateValues" dxfId="893" priority="193150"/>
    <cfRule type="duplicateValues" dxfId="892" priority="193151"/>
    <cfRule type="duplicateValues" dxfId="891" priority="193152"/>
    <cfRule type="duplicateValues" dxfId="890" priority="193153"/>
    <cfRule type="duplicateValues" dxfId="889" priority="193154"/>
    <cfRule type="duplicateValues" dxfId="888" priority="193155"/>
    <cfRule type="duplicateValues" dxfId="887" priority="193156"/>
    <cfRule type="duplicateValues" dxfId="886" priority="193157"/>
    <cfRule type="duplicateValues" dxfId="885" priority="193158"/>
    <cfRule type="duplicateValues" dxfId="884" priority="193159"/>
    <cfRule type="duplicateValues" dxfId="883" priority="193160"/>
    <cfRule type="duplicateValues" dxfId="882" priority="193161"/>
    <cfRule type="duplicateValues" dxfId="881" priority="193162"/>
    <cfRule type="duplicateValues" dxfId="880" priority="193163"/>
    <cfRule type="duplicateValues" dxfId="879" priority="193164"/>
    <cfRule type="duplicateValues" dxfId="878" priority="193165"/>
    <cfRule type="duplicateValues" dxfId="877" priority="193166"/>
    <cfRule type="duplicateValues" dxfId="876" priority="193167"/>
    <cfRule type="duplicateValues" dxfId="875" priority="193168"/>
    <cfRule type="duplicateValues" dxfId="874" priority="193169"/>
    <cfRule type="duplicateValues" dxfId="873" priority="193170"/>
    <cfRule type="duplicateValues" dxfId="872" priority="193171"/>
    <cfRule type="duplicateValues" dxfId="871" priority="193172"/>
    <cfRule type="duplicateValues" dxfId="870" priority="193173"/>
    <cfRule type="duplicateValues" dxfId="869" priority="193174"/>
    <cfRule type="duplicateValues" dxfId="868" priority="193175"/>
    <cfRule type="duplicateValues" dxfId="867" priority="193176"/>
    <cfRule type="duplicateValues" dxfId="866" priority="193177"/>
    <cfRule type="duplicateValues" dxfId="865" priority="193178"/>
    <cfRule type="duplicateValues" dxfId="864" priority="193179"/>
    <cfRule type="duplicateValues" dxfId="863" priority="193180"/>
    <cfRule type="duplicateValues" dxfId="862" priority="193181"/>
    <cfRule type="duplicateValues" dxfId="861" priority="193182"/>
    <cfRule type="duplicateValues" dxfId="860" priority="193183"/>
    <cfRule type="duplicateValues" dxfId="859" priority="193184"/>
    <cfRule type="duplicateValues" dxfId="858" priority="193185"/>
    <cfRule type="duplicateValues" dxfId="857" priority="193186"/>
    <cfRule type="duplicateValues" dxfId="856" priority="193187"/>
    <cfRule type="duplicateValues" dxfId="855" priority="193188"/>
    <cfRule type="duplicateValues" dxfId="854" priority="193189"/>
    <cfRule type="duplicateValues" dxfId="853" priority="193190"/>
    <cfRule type="duplicateValues" dxfId="852" priority="193191"/>
    <cfRule type="duplicateValues" dxfId="851" priority="193192"/>
    <cfRule type="duplicateValues" dxfId="850" priority="193193"/>
    <cfRule type="duplicateValues" dxfId="849" priority="193194"/>
    <cfRule type="duplicateValues" dxfId="848" priority="193195"/>
    <cfRule type="duplicateValues" dxfId="847" priority="193196"/>
    <cfRule type="duplicateValues" dxfId="846" priority="193197"/>
    <cfRule type="duplicateValues" dxfId="845" priority="193198"/>
    <cfRule type="duplicateValues" dxfId="844" priority="193199"/>
    <cfRule type="duplicateValues" dxfId="843" priority="193200"/>
  </conditionalFormatting>
  <conditionalFormatting sqref="B254">
    <cfRule type="duplicateValues" dxfId="842" priority="646"/>
    <cfRule type="duplicateValues" dxfId="841" priority="647"/>
    <cfRule type="duplicateValues" dxfId="840" priority="648"/>
    <cfRule type="duplicateValues" dxfId="839" priority="649"/>
    <cfRule type="duplicateValues" dxfId="838" priority="650"/>
    <cfRule type="duplicateValues" dxfId="837" priority="651"/>
    <cfRule type="duplicateValues" dxfId="836" priority="652"/>
    <cfRule type="duplicateValues" dxfId="835" priority="653"/>
    <cfRule type="duplicateValues" dxfId="834" priority="654"/>
    <cfRule type="duplicateValues" dxfId="833" priority="655"/>
    <cfRule type="duplicateValues" dxfId="832" priority="656"/>
    <cfRule type="duplicateValues" dxfId="831" priority="657"/>
    <cfRule type="duplicateValues" dxfId="830" priority="658"/>
    <cfRule type="duplicateValues" dxfId="829" priority="659"/>
    <cfRule type="duplicateValues" dxfId="828" priority="660"/>
    <cfRule type="duplicateValues" dxfId="827" priority="661"/>
    <cfRule type="duplicateValues" dxfId="826" priority="662"/>
    <cfRule type="duplicateValues" dxfId="825" priority="663"/>
    <cfRule type="duplicateValues" dxfId="824" priority="664"/>
    <cfRule type="duplicateValues" dxfId="823" priority="665"/>
    <cfRule type="duplicateValues" dxfId="822" priority="666"/>
    <cfRule type="duplicateValues" dxfId="821" priority="667"/>
    <cfRule type="duplicateValues" dxfId="820" priority="668"/>
    <cfRule type="duplicateValues" dxfId="819" priority="669"/>
    <cfRule type="duplicateValues" dxfId="818" priority="670"/>
    <cfRule type="duplicateValues" dxfId="817" priority="671"/>
    <cfRule type="duplicateValues" dxfId="816" priority="672"/>
    <cfRule type="duplicateValues" dxfId="815" priority="673"/>
    <cfRule type="duplicateValues" dxfId="814" priority="674"/>
    <cfRule type="duplicateValues" dxfId="813" priority="675"/>
    <cfRule type="duplicateValues" dxfId="812" priority="676"/>
    <cfRule type="duplicateValues" dxfId="811" priority="677"/>
    <cfRule type="duplicateValues" dxfId="810" priority="678"/>
    <cfRule type="duplicateValues" dxfId="809" priority="679"/>
    <cfRule type="duplicateValues" dxfId="808" priority="680"/>
    <cfRule type="duplicateValues" dxfId="807" priority="681"/>
    <cfRule type="duplicateValues" dxfId="806" priority="682"/>
    <cfRule type="duplicateValues" dxfId="805" priority="683"/>
    <cfRule type="duplicateValues" dxfId="804" priority="684"/>
    <cfRule type="duplicateValues" dxfId="803" priority="685"/>
    <cfRule type="duplicateValues" dxfId="802" priority="686"/>
    <cfRule type="duplicateValues" dxfId="801" priority="687"/>
    <cfRule type="duplicateValues" dxfId="800" priority="688"/>
  </conditionalFormatting>
  <conditionalFormatting sqref="B255:B314">
    <cfRule type="duplicateValues" dxfId="799" priority="193201"/>
    <cfRule type="duplicateValues" dxfId="798" priority="193202"/>
    <cfRule type="duplicateValues" dxfId="797" priority="193203"/>
    <cfRule type="duplicateValues" dxfId="796" priority="193204"/>
    <cfRule type="duplicateValues" dxfId="795" priority="193205"/>
    <cfRule type="duplicateValues" dxfId="794" priority="193206"/>
    <cfRule type="duplicateValues" dxfId="793" priority="193207"/>
    <cfRule type="duplicateValues" dxfId="792" priority="193208"/>
    <cfRule type="duplicateValues" dxfId="791" priority="193209"/>
    <cfRule type="duplicateValues" dxfId="790" priority="193210"/>
    <cfRule type="duplicateValues" dxfId="789" priority="193211"/>
    <cfRule type="duplicateValues" dxfId="788" priority="193212"/>
    <cfRule type="duplicateValues" dxfId="787" priority="193213"/>
    <cfRule type="duplicateValues" dxfId="786" priority="193214"/>
    <cfRule type="duplicateValues" dxfId="785" priority="193215"/>
    <cfRule type="duplicateValues" dxfId="784" priority="193216"/>
    <cfRule type="duplicateValues" dxfId="783" priority="193217"/>
    <cfRule type="duplicateValues" dxfId="782" priority="193218"/>
    <cfRule type="duplicateValues" dxfId="781" priority="193219"/>
    <cfRule type="duplicateValues" dxfId="780" priority="193220"/>
    <cfRule type="duplicateValues" dxfId="779" priority="193221"/>
    <cfRule type="duplicateValues" dxfId="778" priority="193222"/>
    <cfRule type="duplicateValues" dxfId="777" priority="193223"/>
    <cfRule type="duplicateValues" dxfId="776" priority="193224"/>
    <cfRule type="duplicateValues" dxfId="775" priority="193225"/>
    <cfRule type="duplicateValues" dxfId="774" priority="193226"/>
    <cfRule type="duplicateValues" dxfId="773" priority="193227"/>
    <cfRule type="duplicateValues" dxfId="772" priority="193228"/>
    <cfRule type="duplicateValues" dxfId="771" priority="193229"/>
    <cfRule type="duplicateValues" dxfId="770" priority="193230"/>
    <cfRule type="duplicateValues" dxfId="769" priority="193231"/>
    <cfRule type="duplicateValues" dxfId="768" priority="193232"/>
    <cfRule type="duplicateValues" dxfId="767" priority="193233"/>
    <cfRule type="duplicateValues" dxfId="766" priority="193234"/>
    <cfRule type="duplicateValues" dxfId="765" priority="193235"/>
    <cfRule type="duplicateValues" dxfId="764" priority="193236"/>
    <cfRule type="duplicateValues" dxfId="763" priority="193237"/>
    <cfRule type="duplicateValues" dxfId="762" priority="193238"/>
    <cfRule type="duplicateValues" dxfId="761" priority="193239"/>
    <cfRule type="duplicateValues" dxfId="760" priority="193240"/>
    <cfRule type="duplicateValues" dxfId="759" priority="193241"/>
    <cfRule type="duplicateValues" dxfId="758" priority="193242"/>
    <cfRule type="duplicateValues" dxfId="757" priority="193243"/>
  </conditionalFormatting>
  <conditionalFormatting sqref="B260:B314">
    <cfRule type="duplicateValues" dxfId="756" priority="193244"/>
    <cfRule type="duplicateValues" dxfId="755" priority="193245"/>
    <cfRule type="duplicateValues" dxfId="754" priority="193246"/>
    <cfRule type="duplicateValues" dxfId="753" priority="193247"/>
    <cfRule type="duplicateValues" dxfId="752" priority="193248"/>
    <cfRule type="duplicateValues" dxfId="751" priority="193249"/>
    <cfRule type="duplicateValues" dxfId="750" priority="193250"/>
    <cfRule type="duplicateValues" dxfId="749" priority="193251"/>
    <cfRule type="duplicateValues" dxfId="748" priority="193252"/>
    <cfRule type="duplicateValues" dxfId="747" priority="193253"/>
    <cfRule type="duplicateValues" dxfId="746" priority="193254"/>
    <cfRule type="duplicateValues" dxfId="745" priority="193255"/>
    <cfRule type="duplicateValues" dxfId="744" priority="193256"/>
    <cfRule type="duplicateValues" dxfId="743" priority="193257"/>
    <cfRule type="duplicateValues" dxfId="742" priority="193258"/>
    <cfRule type="duplicateValues" dxfId="741" priority="193259"/>
    <cfRule type="duplicateValues" dxfId="740" priority="193260"/>
    <cfRule type="duplicateValues" dxfId="739" priority="193261"/>
    <cfRule type="duplicateValues" dxfId="738" priority="193262"/>
    <cfRule type="duplicateValues" dxfId="737" priority="193263"/>
    <cfRule type="duplicateValues" dxfId="736" priority="193264"/>
    <cfRule type="duplicateValues" dxfId="735" priority="193265"/>
    <cfRule type="duplicateValues" dxfId="734" priority="193266"/>
    <cfRule type="duplicateValues" dxfId="733" priority="193267"/>
    <cfRule type="duplicateValues" dxfId="732" priority="193268"/>
    <cfRule type="duplicateValues" dxfId="731" priority="193269"/>
    <cfRule type="duplicateValues" dxfId="730" priority="193270"/>
    <cfRule type="duplicateValues" dxfId="729" priority="193271"/>
    <cfRule type="duplicateValues" dxfId="728" priority="193272"/>
    <cfRule type="duplicateValues" dxfId="727" priority="193273"/>
    <cfRule type="duplicateValues" dxfId="726" priority="193274"/>
    <cfRule type="duplicateValues" dxfId="725" priority="193275"/>
    <cfRule type="duplicateValues" dxfId="724" priority="193276"/>
    <cfRule type="duplicateValues" dxfId="723" priority="193277"/>
    <cfRule type="duplicateValues" dxfId="722" priority="193278"/>
    <cfRule type="duplicateValues" dxfId="721" priority="193279"/>
    <cfRule type="duplicateValues" dxfId="720" priority="193280"/>
    <cfRule type="duplicateValues" dxfId="719" priority="193281"/>
    <cfRule type="duplicateValues" dxfId="718" priority="193282"/>
    <cfRule type="duplicateValues" dxfId="717" priority="193283"/>
    <cfRule type="duplicateValues" dxfId="716" priority="193284"/>
    <cfRule type="duplicateValues" dxfId="715" priority="193285"/>
    <cfRule type="duplicateValues" dxfId="714" priority="193286"/>
  </conditionalFormatting>
  <conditionalFormatting sqref="B263:B314">
    <cfRule type="duplicateValues" dxfId="713" priority="193287"/>
    <cfRule type="duplicateValues" dxfId="712" priority="193288"/>
    <cfRule type="duplicateValues" dxfId="711" priority="193289"/>
    <cfRule type="duplicateValues" dxfId="710" priority="193290"/>
    <cfRule type="duplicateValues" dxfId="709" priority="193291"/>
    <cfRule type="duplicateValues" dxfId="708" priority="193292"/>
    <cfRule type="duplicateValues" dxfId="707" priority="193293"/>
    <cfRule type="duplicateValues" dxfId="706" priority="193294"/>
    <cfRule type="duplicateValues" dxfId="705" priority="193295"/>
    <cfRule type="duplicateValues" dxfId="704" priority="193296"/>
    <cfRule type="duplicateValues" dxfId="703" priority="193297"/>
    <cfRule type="duplicateValues" dxfId="702" priority="193298"/>
    <cfRule type="duplicateValues" dxfId="701" priority="193299"/>
    <cfRule type="duplicateValues" dxfId="700" priority="193300"/>
    <cfRule type="duplicateValues" dxfId="699" priority="193301"/>
    <cfRule type="duplicateValues" dxfId="698" priority="193302"/>
    <cfRule type="duplicateValues" dxfId="697" priority="193303"/>
    <cfRule type="duplicateValues" dxfId="696" priority="193304"/>
    <cfRule type="duplicateValues" dxfId="695" priority="193305"/>
    <cfRule type="duplicateValues" dxfId="694" priority="193306"/>
    <cfRule type="duplicateValues" dxfId="693" priority="193307"/>
    <cfRule type="duplicateValues" dxfId="692" priority="193308"/>
    <cfRule type="duplicateValues" dxfId="691" priority="193309"/>
    <cfRule type="duplicateValues" dxfId="690" priority="193310"/>
    <cfRule type="duplicateValues" dxfId="689" priority="193311"/>
    <cfRule type="duplicateValues" dxfId="688" priority="193312"/>
    <cfRule type="duplicateValues" dxfId="687" priority="193313"/>
    <cfRule type="duplicateValues" dxfId="686" priority="193314"/>
    <cfRule type="duplicateValues" dxfId="685" priority="193315"/>
    <cfRule type="duplicateValues" dxfId="684" priority="193316"/>
    <cfRule type="duplicateValues" dxfId="683" priority="193317"/>
    <cfRule type="duplicateValues" dxfId="682" priority="193318"/>
    <cfRule type="duplicateValues" dxfId="681" priority="193319"/>
    <cfRule type="duplicateValues" dxfId="680" priority="193320"/>
    <cfRule type="duplicateValues" dxfId="679" priority="193321"/>
    <cfRule type="duplicateValues" dxfId="678" priority="193322"/>
    <cfRule type="duplicateValues" dxfId="677" priority="193323"/>
    <cfRule type="duplicateValues" dxfId="676" priority="193324"/>
    <cfRule type="duplicateValues" dxfId="675" priority="193325"/>
    <cfRule type="duplicateValues" dxfId="674" priority="193326"/>
    <cfRule type="duplicateValues" dxfId="673" priority="193327"/>
    <cfRule type="duplicateValues" dxfId="672" priority="193328"/>
    <cfRule type="duplicateValues" dxfId="671" priority="193329"/>
  </conditionalFormatting>
  <conditionalFormatting sqref="B267:B314">
    <cfRule type="duplicateValues" dxfId="670" priority="193330"/>
    <cfRule type="duplicateValues" dxfId="669" priority="193331"/>
    <cfRule type="duplicateValues" dxfId="668" priority="193332"/>
    <cfRule type="duplicateValues" dxfId="667" priority="193333"/>
    <cfRule type="duplicateValues" dxfId="666" priority="193334"/>
    <cfRule type="duplicateValues" dxfId="665" priority="193335"/>
    <cfRule type="duplicateValues" dxfId="664" priority="193336"/>
    <cfRule type="duplicateValues" dxfId="663" priority="193337"/>
    <cfRule type="duplicateValues" dxfId="662" priority="193338"/>
    <cfRule type="duplicateValues" dxfId="661" priority="193339"/>
    <cfRule type="duplicateValues" dxfId="660" priority="193340"/>
    <cfRule type="duplicateValues" dxfId="659" priority="193341"/>
    <cfRule type="duplicateValues" dxfId="658" priority="193342"/>
    <cfRule type="duplicateValues" dxfId="657" priority="193343"/>
    <cfRule type="duplicateValues" dxfId="656" priority="193344"/>
    <cfRule type="duplicateValues" dxfId="655" priority="193345"/>
    <cfRule type="duplicateValues" dxfId="654" priority="193346"/>
    <cfRule type="duplicateValues" dxfId="653" priority="193347"/>
    <cfRule type="duplicateValues" dxfId="652" priority="193348"/>
    <cfRule type="duplicateValues" dxfId="651" priority="193349"/>
    <cfRule type="duplicateValues" dxfId="650" priority="193350"/>
    <cfRule type="duplicateValues" dxfId="649" priority="193351"/>
    <cfRule type="duplicateValues" dxfId="648" priority="193352"/>
    <cfRule type="duplicateValues" dxfId="647" priority="193353"/>
    <cfRule type="duplicateValues" dxfId="646" priority="193354"/>
    <cfRule type="duplicateValues" dxfId="645" priority="193355"/>
    <cfRule type="duplicateValues" dxfId="644" priority="193356"/>
    <cfRule type="duplicateValues" dxfId="643" priority="193357"/>
    <cfRule type="duplicateValues" dxfId="642" priority="193358"/>
    <cfRule type="duplicateValues" dxfId="641" priority="193359"/>
    <cfRule type="duplicateValues" dxfId="640" priority="193360"/>
    <cfRule type="duplicateValues" dxfId="639" priority="193361"/>
    <cfRule type="duplicateValues" dxfId="638" priority="193362"/>
    <cfRule type="duplicateValues" dxfId="637" priority="193363"/>
    <cfRule type="duplicateValues" dxfId="636" priority="193364"/>
    <cfRule type="duplicateValues" dxfId="635" priority="193365"/>
    <cfRule type="duplicateValues" dxfId="634" priority="193366"/>
    <cfRule type="duplicateValues" dxfId="633" priority="193367"/>
    <cfRule type="duplicateValues" dxfId="632" priority="193368"/>
    <cfRule type="duplicateValues" dxfId="631" priority="193369"/>
    <cfRule type="duplicateValues" dxfId="630" priority="193370"/>
    <cfRule type="duplicateValues" dxfId="629" priority="193371"/>
    <cfRule type="duplicateValues" dxfId="628" priority="193372"/>
  </conditionalFormatting>
  <conditionalFormatting sqref="B274:B314">
    <cfRule type="duplicateValues" dxfId="627" priority="193373"/>
    <cfRule type="duplicateValues" dxfId="626" priority="193374"/>
    <cfRule type="duplicateValues" dxfId="625" priority="193375"/>
    <cfRule type="duplicateValues" dxfId="624" priority="193376"/>
    <cfRule type="duplicateValues" dxfId="623" priority="193377"/>
    <cfRule type="duplicateValues" dxfId="622" priority="193378"/>
    <cfRule type="duplicateValues" dxfId="621" priority="193379"/>
    <cfRule type="duplicateValues" dxfId="620" priority="193380"/>
    <cfRule type="duplicateValues" dxfId="619" priority="193381"/>
    <cfRule type="duplicateValues" dxfId="618" priority="193382"/>
    <cfRule type="duplicateValues" dxfId="617" priority="193383"/>
    <cfRule type="duplicateValues" dxfId="616" priority="193384"/>
    <cfRule type="duplicateValues" dxfId="615" priority="193385"/>
    <cfRule type="duplicateValues" dxfId="614" priority="193386"/>
    <cfRule type="duplicateValues" dxfId="613" priority="193387"/>
    <cfRule type="duplicateValues" dxfId="612" priority="193388"/>
    <cfRule type="duplicateValues" dxfId="611" priority="193389"/>
    <cfRule type="duplicateValues" dxfId="610" priority="193390"/>
    <cfRule type="duplicateValues" dxfId="609" priority="193391"/>
    <cfRule type="duplicateValues" dxfId="608" priority="193392"/>
    <cfRule type="duplicateValues" dxfId="607" priority="193393"/>
    <cfRule type="duplicateValues" dxfId="606" priority="193394"/>
    <cfRule type="duplicateValues" dxfId="605" priority="193395"/>
    <cfRule type="duplicateValues" dxfId="604" priority="193396"/>
    <cfRule type="duplicateValues" dxfId="603" priority="193397"/>
    <cfRule type="duplicateValues" dxfId="602" priority="193398"/>
    <cfRule type="duplicateValues" dxfId="601" priority="193399"/>
    <cfRule type="duplicateValues" dxfId="600" priority="193400"/>
    <cfRule type="duplicateValues" dxfId="599" priority="193401"/>
    <cfRule type="duplicateValues" dxfId="598" priority="193402"/>
    <cfRule type="duplicateValues" dxfId="597" priority="193403"/>
    <cfRule type="duplicateValues" dxfId="596" priority="193404"/>
    <cfRule type="duplicateValues" dxfId="595" priority="193405"/>
    <cfRule type="duplicateValues" dxfId="594" priority="193406"/>
    <cfRule type="duplicateValues" dxfId="593" priority="193407"/>
    <cfRule type="duplicateValues" dxfId="592" priority="193408"/>
    <cfRule type="duplicateValues" dxfId="591" priority="193409"/>
    <cfRule type="duplicateValues" dxfId="590" priority="193410"/>
    <cfRule type="duplicateValues" dxfId="589" priority="193411"/>
    <cfRule type="duplicateValues" dxfId="588" priority="193412"/>
    <cfRule type="duplicateValues" dxfId="587" priority="193413"/>
    <cfRule type="duplicateValues" dxfId="586" priority="193414"/>
    <cfRule type="duplicateValues" dxfId="585" priority="193415"/>
  </conditionalFormatting>
  <conditionalFormatting sqref="B279:B314">
    <cfRule type="duplicateValues" dxfId="584" priority="193416"/>
    <cfRule type="duplicateValues" dxfId="583" priority="193417"/>
    <cfRule type="duplicateValues" dxfId="582" priority="193418"/>
    <cfRule type="duplicateValues" dxfId="581" priority="193419"/>
    <cfRule type="duplicateValues" dxfId="580" priority="193420"/>
    <cfRule type="duplicateValues" dxfId="579" priority="193421"/>
    <cfRule type="duplicateValues" dxfId="578" priority="193422"/>
    <cfRule type="duplicateValues" dxfId="577" priority="193423"/>
    <cfRule type="duplicateValues" dxfId="576" priority="193424"/>
    <cfRule type="duplicateValues" dxfId="575" priority="193425"/>
    <cfRule type="duplicateValues" dxfId="574" priority="193426"/>
    <cfRule type="duplicateValues" dxfId="573" priority="193427"/>
    <cfRule type="duplicateValues" dxfId="572" priority="193428"/>
    <cfRule type="duplicateValues" dxfId="571" priority="193429"/>
    <cfRule type="duplicateValues" dxfId="570" priority="193430"/>
    <cfRule type="duplicateValues" dxfId="569" priority="193431"/>
    <cfRule type="duplicateValues" dxfId="568" priority="193432"/>
    <cfRule type="duplicateValues" dxfId="567" priority="193433"/>
    <cfRule type="duplicateValues" dxfId="566" priority="193434"/>
    <cfRule type="duplicateValues" dxfId="565" priority="193435"/>
    <cfRule type="duplicateValues" dxfId="564" priority="193436"/>
    <cfRule type="duplicateValues" dxfId="563" priority="193437"/>
    <cfRule type="duplicateValues" dxfId="562" priority="193438"/>
    <cfRule type="duplicateValues" dxfId="561" priority="193439"/>
    <cfRule type="duplicateValues" dxfId="560" priority="193440"/>
    <cfRule type="duplicateValues" dxfId="559" priority="193441"/>
    <cfRule type="duplicateValues" dxfId="558" priority="193442"/>
    <cfRule type="duplicateValues" dxfId="557" priority="193443"/>
    <cfRule type="duplicateValues" dxfId="556" priority="193444"/>
    <cfRule type="duplicateValues" dxfId="555" priority="193445"/>
    <cfRule type="duplicateValues" dxfId="554" priority="193446"/>
    <cfRule type="duplicateValues" dxfId="553" priority="193447"/>
    <cfRule type="duplicateValues" dxfId="552" priority="193448"/>
    <cfRule type="duplicateValues" dxfId="551" priority="193449"/>
    <cfRule type="duplicateValues" dxfId="550" priority="193450"/>
    <cfRule type="duplicateValues" dxfId="549" priority="193451"/>
    <cfRule type="duplicateValues" dxfId="548" priority="193452"/>
    <cfRule type="duplicateValues" dxfId="547" priority="193453"/>
    <cfRule type="duplicateValues" dxfId="546" priority="193454"/>
    <cfRule type="duplicateValues" dxfId="545" priority="193455"/>
    <cfRule type="duplicateValues" dxfId="544" priority="193456"/>
    <cfRule type="duplicateValues" dxfId="543" priority="193457"/>
    <cfRule type="duplicateValues" dxfId="542" priority="193458"/>
  </conditionalFormatting>
  <conditionalFormatting sqref="B283:B314">
    <cfRule type="duplicateValues" dxfId="541" priority="193459"/>
    <cfRule type="duplicateValues" dxfId="540" priority="193460"/>
    <cfRule type="duplicateValues" dxfId="539" priority="193461"/>
    <cfRule type="duplicateValues" dxfId="538" priority="193462"/>
    <cfRule type="duplicateValues" dxfId="537" priority="193463"/>
    <cfRule type="duplicateValues" dxfId="536" priority="193464"/>
    <cfRule type="duplicateValues" dxfId="535" priority="193465"/>
    <cfRule type="duplicateValues" dxfId="534" priority="193466"/>
    <cfRule type="duplicateValues" dxfId="533" priority="193467"/>
    <cfRule type="duplicateValues" dxfId="532" priority="193468"/>
    <cfRule type="duplicateValues" dxfId="531" priority="193469"/>
    <cfRule type="duplicateValues" dxfId="530" priority="193470"/>
    <cfRule type="duplicateValues" dxfId="529" priority="193471"/>
    <cfRule type="duplicateValues" dxfId="528" priority="193472"/>
    <cfRule type="duplicateValues" dxfId="527" priority="193473"/>
    <cfRule type="duplicateValues" dxfId="526" priority="193474"/>
    <cfRule type="duplicateValues" dxfId="525" priority="193475"/>
    <cfRule type="duplicateValues" dxfId="524" priority="193476"/>
    <cfRule type="duplicateValues" dxfId="523" priority="193477"/>
    <cfRule type="duplicateValues" dxfId="522" priority="193478"/>
    <cfRule type="duplicateValues" dxfId="521" priority="193479"/>
    <cfRule type="duplicateValues" dxfId="520" priority="193480"/>
    <cfRule type="duplicateValues" dxfId="519" priority="193481"/>
    <cfRule type="duplicateValues" dxfId="518" priority="193482"/>
    <cfRule type="duplicateValues" dxfId="517" priority="193483"/>
    <cfRule type="duplicateValues" dxfId="516" priority="193484"/>
    <cfRule type="duplicateValues" dxfId="515" priority="193485"/>
    <cfRule type="duplicateValues" dxfId="514" priority="193486"/>
    <cfRule type="duplicateValues" dxfId="513" priority="193487"/>
    <cfRule type="duplicateValues" dxfId="512" priority="193488"/>
    <cfRule type="duplicateValues" dxfId="511" priority="193489"/>
    <cfRule type="duplicateValues" dxfId="510" priority="193490"/>
    <cfRule type="duplicateValues" dxfId="509" priority="193491"/>
    <cfRule type="duplicateValues" dxfId="508" priority="193492"/>
    <cfRule type="duplicateValues" dxfId="507" priority="193493"/>
    <cfRule type="duplicateValues" dxfId="506" priority="193494"/>
    <cfRule type="duplicateValues" dxfId="505" priority="193495"/>
    <cfRule type="duplicateValues" dxfId="504" priority="193496"/>
    <cfRule type="duplicateValues" dxfId="503" priority="193497"/>
    <cfRule type="duplicateValues" dxfId="502" priority="193498"/>
    <cfRule type="duplicateValues" dxfId="501" priority="193499"/>
    <cfRule type="duplicateValues" dxfId="500" priority="193500"/>
    <cfRule type="duplicateValues" dxfId="499" priority="193501"/>
  </conditionalFormatting>
  <conditionalFormatting sqref="B285:B287">
    <cfRule type="duplicateValues" dxfId="498" priority="259"/>
    <cfRule type="duplicateValues" dxfId="497" priority="260"/>
    <cfRule type="duplicateValues" dxfId="496" priority="261"/>
    <cfRule type="duplicateValues" dxfId="495" priority="262"/>
    <cfRule type="duplicateValues" dxfId="494" priority="263"/>
    <cfRule type="duplicateValues" dxfId="493" priority="264"/>
    <cfRule type="duplicateValues" dxfId="492" priority="265"/>
    <cfRule type="duplicateValues" dxfId="491" priority="266"/>
    <cfRule type="duplicateValues" dxfId="490" priority="267"/>
    <cfRule type="duplicateValues" dxfId="489" priority="268"/>
    <cfRule type="duplicateValues" dxfId="488" priority="269"/>
    <cfRule type="duplicateValues" dxfId="487" priority="270"/>
    <cfRule type="duplicateValues" dxfId="486" priority="271"/>
    <cfRule type="duplicateValues" dxfId="485" priority="272"/>
    <cfRule type="duplicateValues" dxfId="484" priority="273"/>
    <cfRule type="duplicateValues" dxfId="483" priority="274"/>
    <cfRule type="duplicateValues" dxfId="482" priority="275"/>
    <cfRule type="duplicateValues" dxfId="481" priority="276"/>
    <cfRule type="duplicateValues" dxfId="480" priority="277"/>
    <cfRule type="duplicateValues" dxfId="479" priority="278"/>
    <cfRule type="duplicateValues" dxfId="478" priority="279"/>
    <cfRule type="duplicateValues" dxfId="477" priority="280"/>
    <cfRule type="duplicateValues" dxfId="476" priority="281"/>
    <cfRule type="duplicateValues" dxfId="475" priority="282"/>
    <cfRule type="duplicateValues" dxfId="474" priority="283"/>
    <cfRule type="duplicateValues" dxfId="473" priority="284"/>
    <cfRule type="duplicateValues" dxfId="472" priority="285"/>
    <cfRule type="duplicateValues" dxfId="471" priority="286"/>
    <cfRule type="duplicateValues" dxfId="470" priority="287"/>
    <cfRule type="duplicateValues" dxfId="469" priority="288"/>
    <cfRule type="duplicateValues" dxfId="468" priority="289"/>
    <cfRule type="duplicateValues" dxfId="467" priority="290"/>
    <cfRule type="duplicateValues" dxfId="466" priority="291"/>
    <cfRule type="duplicateValues" dxfId="465" priority="292"/>
    <cfRule type="duplicateValues" dxfId="464" priority="293"/>
    <cfRule type="duplicateValues" dxfId="463" priority="294"/>
    <cfRule type="duplicateValues" dxfId="462" priority="295"/>
    <cfRule type="duplicateValues" dxfId="461" priority="296"/>
    <cfRule type="duplicateValues" dxfId="460" priority="297"/>
    <cfRule type="duplicateValues" dxfId="459" priority="298"/>
    <cfRule type="duplicateValues" dxfId="458" priority="299"/>
    <cfRule type="duplicateValues" dxfId="457" priority="300"/>
    <cfRule type="duplicateValues" dxfId="456" priority="301"/>
  </conditionalFormatting>
  <conditionalFormatting sqref="B288:B314">
    <cfRule type="duplicateValues" dxfId="455" priority="191500"/>
    <cfRule type="duplicateValues" dxfId="454" priority="191501"/>
    <cfRule type="duplicateValues" dxfId="453" priority="191502"/>
    <cfRule type="duplicateValues" dxfId="452" priority="191503"/>
    <cfRule type="duplicateValues" dxfId="451" priority="191504"/>
    <cfRule type="duplicateValues" dxfId="450" priority="191505"/>
    <cfRule type="duplicateValues" dxfId="449" priority="191506"/>
    <cfRule type="duplicateValues" dxfId="448" priority="191507"/>
    <cfRule type="duplicateValues" dxfId="447" priority="191508"/>
    <cfRule type="duplicateValues" dxfId="446" priority="191509"/>
    <cfRule type="duplicateValues" dxfId="445" priority="191510"/>
    <cfRule type="duplicateValues" dxfId="444" priority="191511"/>
    <cfRule type="duplicateValues" dxfId="443" priority="191512"/>
    <cfRule type="duplicateValues" dxfId="442" priority="191513"/>
    <cfRule type="duplicateValues" dxfId="441" priority="191514"/>
    <cfRule type="duplicateValues" dxfId="440" priority="191515"/>
    <cfRule type="duplicateValues" dxfId="439" priority="191516"/>
    <cfRule type="duplicateValues" dxfId="438" priority="191517"/>
    <cfRule type="duplicateValues" dxfId="437" priority="191518"/>
    <cfRule type="duplicateValues" dxfId="436" priority="191519"/>
    <cfRule type="duplicateValues" dxfId="435" priority="191520"/>
    <cfRule type="duplicateValues" dxfId="434" priority="191521"/>
    <cfRule type="duplicateValues" dxfId="433" priority="191522"/>
    <cfRule type="duplicateValues" dxfId="432" priority="191523"/>
    <cfRule type="duplicateValues" dxfId="431" priority="191524"/>
    <cfRule type="duplicateValues" dxfId="430" priority="191525"/>
    <cfRule type="duplicateValues" dxfId="429" priority="191526"/>
    <cfRule type="duplicateValues" dxfId="428" priority="191527"/>
    <cfRule type="duplicateValues" dxfId="427" priority="191528"/>
    <cfRule type="duplicateValues" dxfId="426" priority="191529"/>
    <cfRule type="duplicateValues" dxfId="425" priority="191530"/>
    <cfRule type="duplicateValues" dxfId="424" priority="191531"/>
    <cfRule type="duplicateValues" dxfId="423" priority="191532"/>
    <cfRule type="duplicateValues" dxfId="422" priority="191533"/>
    <cfRule type="duplicateValues" dxfId="421" priority="191534"/>
    <cfRule type="duplicateValues" dxfId="420" priority="191535"/>
    <cfRule type="duplicateValues" dxfId="419" priority="191536"/>
    <cfRule type="duplicateValues" dxfId="418" priority="191537"/>
    <cfRule type="duplicateValues" dxfId="417" priority="191538"/>
    <cfRule type="duplicateValues" dxfId="416" priority="191539"/>
    <cfRule type="duplicateValues" dxfId="415" priority="191540"/>
    <cfRule type="duplicateValues" dxfId="414" priority="191541"/>
    <cfRule type="duplicateValues" dxfId="413" priority="191542"/>
  </conditionalFormatting>
  <conditionalFormatting sqref="B293">
    <cfRule type="duplicateValues" dxfId="412" priority="173"/>
    <cfRule type="duplicateValues" dxfId="411" priority="174"/>
    <cfRule type="duplicateValues" dxfId="410" priority="175"/>
    <cfRule type="duplicateValues" dxfId="409" priority="176"/>
    <cfRule type="duplicateValues" dxfId="408" priority="177"/>
    <cfRule type="duplicateValues" dxfId="407" priority="178"/>
    <cfRule type="duplicateValues" dxfId="406" priority="179"/>
    <cfRule type="duplicateValues" dxfId="405" priority="180"/>
    <cfRule type="duplicateValues" dxfId="404" priority="181"/>
    <cfRule type="duplicateValues" dxfId="403" priority="182"/>
    <cfRule type="duplicateValues" dxfId="402" priority="183"/>
    <cfRule type="duplicateValues" dxfId="401" priority="184"/>
    <cfRule type="duplicateValues" dxfId="400" priority="185"/>
    <cfRule type="duplicateValues" dxfId="399" priority="186"/>
    <cfRule type="duplicateValues" dxfId="398" priority="187"/>
    <cfRule type="duplicateValues" dxfId="397" priority="188"/>
    <cfRule type="duplicateValues" dxfId="396" priority="189"/>
    <cfRule type="duplicateValues" dxfId="395" priority="190"/>
    <cfRule type="duplicateValues" dxfId="394" priority="191"/>
    <cfRule type="duplicateValues" dxfId="393" priority="192"/>
    <cfRule type="duplicateValues" dxfId="392" priority="193"/>
    <cfRule type="duplicateValues" dxfId="391" priority="194"/>
    <cfRule type="duplicateValues" dxfId="390" priority="195"/>
    <cfRule type="duplicateValues" dxfId="389" priority="196"/>
    <cfRule type="duplicateValues" dxfId="388" priority="197"/>
    <cfRule type="duplicateValues" dxfId="387" priority="198"/>
    <cfRule type="duplicateValues" dxfId="386" priority="199"/>
    <cfRule type="duplicateValues" dxfId="385" priority="200"/>
    <cfRule type="duplicateValues" dxfId="384" priority="201"/>
    <cfRule type="duplicateValues" dxfId="383" priority="202"/>
    <cfRule type="duplicateValues" dxfId="382" priority="203"/>
    <cfRule type="duplicateValues" dxfId="381" priority="204"/>
    <cfRule type="duplicateValues" dxfId="380" priority="205"/>
    <cfRule type="duplicateValues" dxfId="379" priority="206"/>
    <cfRule type="duplicateValues" dxfId="378" priority="207"/>
    <cfRule type="duplicateValues" dxfId="377" priority="208"/>
    <cfRule type="duplicateValues" dxfId="376" priority="209"/>
    <cfRule type="duplicateValues" dxfId="375" priority="210"/>
    <cfRule type="duplicateValues" dxfId="374" priority="211"/>
    <cfRule type="duplicateValues" dxfId="373" priority="212"/>
    <cfRule type="duplicateValues" dxfId="372" priority="213"/>
    <cfRule type="duplicateValues" dxfId="371" priority="214"/>
    <cfRule type="duplicateValues" dxfId="370" priority="215"/>
  </conditionalFormatting>
  <conditionalFormatting sqref="B294:B314">
    <cfRule type="duplicateValues" dxfId="369" priority="191457"/>
    <cfRule type="duplicateValues" dxfId="368" priority="191458"/>
    <cfRule type="duplicateValues" dxfId="367" priority="191459"/>
    <cfRule type="duplicateValues" dxfId="366" priority="191460"/>
    <cfRule type="duplicateValues" dxfId="365" priority="191461"/>
    <cfRule type="duplicateValues" dxfId="364" priority="191462"/>
    <cfRule type="duplicateValues" dxfId="363" priority="191463"/>
    <cfRule type="duplicateValues" dxfId="362" priority="191464"/>
    <cfRule type="duplicateValues" dxfId="361" priority="191465"/>
    <cfRule type="duplicateValues" dxfId="360" priority="191466"/>
    <cfRule type="duplicateValues" dxfId="359" priority="191467"/>
    <cfRule type="duplicateValues" dxfId="358" priority="191468"/>
    <cfRule type="duplicateValues" dxfId="357" priority="191469"/>
    <cfRule type="duplicateValues" dxfId="356" priority="191470"/>
    <cfRule type="duplicateValues" dxfId="355" priority="191471"/>
    <cfRule type="duplicateValues" dxfId="354" priority="191472"/>
    <cfRule type="duplicateValues" dxfId="353" priority="191473"/>
    <cfRule type="duplicateValues" dxfId="352" priority="191474"/>
    <cfRule type="duplicateValues" dxfId="351" priority="191475"/>
    <cfRule type="duplicateValues" dxfId="350" priority="191476"/>
    <cfRule type="duplicateValues" dxfId="349" priority="191477"/>
    <cfRule type="duplicateValues" dxfId="348" priority="191478"/>
    <cfRule type="duplicateValues" dxfId="347" priority="191479"/>
    <cfRule type="duplicateValues" dxfId="346" priority="191480"/>
    <cfRule type="duplicateValues" dxfId="345" priority="191481"/>
    <cfRule type="duplicateValues" dxfId="344" priority="191482"/>
    <cfRule type="duplicateValues" dxfId="343" priority="191483"/>
    <cfRule type="duplicateValues" dxfId="342" priority="191484"/>
    <cfRule type="duplicateValues" dxfId="341" priority="191485"/>
    <cfRule type="duplicateValues" dxfId="340" priority="191486"/>
    <cfRule type="duplicateValues" dxfId="339" priority="191487"/>
    <cfRule type="duplicateValues" dxfId="338" priority="191488"/>
    <cfRule type="duplicateValues" dxfId="337" priority="191489"/>
    <cfRule type="duplicateValues" dxfId="336" priority="191490"/>
    <cfRule type="duplicateValues" dxfId="335" priority="191491"/>
    <cfRule type="duplicateValues" dxfId="334" priority="191492"/>
    <cfRule type="duplicateValues" dxfId="333" priority="191493"/>
    <cfRule type="duplicateValues" dxfId="332" priority="191494"/>
    <cfRule type="duplicateValues" dxfId="331" priority="191495"/>
    <cfRule type="duplicateValues" dxfId="330" priority="191496"/>
    <cfRule type="duplicateValues" dxfId="329" priority="191497"/>
    <cfRule type="duplicateValues" dxfId="328" priority="191498"/>
    <cfRule type="duplicateValues" dxfId="327" priority="191499"/>
  </conditionalFormatting>
  <conditionalFormatting sqref="B308:B314">
    <cfRule type="duplicateValues" dxfId="326" priority="44"/>
    <cfRule type="duplicateValues" dxfId="325" priority="45"/>
    <cfRule type="duplicateValues" dxfId="324" priority="46"/>
    <cfRule type="duplicateValues" dxfId="323" priority="47"/>
    <cfRule type="duplicateValues" dxfId="322" priority="48"/>
    <cfRule type="duplicateValues" dxfId="321" priority="49"/>
    <cfRule type="duplicateValues" dxfId="320" priority="50"/>
    <cfRule type="duplicateValues" dxfId="319" priority="51"/>
    <cfRule type="duplicateValues" dxfId="318" priority="52"/>
    <cfRule type="duplicateValues" dxfId="317" priority="53"/>
    <cfRule type="duplicateValues" dxfId="316" priority="54"/>
    <cfRule type="duplicateValues" dxfId="315" priority="55"/>
    <cfRule type="duplicateValues" dxfId="314" priority="56"/>
    <cfRule type="duplicateValues" dxfId="313" priority="57"/>
    <cfRule type="duplicateValues" dxfId="312" priority="58"/>
    <cfRule type="duplicateValues" dxfId="311" priority="59"/>
    <cfRule type="duplicateValues" dxfId="310" priority="60"/>
    <cfRule type="duplicateValues" dxfId="309" priority="61"/>
    <cfRule type="duplicateValues" dxfId="308" priority="62"/>
    <cfRule type="duplicateValues" dxfId="307" priority="63"/>
    <cfRule type="duplicateValues" dxfId="306" priority="64"/>
    <cfRule type="duplicateValues" dxfId="305" priority="65"/>
    <cfRule type="duplicateValues" dxfId="304" priority="66"/>
    <cfRule type="duplicateValues" dxfId="303" priority="67"/>
    <cfRule type="duplicateValues" dxfId="302" priority="68"/>
    <cfRule type="duplicateValues" dxfId="301" priority="69"/>
    <cfRule type="duplicateValues" dxfId="300" priority="70"/>
    <cfRule type="duplicateValues" dxfId="299" priority="71"/>
    <cfRule type="duplicateValues" dxfId="298" priority="72"/>
    <cfRule type="duplicateValues" dxfId="297" priority="73"/>
    <cfRule type="duplicateValues" dxfId="296" priority="74"/>
    <cfRule type="duplicateValues" dxfId="295" priority="75"/>
    <cfRule type="duplicateValues" dxfId="294" priority="76"/>
    <cfRule type="duplicateValues" dxfId="293" priority="77"/>
    <cfRule type="duplicateValues" dxfId="292" priority="78"/>
    <cfRule type="duplicateValues" dxfId="291" priority="79"/>
    <cfRule type="duplicateValues" dxfId="290" priority="80"/>
    <cfRule type="duplicateValues" dxfId="289" priority="81"/>
    <cfRule type="duplicateValues" dxfId="288" priority="82"/>
    <cfRule type="duplicateValues" dxfId="287" priority="83"/>
    <cfRule type="duplicateValues" dxfId="286" priority="84"/>
    <cfRule type="duplicateValues" dxfId="285" priority="85"/>
    <cfRule type="duplicateValues" dxfId="284" priority="86"/>
  </conditionalFormatting>
  <conditionalFormatting sqref="B309:B314">
    <cfRule type="duplicateValues" dxfId="283" priority="1"/>
    <cfRule type="duplicateValues" dxfId="282" priority="2"/>
    <cfRule type="duplicateValues" dxfId="281" priority="3"/>
    <cfRule type="duplicateValues" dxfId="280" priority="4"/>
    <cfRule type="duplicateValues" dxfId="279" priority="5"/>
    <cfRule type="duplicateValues" dxfId="278" priority="6"/>
    <cfRule type="duplicateValues" dxfId="277" priority="7"/>
    <cfRule type="duplicateValues" dxfId="276" priority="8"/>
    <cfRule type="duplicateValues" dxfId="275" priority="9"/>
    <cfRule type="duplicateValues" dxfId="274" priority="10"/>
    <cfRule type="duplicateValues" dxfId="273" priority="11"/>
    <cfRule type="duplicateValues" dxfId="272" priority="12"/>
    <cfRule type="duplicateValues" dxfId="271" priority="13"/>
    <cfRule type="duplicateValues" dxfId="270" priority="14"/>
    <cfRule type="duplicateValues" dxfId="269" priority="15"/>
    <cfRule type="duplicateValues" dxfId="268" priority="16"/>
    <cfRule type="duplicateValues" dxfId="267" priority="17"/>
    <cfRule type="duplicateValues" dxfId="266" priority="18"/>
    <cfRule type="duplicateValues" dxfId="265" priority="19"/>
    <cfRule type="duplicateValues" dxfId="264" priority="20"/>
    <cfRule type="duplicateValues" dxfId="263" priority="21"/>
    <cfRule type="duplicateValues" dxfId="262" priority="22"/>
    <cfRule type="duplicateValues" dxfId="261" priority="23"/>
    <cfRule type="duplicateValues" dxfId="260" priority="24"/>
    <cfRule type="duplicateValues" dxfId="259" priority="25"/>
    <cfRule type="duplicateValues" dxfId="258" priority="26"/>
    <cfRule type="duplicateValues" dxfId="257" priority="27"/>
    <cfRule type="duplicateValues" dxfId="256" priority="28"/>
    <cfRule type="duplicateValues" dxfId="255" priority="29"/>
    <cfRule type="duplicateValues" dxfId="254" priority="30"/>
    <cfRule type="duplicateValues" dxfId="253" priority="31"/>
    <cfRule type="duplicateValues" dxfId="252" priority="32"/>
    <cfRule type="duplicateValues" dxfId="251" priority="33"/>
    <cfRule type="duplicateValues" dxfId="250" priority="34"/>
    <cfRule type="duplicateValues" dxfId="249" priority="35"/>
    <cfRule type="duplicateValues" dxfId="248" priority="36"/>
    <cfRule type="duplicateValues" dxfId="247" priority="37"/>
    <cfRule type="duplicateValues" dxfId="246" priority="38"/>
    <cfRule type="duplicateValues" dxfId="245" priority="39"/>
    <cfRule type="duplicateValues" dxfId="244" priority="40"/>
    <cfRule type="duplicateValues" dxfId="243" priority="41"/>
    <cfRule type="duplicateValues" dxfId="242" priority="42"/>
    <cfRule type="duplicateValues" dxfId="241" priority="43"/>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3CAF3-D044-40AB-8FA4-52B427F8D591}">
  <dimension ref="A1:O45"/>
  <sheetViews>
    <sheetView topLeftCell="A2" workbookViewId="0">
      <selection activeCell="A8" sqref="A8"/>
    </sheetView>
  </sheetViews>
  <sheetFormatPr defaultColWidth="9" defaultRowHeight="14.4" x14ac:dyDescent="0.3"/>
  <cols>
    <col min="1" max="1" width="8" style="80" bestFit="1" customWidth="1"/>
    <col min="2" max="2" width="31.109375" style="80" bestFit="1" customWidth="1"/>
    <col min="3" max="3" width="26" style="80" bestFit="1" customWidth="1"/>
    <col min="4" max="4" width="47.88671875" style="80" bestFit="1" customWidth="1"/>
    <col min="5" max="5" width="12.44140625" style="80" customWidth="1"/>
    <col min="6" max="6" width="6.5546875" style="80" customWidth="1"/>
    <col min="7" max="7" width="7.109375" style="80" customWidth="1"/>
    <col min="8" max="9" width="7.109375" style="80" bestFit="1" customWidth="1"/>
    <col min="10" max="10" width="26" style="80" bestFit="1" customWidth="1"/>
    <col min="11" max="12" width="7.109375" style="80" bestFit="1" customWidth="1"/>
    <col min="13" max="13" width="26.5546875" style="80" bestFit="1" customWidth="1"/>
    <col min="14" max="14" width="21.6640625" style="80" bestFit="1" customWidth="1"/>
    <col min="15" max="15" width="5.5546875" style="80" bestFit="1" customWidth="1"/>
    <col min="16" max="16384" width="9" style="80"/>
  </cols>
  <sheetData>
    <row r="1" spans="1:13" ht="31.2" x14ac:dyDescent="0.3">
      <c r="A1" s="75" t="s">
        <v>236</v>
      </c>
      <c r="B1" s="75" t="s">
        <v>3</v>
      </c>
      <c r="C1" s="75" t="s">
        <v>4</v>
      </c>
      <c r="D1" s="75" t="s">
        <v>237</v>
      </c>
      <c r="E1" s="81" t="s">
        <v>238</v>
      </c>
      <c r="F1" s="75" t="s">
        <v>239</v>
      </c>
      <c r="G1" s="76" t="s">
        <v>240</v>
      </c>
      <c r="H1" s="75" t="s">
        <v>2</v>
      </c>
      <c r="I1" s="75" t="s">
        <v>241</v>
      </c>
      <c r="J1" s="75" t="s">
        <v>242</v>
      </c>
      <c r="K1" s="75" t="s">
        <v>241</v>
      </c>
      <c r="L1" s="75" t="s">
        <v>2</v>
      </c>
    </row>
    <row r="2" spans="1:13" ht="15.6" x14ac:dyDescent="0.3">
      <c r="A2" s="77">
        <v>1</v>
      </c>
      <c r="B2" s="78" t="s">
        <v>243</v>
      </c>
      <c r="C2" s="78" t="s">
        <v>244</v>
      </c>
      <c r="D2" s="78" t="s">
        <v>245</v>
      </c>
      <c r="E2" s="78">
        <v>10</v>
      </c>
      <c r="F2" s="78">
        <v>2</v>
      </c>
      <c r="G2" s="78">
        <v>10</v>
      </c>
      <c r="H2" s="79">
        <v>8.3333333333333329E-2</v>
      </c>
      <c r="I2" s="79">
        <v>0.5</v>
      </c>
      <c r="J2" s="78" t="s">
        <v>246</v>
      </c>
      <c r="K2" s="79">
        <v>0.35416666666666669</v>
      </c>
      <c r="L2" s="79">
        <v>0.41666666666666669</v>
      </c>
    </row>
    <row r="3" spans="1:13" ht="15.6" x14ac:dyDescent="0.3">
      <c r="A3" s="77">
        <v>2</v>
      </c>
      <c r="B3" s="78" t="s">
        <v>243</v>
      </c>
      <c r="C3" s="78" t="s">
        <v>247</v>
      </c>
      <c r="D3" s="78" t="s">
        <v>248</v>
      </c>
      <c r="E3" s="78">
        <v>10</v>
      </c>
      <c r="F3" s="78">
        <v>4</v>
      </c>
      <c r="G3" s="78">
        <v>25</v>
      </c>
      <c r="H3" s="79">
        <v>8.3333333333333329E-2</v>
      </c>
      <c r="I3" s="79">
        <v>0.125</v>
      </c>
      <c r="J3" s="78" t="s">
        <v>249</v>
      </c>
      <c r="K3" s="79">
        <v>0.375</v>
      </c>
      <c r="L3" s="79">
        <v>0.41666666666666669</v>
      </c>
    </row>
    <row r="4" spans="1:13" ht="15.6" x14ac:dyDescent="0.3">
      <c r="A4" s="77">
        <v>3</v>
      </c>
      <c r="B4" s="78" t="s">
        <v>243</v>
      </c>
      <c r="C4" s="78" t="s">
        <v>250</v>
      </c>
      <c r="D4" s="78" t="s">
        <v>251</v>
      </c>
      <c r="E4" s="78">
        <v>18</v>
      </c>
      <c r="F4" s="78">
        <v>2</v>
      </c>
      <c r="G4" s="78">
        <v>10</v>
      </c>
      <c r="H4" s="79">
        <v>0.14583333333333334</v>
      </c>
      <c r="I4" s="79">
        <v>0.5625</v>
      </c>
      <c r="J4" s="78" t="s">
        <v>252</v>
      </c>
      <c r="K4" s="79">
        <v>0.35416666666666669</v>
      </c>
      <c r="L4" s="79">
        <v>0.39583333333333331</v>
      </c>
    </row>
    <row r="5" spans="1:13" ht="15.6" x14ac:dyDescent="0.3">
      <c r="A5" s="77">
        <v>4</v>
      </c>
      <c r="B5" s="78" t="s">
        <v>243</v>
      </c>
      <c r="C5" s="78" t="s">
        <v>253</v>
      </c>
      <c r="D5" s="78" t="s">
        <v>254</v>
      </c>
      <c r="E5" s="78">
        <v>10</v>
      </c>
      <c r="F5" s="78">
        <v>6</v>
      </c>
      <c r="G5" s="78">
        <v>46</v>
      </c>
      <c r="H5" s="79">
        <v>0.375</v>
      </c>
      <c r="I5" s="79">
        <v>0.29166666666666669</v>
      </c>
      <c r="J5" s="78" t="s">
        <v>255</v>
      </c>
      <c r="K5" s="79">
        <v>4.1666666666666664E-2</v>
      </c>
      <c r="L5" s="79">
        <v>0.125</v>
      </c>
    </row>
    <row r="6" spans="1:13" ht="15.6" x14ac:dyDescent="0.3">
      <c r="A6" s="77">
        <v>5</v>
      </c>
      <c r="B6" s="78" t="s">
        <v>243</v>
      </c>
      <c r="C6" s="78" t="s">
        <v>256</v>
      </c>
      <c r="D6" s="78" t="s">
        <v>257</v>
      </c>
      <c r="E6" s="78">
        <v>10</v>
      </c>
      <c r="F6" s="78">
        <v>3</v>
      </c>
      <c r="G6" s="78">
        <v>17</v>
      </c>
      <c r="H6" s="79">
        <v>0.375</v>
      </c>
      <c r="I6" s="79">
        <v>8.3333333333333329E-2</v>
      </c>
      <c r="J6" s="78" t="s">
        <v>258</v>
      </c>
      <c r="K6" s="79">
        <v>0.83333333333333337</v>
      </c>
      <c r="L6" s="79">
        <v>0.91666666666666663</v>
      </c>
    </row>
    <row r="7" spans="1:13" ht="15.6" x14ac:dyDescent="0.3">
      <c r="A7" s="77">
        <v>6</v>
      </c>
      <c r="B7" s="78" t="s">
        <v>243</v>
      </c>
      <c r="C7" s="78" t="s">
        <v>259</v>
      </c>
      <c r="D7" s="78" t="s">
        <v>260</v>
      </c>
      <c r="E7" s="78">
        <v>11</v>
      </c>
      <c r="F7" s="78">
        <v>1</v>
      </c>
      <c r="G7" s="78">
        <v>6.3</v>
      </c>
      <c r="H7" s="79">
        <v>0</v>
      </c>
      <c r="I7" s="79">
        <v>0.27083333333333331</v>
      </c>
      <c r="J7" s="78" t="s">
        <v>261</v>
      </c>
      <c r="K7" s="79">
        <v>2.0833333333333332E-2</v>
      </c>
      <c r="L7" s="79">
        <v>6.25E-2</v>
      </c>
    </row>
    <row r="8" spans="1:13" ht="15.6" x14ac:dyDescent="0.3">
      <c r="A8" s="77">
        <v>7</v>
      </c>
      <c r="B8" s="78" t="s">
        <v>261</v>
      </c>
      <c r="C8" s="78" t="s">
        <v>262</v>
      </c>
      <c r="D8" s="78" t="s">
        <v>263</v>
      </c>
      <c r="E8" s="78">
        <v>8</v>
      </c>
      <c r="F8" s="78">
        <v>2</v>
      </c>
      <c r="G8" s="78">
        <v>8.3000000000000007</v>
      </c>
      <c r="H8" s="79">
        <v>0.125</v>
      </c>
      <c r="I8" s="79">
        <v>0.47916666666666669</v>
      </c>
      <c r="J8" s="78" t="s">
        <v>264</v>
      </c>
      <c r="K8" s="79">
        <v>0.35416666666666669</v>
      </c>
      <c r="L8" s="79">
        <v>0.41666666666666669</v>
      </c>
    </row>
    <row r="9" spans="1:13" ht="15.6" x14ac:dyDescent="0.3">
      <c r="A9" s="77">
        <v>8</v>
      </c>
      <c r="B9" s="78" t="s">
        <v>261</v>
      </c>
      <c r="C9" s="78" t="s">
        <v>265</v>
      </c>
      <c r="D9" s="78" t="s">
        <v>266</v>
      </c>
      <c r="E9" s="78">
        <v>18</v>
      </c>
      <c r="F9" s="78">
        <v>3</v>
      </c>
      <c r="G9" s="78">
        <v>15</v>
      </c>
      <c r="H9" s="79">
        <v>0.27083333333333331</v>
      </c>
      <c r="I9" s="79">
        <v>0.89583333333333337</v>
      </c>
      <c r="J9" s="78" t="s">
        <v>259</v>
      </c>
      <c r="K9" s="79">
        <v>0.45833333333333331</v>
      </c>
      <c r="L9" s="79">
        <v>0.54166666666666663</v>
      </c>
      <c r="M9" s="82"/>
    </row>
    <row r="10" spans="1:13" ht="15.6" x14ac:dyDescent="0.3">
      <c r="A10" s="77">
        <v>9</v>
      </c>
      <c r="B10" s="78" t="s">
        <v>267</v>
      </c>
      <c r="C10" s="78" t="s">
        <v>261</v>
      </c>
      <c r="D10" s="78" t="s">
        <v>268</v>
      </c>
      <c r="E10" s="78">
        <v>18</v>
      </c>
      <c r="F10" s="78">
        <v>2</v>
      </c>
      <c r="G10" s="78">
        <v>14</v>
      </c>
      <c r="H10" s="79">
        <v>0.375</v>
      </c>
      <c r="I10" s="79">
        <v>0.95833333333333337</v>
      </c>
      <c r="J10" s="78" t="s">
        <v>243</v>
      </c>
      <c r="K10" s="79">
        <v>0.85416666666666663</v>
      </c>
      <c r="L10" s="79">
        <v>0.9375</v>
      </c>
      <c r="M10" s="82">
        <v>0.47916666666666669</v>
      </c>
    </row>
    <row r="11" spans="1:13" ht="15.6" x14ac:dyDescent="0.3">
      <c r="A11" s="77">
        <v>10</v>
      </c>
      <c r="B11" s="78" t="s">
        <v>250</v>
      </c>
      <c r="C11" s="78" t="s">
        <v>243</v>
      </c>
      <c r="D11" s="78" t="s">
        <v>269</v>
      </c>
      <c r="E11" s="78">
        <v>18</v>
      </c>
      <c r="F11" s="78">
        <v>2</v>
      </c>
      <c r="G11" s="78">
        <v>11</v>
      </c>
      <c r="H11" s="79">
        <v>0.20833333333333334</v>
      </c>
      <c r="I11" s="79">
        <v>0.66666666666666663</v>
      </c>
      <c r="J11" s="78" t="s">
        <v>261</v>
      </c>
      <c r="K11" s="79">
        <v>0.5625</v>
      </c>
      <c r="L11" s="79">
        <v>0.64583333333333337</v>
      </c>
      <c r="M11" s="82">
        <v>0.39583333333333331</v>
      </c>
    </row>
    <row r="12" spans="1:13" ht="15.6" x14ac:dyDescent="0.3">
      <c r="A12" s="77">
        <v>11</v>
      </c>
      <c r="B12" s="78" t="s">
        <v>259</v>
      </c>
      <c r="C12" s="78" t="s">
        <v>243</v>
      </c>
      <c r="D12" s="78" t="s">
        <v>270</v>
      </c>
      <c r="E12" s="78">
        <v>18</v>
      </c>
      <c r="F12" s="78">
        <v>1</v>
      </c>
      <c r="G12" s="78">
        <v>6</v>
      </c>
      <c r="H12" s="79">
        <v>0.29166666666666669</v>
      </c>
      <c r="I12" s="79">
        <v>0.54166666666666663</v>
      </c>
      <c r="J12" s="78" t="s">
        <v>271</v>
      </c>
      <c r="K12" s="79">
        <v>0.375</v>
      </c>
      <c r="L12" s="79">
        <v>0.41666666666666669</v>
      </c>
    </row>
    <row r="13" spans="1:13" ht="15.6" x14ac:dyDescent="0.3">
      <c r="A13" s="77">
        <v>12</v>
      </c>
      <c r="B13" s="78" t="s">
        <v>265</v>
      </c>
      <c r="C13" s="78" t="s">
        <v>243</v>
      </c>
      <c r="D13" s="78" t="s">
        <v>272</v>
      </c>
      <c r="E13" s="78">
        <v>11</v>
      </c>
      <c r="F13" s="78">
        <v>3</v>
      </c>
      <c r="G13" s="78">
        <v>15</v>
      </c>
      <c r="H13" s="79">
        <v>0.27083333333333331</v>
      </c>
      <c r="I13" s="79">
        <v>0.89583333333333337</v>
      </c>
      <c r="J13" s="78" t="s">
        <v>273</v>
      </c>
      <c r="K13" s="79">
        <v>0.375</v>
      </c>
      <c r="L13" s="79">
        <v>0.4375</v>
      </c>
    </row>
    <row r="14" spans="1:13" ht="15.6" x14ac:dyDescent="0.3">
      <c r="A14" s="77">
        <v>13</v>
      </c>
      <c r="B14" s="78" t="s">
        <v>253</v>
      </c>
      <c r="C14" s="78" t="s">
        <v>261</v>
      </c>
      <c r="D14" s="78" t="s">
        <v>274</v>
      </c>
      <c r="E14" s="78">
        <v>10</v>
      </c>
      <c r="F14" s="78">
        <v>6</v>
      </c>
      <c r="G14" s="78">
        <v>46</v>
      </c>
      <c r="H14" s="79">
        <v>0.95833333333333337</v>
      </c>
      <c r="I14" s="79">
        <v>0.875</v>
      </c>
      <c r="J14" s="78" t="s">
        <v>255</v>
      </c>
      <c r="K14" s="79">
        <v>0.125</v>
      </c>
      <c r="L14" s="79">
        <v>0.20833333333333334</v>
      </c>
    </row>
    <row r="15" spans="1:13" ht="15.6" x14ac:dyDescent="0.3">
      <c r="A15" s="77">
        <v>14</v>
      </c>
      <c r="B15" s="78" t="s">
        <v>244</v>
      </c>
      <c r="C15" s="78" t="s">
        <v>243</v>
      </c>
      <c r="D15" s="78" t="s">
        <v>275</v>
      </c>
      <c r="E15" s="78">
        <v>10</v>
      </c>
      <c r="F15" s="78">
        <v>2</v>
      </c>
      <c r="G15" s="78">
        <v>10.3</v>
      </c>
      <c r="H15" s="79">
        <v>0.64583333333333337</v>
      </c>
      <c r="I15" s="79">
        <v>8.3333333333333329E-2</v>
      </c>
      <c r="J15" s="78" t="s">
        <v>246</v>
      </c>
      <c r="K15" s="79">
        <v>0.72916666666666663</v>
      </c>
      <c r="L15" s="79">
        <v>0.8125</v>
      </c>
    </row>
    <row r="16" spans="1:13" ht="15.6" x14ac:dyDescent="0.3">
      <c r="A16" s="77">
        <v>15</v>
      </c>
      <c r="B16" s="78" t="s">
        <v>262</v>
      </c>
      <c r="C16" s="78" t="s">
        <v>243</v>
      </c>
      <c r="D16" s="78" t="s">
        <v>276</v>
      </c>
      <c r="E16" s="78">
        <v>8</v>
      </c>
      <c r="F16" s="78">
        <v>2</v>
      </c>
      <c r="G16" s="78">
        <v>8</v>
      </c>
      <c r="H16" s="79">
        <v>0.70833333333333337</v>
      </c>
      <c r="I16" s="79">
        <v>4.1666666666666664E-2</v>
      </c>
      <c r="J16" s="78" t="s">
        <v>264</v>
      </c>
      <c r="K16" s="79">
        <v>0.77083333333333337</v>
      </c>
      <c r="L16" s="79">
        <v>0.8125</v>
      </c>
    </row>
    <row r="17" spans="1:15" ht="15.6" x14ac:dyDescent="0.3">
      <c r="A17" s="77">
        <v>16</v>
      </c>
      <c r="B17" s="78" t="s">
        <v>247</v>
      </c>
      <c r="C17" s="78" t="s">
        <v>243</v>
      </c>
      <c r="D17" s="78" t="s">
        <v>277</v>
      </c>
      <c r="E17" s="78">
        <v>10</v>
      </c>
      <c r="F17" s="78">
        <v>4</v>
      </c>
      <c r="G17" s="78">
        <v>26</v>
      </c>
      <c r="H17" s="79">
        <v>0.125</v>
      </c>
      <c r="I17" s="79">
        <v>0.20833333333333334</v>
      </c>
      <c r="J17" s="78" t="s">
        <v>261</v>
      </c>
      <c r="K17" s="79">
        <v>0.10416666666666667</v>
      </c>
      <c r="L17" s="79">
        <v>0.1875</v>
      </c>
      <c r="M17" s="82">
        <v>0.97916666666666663</v>
      </c>
    </row>
    <row r="18" spans="1:15" ht="15.6" x14ac:dyDescent="0.3">
      <c r="A18" s="77">
        <v>17</v>
      </c>
      <c r="B18" s="78" t="s">
        <v>256</v>
      </c>
      <c r="C18" s="78" t="s">
        <v>261</v>
      </c>
      <c r="D18" s="78" t="s">
        <v>278</v>
      </c>
      <c r="E18" s="78">
        <v>10</v>
      </c>
      <c r="F18" s="78">
        <v>2</v>
      </c>
      <c r="G18" s="78">
        <v>16</v>
      </c>
      <c r="H18" s="79">
        <v>0.16666666666666666</v>
      </c>
      <c r="I18" s="79">
        <v>0.83333333333333337</v>
      </c>
      <c r="J18" s="78" t="s">
        <v>243</v>
      </c>
      <c r="K18" s="79">
        <v>0.72916666666666663</v>
      </c>
      <c r="L18" s="79">
        <v>0.8125</v>
      </c>
      <c r="M18" s="82">
        <v>0.5625</v>
      </c>
    </row>
    <row r="19" spans="1:15" ht="15.6" x14ac:dyDescent="0.3">
      <c r="A19" s="77">
        <v>18</v>
      </c>
      <c r="B19" s="78" t="s">
        <v>256</v>
      </c>
      <c r="C19" s="78" t="s">
        <v>243</v>
      </c>
      <c r="D19" s="78" t="s">
        <v>279</v>
      </c>
      <c r="E19" s="78">
        <v>10</v>
      </c>
      <c r="F19" s="78">
        <v>3</v>
      </c>
      <c r="G19" s="78">
        <v>17</v>
      </c>
      <c r="H19" s="79">
        <v>0.41666666666666669</v>
      </c>
      <c r="I19" s="79">
        <v>0.125</v>
      </c>
      <c r="J19" s="78" t="s">
        <v>258</v>
      </c>
      <c r="K19" s="79">
        <v>0.54166666666666663</v>
      </c>
      <c r="L19" s="79">
        <v>0.625</v>
      </c>
    </row>
    <row r="20" spans="1:15" ht="15.6" x14ac:dyDescent="0.3">
      <c r="A20" s="77">
        <v>19</v>
      </c>
      <c r="B20" s="78" t="s">
        <v>280</v>
      </c>
      <c r="C20" s="78" t="s">
        <v>259</v>
      </c>
      <c r="D20" s="78" t="s">
        <v>281</v>
      </c>
      <c r="E20" s="78">
        <v>18</v>
      </c>
      <c r="F20" s="78">
        <v>2</v>
      </c>
      <c r="G20" s="78">
        <v>12</v>
      </c>
      <c r="H20" s="79">
        <v>0.16666666666666666</v>
      </c>
      <c r="I20" s="79">
        <v>0.66666666666666663</v>
      </c>
      <c r="J20" s="78" t="s">
        <v>282</v>
      </c>
      <c r="K20" s="79">
        <v>0.375</v>
      </c>
      <c r="L20" s="79">
        <v>0.45833333333333331</v>
      </c>
    </row>
    <row r="24" spans="1:15" x14ac:dyDescent="0.3">
      <c r="M24" s="80" t="s">
        <v>267</v>
      </c>
      <c r="N24" s="80" t="s">
        <v>261</v>
      </c>
      <c r="O24" s="82">
        <v>0.47916666666666669</v>
      </c>
    </row>
    <row r="25" spans="1:15" x14ac:dyDescent="0.3">
      <c r="M25" s="80" t="s">
        <v>250</v>
      </c>
      <c r="N25" s="80" t="s">
        <v>243</v>
      </c>
      <c r="O25" s="82">
        <v>0.39583333333333331</v>
      </c>
    </row>
    <row r="26" spans="1:15" x14ac:dyDescent="0.3">
      <c r="M26" s="80" t="s">
        <v>247</v>
      </c>
      <c r="N26" s="80" t="s">
        <v>243</v>
      </c>
      <c r="O26" s="82">
        <v>0.97916666666666663</v>
      </c>
    </row>
    <row r="27" spans="1:15" x14ac:dyDescent="0.3">
      <c r="M27" s="80" t="s">
        <v>256</v>
      </c>
      <c r="N27" s="80" t="s">
        <v>261</v>
      </c>
      <c r="O27" s="82">
        <v>0.5625</v>
      </c>
    </row>
    <row r="45" spans="13:13" x14ac:dyDescent="0.3">
      <c r="M45" s="80" t="s">
        <v>283</v>
      </c>
    </row>
  </sheetData>
  <autoFilter ref="A1:O20" xr:uid="{4EC3CAF3-D044-40AB-8FA4-52B427F8D591}"/>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L717"/>
  <sheetViews>
    <sheetView topLeftCell="A676" zoomScale="115" zoomScaleNormal="115" workbookViewId="0">
      <selection activeCell="D731" sqref="D731"/>
    </sheetView>
  </sheetViews>
  <sheetFormatPr defaultRowHeight="14.4" x14ac:dyDescent="0.3"/>
  <cols>
    <col min="2" max="2" width="11.5546875" customWidth="1"/>
    <col min="3" max="3" width="15.6640625" customWidth="1"/>
    <col min="4" max="4" width="31.88671875" customWidth="1"/>
    <col min="5" max="5" width="15.88671875" bestFit="1" customWidth="1"/>
    <col min="6" max="6" width="16.33203125" bestFit="1" customWidth="1"/>
    <col min="7" max="7" width="18.5546875" customWidth="1"/>
    <col min="8" max="8" width="18.6640625" customWidth="1"/>
    <col min="9" max="9" width="18.109375" customWidth="1"/>
    <col min="10" max="10" width="14.5546875" customWidth="1"/>
    <col min="11" max="11" width="15.109375" customWidth="1"/>
    <col min="12" max="12" width="16.88671875" customWidth="1"/>
  </cols>
  <sheetData>
    <row r="1" spans="1:5" ht="29.4" thickBot="1" x14ac:dyDescent="0.35">
      <c r="A1" s="251" t="s">
        <v>92</v>
      </c>
      <c r="B1" s="252"/>
      <c r="C1" s="253"/>
      <c r="D1" s="254">
        <v>46114</v>
      </c>
      <c r="E1" s="255"/>
    </row>
    <row r="2" spans="1:5" ht="18.600000000000001" thickBot="1" x14ac:dyDescent="0.35">
      <c r="A2" s="2" t="s">
        <v>59</v>
      </c>
      <c r="B2" s="2" t="s">
        <v>60</v>
      </c>
      <c r="C2" s="2" t="s">
        <v>61</v>
      </c>
      <c r="D2" s="2" t="s">
        <v>62</v>
      </c>
      <c r="E2" s="2" t="s">
        <v>10</v>
      </c>
    </row>
    <row r="3" spans="1:5" ht="18.600000000000001" thickBot="1" x14ac:dyDescent="0.35">
      <c r="A3" s="7">
        <f>B3+C3+D3</f>
        <v>44</v>
      </c>
      <c r="B3" s="5">
        <v>20</v>
      </c>
      <c r="C3" s="5">
        <v>18</v>
      </c>
      <c r="D3" s="5">
        <v>6</v>
      </c>
      <c r="E3" s="5"/>
    </row>
    <row r="4" spans="1:5" ht="15" thickBot="1" x14ac:dyDescent="0.35">
      <c r="A4" s="1"/>
      <c r="B4" s="1"/>
      <c r="C4" s="1"/>
      <c r="D4" s="1"/>
      <c r="E4" s="1"/>
    </row>
    <row r="5" spans="1:5" ht="29.4" thickBot="1" x14ac:dyDescent="0.35">
      <c r="A5" s="251" t="s">
        <v>72</v>
      </c>
      <c r="B5" s="252"/>
      <c r="C5" s="253"/>
      <c r="D5" s="14">
        <v>46114</v>
      </c>
      <c r="E5" s="13"/>
    </row>
    <row r="6" spans="1:5" ht="18.600000000000001" thickBot="1" x14ac:dyDescent="0.35">
      <c r="A6" s="2" t="s">
        <v>63</v>
      </c>
      <c r="B6" s="2" t="s">
        <v>64</v>
      </c>
      <c r="C6" s="2" t="s">
        <v>65</v>
      </c>
      <c r="D6" s="2" t="s">
        <v>66</v>
      </c>
      <c r="E6" s="1"/>
    </row>
    <row r="7" spans="1:5" ht="18.600000000000001" thickBot="1" x14ac:dyDescent="0.35">
      <c r="A7" s="3">
        <f>B7+C7+D7</f>
        <v>44</v>
      </c>
      <c r="B7" s="4">
        <f>A3-C7</f>
        <v>25</v>
      </c>
      <c r="C7" s="4">
        <v>19</v>
      </c>
      <c r="D7" s="5">
        <v>0</v>
      </c>
      <c r="E7" s="1"/>
    </row>
    <row r="8" spans="1:5" ht="18.600000000000001" hidden="1" thickBot="1" x14ac:dyDescent="0.35">
      <c r="A8" s="15"/>
      <c r="B8" s="15"/>
      <c r="C8" s="15"/>
      <c r="D8" s="15"/>
      <c r="E8" s="1"/>
    </row>
    <row r="9" spans="1:5" ht="29.4" hidden="1" thickBot="1" x14ac:dyDescent="0.35">
      <c r="A9" s="258" t="s">
        <v>101</v>
      </c>
      <c r="B9" s="259"/>
      <c r="C9" s="15"/>
      <c r="D9" s="15"/>
      <c r="E9" s="1"/>
    </row>
    <row r="10" spans="1:5" ht="18.600000000000001" hidden="1" thickBot="1" x14ac:dyDescent="0.35">
      <c r="A10" s="2" t="s">
        <v>67</v>
      </c>
      <c r="B10" s="2" t="s">
        <v>10</v>
      </c>
      <c r="C10" s="15"/>
      <c r="D10" s="15"/>
      <c r="E10" s="1"/>
    </row>
    <row r="11" spans="1:5" ht="18.600000000000001" hidden="1" thickBot="1" x14ac:dyDescent="0.35">
      <c r="A11" s="22">
        <v>1135</v>
      </c>
      <c r="B11" s="21" t="s">
        <v>106</v>
      </c>
      <c r="C11" s="15"/>
      <c r="D11" s="15"/>
      <c r="E11" s="1"/>
    </row>
    <row r="12" spans="1:5" ht="18.600000000000001" hidden="1" thickBot="1" x14ac:dyDescent="0.35">
      <c r="A12" s="22">
        <v>6254</v>
      </c>
      <c r="B12" s="21" t="s">
        <v>107</v>
      </c>
      <c r="C12" s="15"/>
      <c r="D12" s="15"/>
      <c r="E12" s="1"/>
    </row>
    <row r="13" spans="1:5" ht="18.600000000000001" hidden="1" thickBot="1" x14ac:dyDescent="0.35">
      <c r="A13" s="22">
        <v>3986</v>
      </c>
      <c r="B13" s="21" t="s">
        <v>108</v>
      </c>
      <c r="C13" s="15"/>
      <c r="D13" s="15"/>
      <c r="E13" s="1"/>
    </row>
    <row r="14" spans="1:5" ht="18.600000000000001" thickBot="1" x14ac:dyDescent="0.35">
      <c r="A14" s="19"/>
      <c r="B14" s="20"/>
      <c r="C14" s="15"/>
      <c r="D14" s="15"/>
      <c r="E14" s="1"/>
    </row>
    <row r="15" spans="1:5" ht="29.4" thickBot="1" x14ac:dyDescent="0.35">
      <c r="A15" s="258" t="s">
        <v>110</v>
      </c>
      <c r="B15" s="259"/>
      <c r="C15" s="15"/>
      <c r="D15" s="15"/>
      <c r="E15" s="1"/>
    </row>
    <row r="16" spans="1:5" ht="18.600000000000001" thickBot="1" x14ac:dyDescent="0.35">
      <c r="A16" s="2" t="s">
        <v>1</v>
      </c>
      <c r="B16" s="2" t="s">
        <v>67</v>
      </c>
      <c r="D16" s="15"/>
      <c r="E16" s="1"/>
    </row>
    <row r="17" spans="1:6" ht="27" thickBot="1" x14ac:dyDescent="0.35">
      <c r="A17" s="16">
        <v>7811717</v>
      </c>
      <c r="B17" s="16" t="s">
        <v>48</v>
      </c>
      <c r="C17" s="15"/>
      <c r="D17" s="15"/>
      <c r="E17" s="1"/>
    </row>
    <row r="18" spans="1:6" ht="18.600000000000001" thickBot="1" x14ac:dyDescent="0.35">
      <c r="A18" s="19"/>
      <c r="B18" s="20"/>
      <c r="C18" s="15"/>
      <c r="D18" s="15"/>
      <c r="E18" s="1"/>
    </row>
    <row r="19" spans="1:6" ht="29.4" thickBot="1" x14ac:dyDescent="0.35">
      <c r="A19" s="251" t="s">
        <v>111</v>
      </c>
      <c r="B19" s="252"/>
      <c r="C19" s="252"/>
      <c r="D19" s="252"/>
      <c r="E19" s="252"/>
      <c r="F19" s="253"/>
    </row>
    <row r="20" spans="1:6" ht="87.6" thickBot="1" x14ac:dyDescent="0.35">
      <c r="A20" s="2" t="s">
        <v>67</v>
      </c>
      <c r="B20" s="8" t="s">
        <v>68</v>
      </c>
      <c r="C20" s="9" t="s">
        <v>3</v>
      </c>
      <c r="D20" s="9" t="s">
        <v>4</v>
      </c>
      <c r="E20" s="9" t="s">
        <v>5</v>
      </c>
      <c r="F20" s="9" t="s">
        <v>69</v>
      </c>
    </row>
    <row r="21" spans="1:6" ht="15" thickBot="1" x14ac:dyDescent="0.35">
      <c r="A21" s="10" t="s">
        <v>87</v>
      </c>
      <c r="B21" s="11">
        <v>0.125</v>
      </c>
      <c r="C21" s="10" t="s">
        <v>13</v>
      </c>
      <c r="D21" s="10" t="s">
        <v>85</v>
      </c>
      <c r="E21" s="11">
        <v>0.13958333333333334</v>
      </c>
      <c r="F21" s="12">
        <f>E22-B21</f>
        <v>0.10833333333333331</v>
      </c>
    </row>
    <row r="22" spans="1:6" ht="15" thickBot="1" x14ac:dyDescent="0.35">
      <c r="A22" s="10" t="s">
        <v>109</v>
      </c>
      <c r="B22" s="11">
        <v>0.125</v>
      </c>
      <c r="C22" s="10" t="s">
        <v>24</v>
      </c>
      <c r="D22" s="10" t="s">
        <v>13</v>
      </c>
      <c r="E22" s="11">
        <v>0.23333333333333331</v>
      </c>
      <c r="F22" s="12">
        <f>E22-B22</f>
        <v>0.10833333333333331</v>
      </c>
    </row>
    <row r="23" spans="1:6" ht="15" thickBot="1" x14ac:dyDescent="0.35">
      <c r="A23" s="10" t="s">
        <v>83</v>
      </c>
      <c r="B23" s="11">
        <v>0.16666666666666666</v>
      </c>
      <c r="C23" s="10" t="s">
        <v>13</v>
      </c>
      <c r="D23" s="10" t="s">
        <v>14</v>
      </c>
      <c r="E23" s="11">
        <v>0.23472222222222219</v>
      </c>
      <c r="F23" s="12">
        <f>E23-B23</f>
        <v>6.8055555555555536E-2</v>
      </c>
    </row>
    <row r="24" spans="1:6" ht="15" thickBot="1" x14ac:dyDescent="0.35">
      <c r="A24" s="10" t="s">
        <v>44</v>
      </c>
      <c r="B24" s="11">
        <v>0.16666666666666666</v>
      </c>
      <c r="C24" s="10" t="s">
        <v>31</v>
      </c>
      <c r="D24" s="10" t="s">
        <v>13</v>
      </c>
      <c r="E24" s="11">
        <v>0.51458333333333328</v>
      </c>
      <c r="F24" s="12">
        <f>E24-B24</f>
        <v>0.34791666666666665</v>
      </c>
    </row>
    <row r="25" spans="1:6" ht="15" thickBot="1" x14ac:dyDescent="0.35">
      <c r="A25" s="10" t="s">
        <v>25</v>
      </c>
      <c r="B25" s="11">
        <v>0.20833333333333334</v>
      </c>
      <c r="C25" s="10" t="s">
        <v>26</v>
      </c>
      <c r="D25" s="10" t="s">
        <v>13</v>
      </c>
      <c r="E25" s="11">
        <v>0.25763888888888892</v>
      </c>
      <c r="F25" s="12">
        <f>E26-B25</f>
        <v>5.9027777777777762E-2</v>
      </c>
    </row>
    <row r="26" spans="1:6" ht="15" thickBot="1" x14ac:dyDescent="0.35">
      <c r="A26" s="10" t="s">
        <v>12</v>
      </c>
      <c r="B26" s="11">
        <v>0.25</v>
      </c>
      <c r="C26" s="10" t="s">
        <v>14</v>
      </c>
      <c r="D26" s="10" t="s">
        <v>13</v>
      </c>
      <c r="E26" s="11">
        <v>0.2673611111111111</v>
      </c>
      <c r="F26" s="12">
        <f t="shared" ref="F26:F39" si="0">E26-B26</f>
        <v>1.7361111111111105E-2</v>
      </c>
    </row>
    <row r="27" spans="1:6" ht="15" thickBot="1" x14ac:dyDescent="0.35">
      <c r="A27" s="10" t="s">
        <v>89</v>
      </c>
      <c r="B27" s="11">
        <v>0.25</v>
      </c>
      <c r="C27" s="10" t="s">
        <v>13</v>
      </c>
      <c r="D27" s="10" t="s">
        <v>35</v>
      </c>
      <c r="E27" s="11">
        <v>0.26597222222222222</v>
      </c>
      <c r="F27" s="12">
        <f t="shared" si="0"/>
        <v>1.5972222222222221E-2</v>
      </c>
    </row>
    <row r="28" spans="1:6" ht="15" thickBot="1" x14ac:dyDescent="0.35">
      <c r="A28" s="10" t="s">
        <v>58</v>
      </c>
      <c r="B28" s="11">
        <v>0.27083333333333331</v>
      </c>
      <c r="C28" s="10" t="s">
        <v>13</v>
      </c>
      <c r="D28" s="10" t="s">
        <v>14</v>
      </c>
      <c r="E28" s="11">
        <v>46114.348611111112</v>
      </c>
      <c r="F28" s="12">
        <f t="shared" si="0"/>
        <v>46114.077777777777</v>
      </c>
    </row>
    <row r="29" spans="1:6" ht="15" thickBot="1" x14ac:dyDescent="0.35">
      <c r="A29" s="10" t="s">
        <v>37</v>
      </c>
      <c r="B29" s="11">
        <v>0.27083333333333331</v>
      </c>
      <c r="C29" s="10" t="s">
        <v>14</v>
      </c>
      <c r="D29" s="10" t="s">
        <v>13</v>
      </c>
      <c r="E29" s="11">
        <v>46114.376388888886</v>
      </c>
      <c r="F29" s="12">
        <f t="shared" si="0"/>
        <v>46114.10555555555</v>
      </c>
    </row>
    <row r="30" spans="1:6" ht="15" thickBot="1" x14ac:dyDescent="0.35">
      <c r="A30" s="10" t="s">
        <v>38</v>
      </c>
      <c r="B30" s="11">
        <v>0.27083333333333331</v>
      </c>
      <c r="C30" s="10" t="s">
        <v>14</v>
      </c>
      <c r="D30" s="10" t="s">
        <v>13</v>
      </c>
      <c r="E30" s="11">
        <v>0.29097222222222224</v>
      </c>
      <c r="F30" s="12">
        <f t="shared" si="0"/>
        <v>2.0138888888888928E-2</v>
      </c>
    </row>
    <row r="31" spans="1:6" ht="15" thickBot="1" x14ac:dyDescent="0.35">
      <c r="A31" s="10" t="s">
        <v>56</v>
      </c>
      <c r="B31" s="11">
        <v>0.29166666666666669</v>
      </c>
      <c r="C31" s="10" t="s">
        <v>15</v>
      </c>
      <c r="D31" s="10" t="s">
        <v>13</v>
      </c>
      <c r="E31" s="11">
        <v>0.44930555555555557</v>
      </c>
      <c r="F31" s="12">
        <f t="shared" si="0"/>
        <v>0.15763888888888888</v>
      </c>
    </row>
    <row r="32" spans="1:6" ht="15" thickBot="1" x14ac:dyDescent="0.35">
      <c r="A32" s="10" t="s">
        <v>30</v>
      </c>
      <c r="B32" s="11">
        <v>0.375</v>
      </c>
      <c r="C32" s="10" t="s">
        <v>13</v>
      </c>
      <c r="D32" s="10" t="s">
        <v>31</v>
      </c>
      <c r="E32" s="11">
        <v>46114.806250000001</v>
      </c>
      <c r="F32" s="12">
        <f t="shared" si="0"/>
        <v>46114.431250000001</v>
      </c>
    </row>
    <row r="33" spans="1:6" ht="15" thickBot="1" x14ac:dyDescent="0.35">
      <c r="A33" s="10" t="s">
        <v>48</v>
      </c>
      <c r="B33" s="11">
        <v>0.375</v>
      </c>
      <c r="C33" s="10" t="s">
        <v>49</v>
      </c>
      <c r="D33" s="10" t="s">
        <v>13</v>
      </c>
      <c r="E33" s="11">
        <v>0.3840277777777778</v>
      </c>
      <c r="F33" s="12">
        <f t="shared" si="0"/>
        <v>9.0277777777778012E-3</v>
      </c>
    </row>
    <row r="34" spans="1:6" ht="15" thickBot="1" x14ac:dyDescent="0.35">
      <c r="A34" s="10" t="s">
        <v>51</v>
      </c>
      <c r="B34" s="11">
        <v>0.41666666666666669</v>
      </c>
      <c r="C34" s="10" t="s">
        <v>13</v>
      </c>
      <c r="D34" s="10" t="s">
        <v>49</v>
      </c>
      <c r="E34" s="11">
        <v>46114.861805555556</v>
      </c>
      <c r="F34" s="12">
        <f t="shared" si="0"/>
        <v>46114.445138888892</v>
      </c>
    </row>
    <row r="35" spans="1:6" ht="15" thickBot="1" x14ac:dyDescent="0.35">
      <c r="A35" s="10" t="s">
        <v>41</v>
      </c>
      <c r="B35" s="11">
        <v>0.45833333333333331</v>
      </c>
      <c r="C35" s="10" t="s">
        <v>13</v>
      </c>
      <c r="D35" s="10" t="s">
        <v>24</v>
      </c>
      <c r="E35" s="11">
        <v>0.70416666666666661</v>
      </c>
      <c r="F35" s="12">
        <f t="shared" si="0"/>
        <v>0.24583333333333329</v>
      </c>
    </row>
    <row r="36" spans="1:6" ht="15" thickBot="1" x14ac:dyDescent="0.35">
      <c r="A36" s="10" t="s">
        <v>20</v>
      </c>
      <c r="B36" s="11">
        <v>0.5</v>
      </c>
      <c r="C36" s="10" t="s">
        <v>13</v>
      </c>
      <c r="D36" s="10" t="s">
        <v>21</v>
      </c>
      <c r="E36" s="11">
        <v>0.50972222222222219</v>
      </c>
      <c r="F36" s="12">
        <f t="shared" si="0"/>
        <v>9.7222222222221877E-3</v>
      </c>
    </row>
    <row r="37" spans="1:6" ht="15" thickBot="1" x14ac:dyDescent="0.35">
      <c r="A37" s="10" t="s">
        <v>57</v>
      </c>
      <c r="B37" s="11">
        <v>0.70833333333333337</v>
      </c>
      <c r="C37" s="10" t="s">
        <v>13</v>
      </c>
      <c r="D37" s="10" t="s">
        <v>24</v>
      </c>
      <c r="E37" s="11">
        <v>0.85833333333333339</v>
      </c>
      <c r="F37" s="12">
        <f t="shared" si="0"/>
        <v>0.15000000000000002</v>
      </c>
    </row>
    <row r="38" spans="1:6" ht="15" thickBot="1" x14ac:dyDescent="0.35">
      <c r="A38" s="10" t="s">
        <v>87</v>
      </c>
      <c r="B38" s="11">
        <v>0.70833333333333337</v>
      </c>
      <c r="C38" s="10" t="s">
        <v>85</v>
      </c>
      <c r="D38" s="10" t="s">
        <v>13</v>
      </c>
      <c r="E38" s="11">
        <v>0.75277777777777777</v>
      </c>
      <c r="F38" s="12">
        <f t="shared" si="0"/>
        <v>4.4444444444444398E-2</v>
      </c>
    </row>
    <row r="39" spans="1:6" ht="15" thickBot="1" x14ac:dyDescent="0.35">
      <c r="A39" s="10" t="s">
        <v>27</v>
      </c>
      <c r="B39" s="11">
        <v>0.70833333333333337</v>
      </c>
      <c r="C39" s="10" t="s">
        <v>28</v>
      </c>
      <c r="D39" s="10" t="s">
        <v>13</v>
      </c>
      <c r="E39" s="11">
        <v>0.72361111111111109</v>
      </c>
      <c r="F39" s="12">
        <f t="shared" si="0"/>
        <v>1.5277777777777724E-2</v>
      </c>
    </row>
    <row r="40" spans="1:6" ht="15" thickBot="1" x14ac:dyDescent="0.35"/>
    <row r="41" spans="1:6" ht="16.2" thickBot="1" x14ac:dyDescent="0.35">
      <c r="E41" s="6" t="s">
        <v>70</v>
      </c>
      <c r="F41" s="6" t="s">
        <v>71</v>
      </c>
    </row>
    <row r="42" spans="1:6" ht="15" thickBot="1" x14ac:dyDescent="0.35"/>
    <row r="43" spans="1:6" ht="29.4" thickBot="1" x14ac:dyDescent="0.35">
      <c r="A43" s="251" t="s">
        <v>92</v>
      </c>
      <c r="B43" s="252"/>
      <c r="C43" s="253"/>
      <c r="D43" s="254">
        <v>46115</v>
      </c>
      <c r="E43" s="255"/>
    </row>
    <row r="44" spans="1:6" ht="18.600000000000001" thickBot="1" x14ac:dyDescent="0.35">
      <c r="A44" s="2" t="s">
        <v>59</v>
      </c>
      <c r="B44" s="2" t="s">
        <v>60</v>
      </c>
      <c r="C44" s="2" t="s">
        <v>61</v>
      </c>
      <c r="D44" s="2" t="s">
        <v>62</v>
      </c>
      <c r="E44" s="2" t="s">
        <v>10</v>
      </c>
    </row>
    <row r="45" spans="1:6" ht="18.600000000000001" thickBot="1" x14ac:dyDescent="0.35">
      <c r="A45" s="7">
        <f>B45+C45+D45</f>
        <v>46</v>
      </c>
      <c r="B45" s="5">
        <v>23</v>
      </c>
      <c r="C45" s="5">
        <v>17</v>
      </c>
      <c r="D45" s="5">
        <v>6</v>
      </c>
      <c r="E45" s="5"/>
    </row>
    <row r="46" spans="1:6" ht="15" thickBot="1" x14ac:dyDescent="0.35">
      <c r="A46" s="1"/>
      <c r="B46" s="1"/>
      <c r="C46" s="1"/>
      <c r="D46" s="1"/>
      <c r="E46" s="1"/>
    </row>
    <row r="47" spans="1:6" ht="29.4" thickBot="1" x14ac:dyDescent="0.35">
      <c r="A47" s="251" t="s">
        <v>72</v>
      </c>
      <c r="B47" s="252"/>
      <c r="C47" s="253"/>
      <c r="D47" s="14">
        <v>46115</v>
      </c>
      <c r="E47" s="13"/>
    </row>
    <row r="48" spans="1:6" ht="18.600000000000001" thickBot="1" x14ac:dyDescent="0.35">
      <c r="A48" s="2" t="s">
        <v>63</v>
      </c>
      <c r="B48" s="2" t="s">
        <v>64</v>
      </c>
      <c r="C48" s="2" t="s">
        <v>65</v>
      </c>
      <c r="D48" s="2" t="s">
        <v>66</v>
      </c>
      <c r="E48" s="1"/>
    </row>
    <row r="49" spans="1:5" ht="18.600000000000001" thickBot="1" x14ac:dyDescent="0.35">
      <c r="A49" s="3">
        <f>B49+C49+D49</f>
        <v>50</v>
      </c>
      <c r="B49" s="4">
        <f>A45-C49</f>
        <v>27</v>
      </c>
      <c r="C49" s="4">
        <v>19</v>
      </c>
      <c r="D49" s="5">
        <v>4</v>
      </c>
      <c r="E49" s="1"/>
    </row>
    <row r="50" spans="1:5" ht="18.600000000000001" thickBot="1" x14ac:dyDescent="0.35">
      <c r="A50" s="15"/>
      <c r="B50" s="15"/>
      <c r="C50" s="15"/>
      <c r="D50" s="15"/>
      <c r="E50" s="1"/>
    </row>
    <row r="51" spans="1:5" ht="29.4" thickBot="1" x14ac:dyDescent="0.35">
      <c r="A51" s="258" t="s">
        <v>101</v>
      </c>
      <c r="B51" s="259"/>
      <c r="C51" s="15"/>
      <c r="D51" s="15"/>
      <c r="E51" s="1"/>
    </row>
    <row r="52" spans="1:5" ht="18.600000000000001" thickBot="1" x14ac:dyDescent="0.35">
      <c r="A52" s="2" t="s">
        <v>67</v>
      </c>
      <c r="B52" s="2" t="s">
        <v>10</v>
      </c>
      <c r="C52" s="15"/>
      <c r="D52" s="15"/>
      <c r="E52" s="1"/>
    </row>
    <row r="53" spans="1:5" ht="18.600000000000001" thickBot="1" x14ac:dyDescent="0.35">
      <c r="A53" s="22">
        <v>4160</v>
      </c>
      <c r="B53" s="21" t="s">
        <v>119</v>
      </c>
      <c r="C53" s="15"/>
      <c r="D53" s="15"/>
      <c r="E53" s="1"/>
    </row>
    <row r="54" spans="1:5" ht="18.600000000000001" thickBot="1" x14ac:dyDescent="0.35">
      <c r="A54" s="22">
        <v>4232</v>
      </c>
      <c r="B54" s="21" t="s">
        <v>118</v>
      </c>
      <c r="C54" s="15"/>
      <c r="D54" s="15"/>
      <c r="E54" s="1"/>
    </row>
    <row r="55" spans="1:5" ht="18.600000000000001" thickBot="1" x14ac:dyDescent="0.35">
      <c r="A55" s="22" t="s">
        <v>115</v>
      </c>
      <c r="B55" s="21" t="s">
        <v>117</v>
      </c>
      <c r="C55" s="15"/>
      <c r="D55" s="15"/>
      <c r="E55" s="1"/>
    </row>
    <row r="56" spans="1:5" ht="18.600000000000001" thickBot="1" x14ac:dyDescent="0.35">
      <c r="A56" s="22">
        <v>4415</v>
      </c>
      <c r="B56" s="21" t="s">
        <v>116</v>
      </c>
      <c r="C56" s="15"/>
      <c r="D56" s="15"/>
      <c r="E56" s="1"/>
    </row>
    <row r="57" spans="1:5" ht="18.600000000000001" thickBot="1" x14ac:dyDescent="0.35">
      <c r="A57" s="19"/>
      <c r="B57" s="20"/>
      <c r="C57" s="15"/>
      <c r="D57" s="15"/>
      <c r="E57" s="1"/>
    </row>
    <row r="58" spans="1:5" ht="29.4" thickBot="1" x14ac:dyDescent="0.35">
      <c r="A58" s="258" t="s">
        <v>113</v>
      </c>
      <c r="B58" s="259"/>
      <c r="C58" s="15"/>
      <c r="D58" s="15"/>
      <c r="E58" s="1"/>
    </row>
    <row r="59" spans="1:5" ht="18.600000000000001" thickBot="1" x14ac:dyDescent="0.35">
      <c r="A59" s="2" t="s">
        <v>1</v>
      </c>
      <c r="B59" s="2" t="s">
        <v>67</v>
      </c>
      <c r="D59" s="15"/>
      <c r="E59" s="1"/>
    </row>
    <row r="60" spans="1:5" ht="18.600000000000001" thickBot="1" x14ac:dyDescent="0.35">
      <c r="A60" s="2">
        <v>7813933</v>
      </c>
      <c r="B60" s="2" t="s">
        <v>82</v>
      </c>
      <c r="D60" s="15"/>
      <c r="E60" s="1"/>
    </row>
    <row r="61" spans="1:5" ht="18.600000000000001" thickBot="1" x14ac:dyDescent="0.35">
      <c r="A61" s="2">
        <v>7814265</v>
      </c>
      <c r="B61" s="2" t="s">
        <v>39</v>
      </c>
      <c r="D61" s="15"/>
      <c r="E61" s="1"/>
    </row>
    <row r="62" spans="1:5" ht="18.600000000000001" thickBot="1" x14ac:dyDescent="0.35">
      <c r="A62" s="2">
        <v>7815751</v>
      </c>
      <c r="B62" s="2" t="s">
        <v>51</v>
      </c>
      <c r="D62" s="15"/>
      <c r="E62" s="1"/>
    </row>
    <row r="63" spans="1:5" ht="18.600000000000001" thickBot="1" x14ac:dyDescent="0.35">
      <c r="A63" s="2">
        <v>7815128</v>
      </c>
      <c r="B63" s="2" t="s">
        <v>105</v>
      </c>
      <c r="D63" s="15"/>
      <c r="E63" s="1"/>
    </row>
    <row r="64" spans="1:5" ht="18.600000000000001" thickBot="1" x14ac:dyDescent="0.35">
      <c r="A64" s="2">
        <v>7815981</v>
      </c>
      <c r="B64" s="2" t="s">
        <v>100</v>
      </c>
      <c r="D64" s="15"/>
      <c r="E64" s="1"/>
    </row>
    <row r="65" spans="1:6" ht="18.600000000000001" thickBot="1" x14ac:dyDescent="0.35">
      <c r="A65" s="19"/>
      <c r="B65" s="20"/>
      <c r="C65" s="15"/>
      <c r="D65" s="15"/>
      <c r="E65" s="1"/>
    </row>
    <row r="66" spans="1:6" ht="29.4" thickBot="1" x14ac:dyDescent="0.35">
      <c r="A66" s="251" t="s">
        <v>114</v>
      </c>
      <c r="B66" s="252"/>
      <c r="C66" s="252"/>
      <c r="D66" s="252"/>
      <c r="E66" s="252"/>
      <c r="F66" s="253"/>
    </row>
    <row r="67" spans="1:6" ht="87.6" thickBot="1" x14ac:dyDescent="0.35">
      <c r="A67" s="2" t="s">
        <v>67</v>
      </c>
      <c r="B67" s="8" t="s">
        <v>68</v>
      </c>
      <c r="C67" s="9" t="s">
        <v>5</v>
      </c>
      <c r="D67" s="9" t="s">
        <v>69</v>
      </c>
      <c r="E67" s="9" t="s">
        <v>3</v>
      </c>
      <c r="F67" s="9" t="s">
        <v>4</v>
      </c>
    </row>
    <row r="68" spans="1:6" ht="15" thickBot="1" x14ac:dyDescent="0.35">
      <c r="A68" s="10" t="s">
        <v>94</v>
      </c>
      <c r="B68" s="11">
        <v>0.125</v>
      </c>
      <c r="C68" s="11">
        <v>46115.143750000003</v>
      </c>
      <c r="D68" s="12">
        <f>C69-B68</f>
        <v>3.6805555555555564E-2</v>
      </c>
      <c r="E68" s="10" t="s">
        <v>23</v>
      </c>
      <c r="F68" s="10" t="s">
        <v>13</v>
      </c>
    </row>
    <row r="69" spans="1:6" ht="15" thickBot="1" x14ac:dyDescent="0.35">
      <c r="A69" s="10" t="s">
        <v>57</v>
      </c>
      <c r="B69" s="11">
        <v>0.125</v>
      </c>
      <c r="C69" s="11">
        <v>0.16180555555555556</v>
      </c>
      <c r="D69" s="12">
        <f>C69-B69</f>
        <v>3.6805555555555564E-2</v>
      </c>
      <c r="E69" s="10" t="s">
        <v>24</v>
      </c>
      <c r="F69" s="10" t="s">
        <v>13</v>
      </c>
    </row>
    <row r="70" spans="1:6" ht="15" thickBot="1" x14ac:dyDescent="0.35">
      <c r="A70" s="10" t="s">
        <v>37</v>
      </c>
      <c r="B70" s="11">
        <v>0.16666666666666666</v>
      </c>
      <c r="C70" s="11">
        <v>0.35833333333333334</v>
      </c>
      <c r="D70" s="12">
        <f>C70-B70</f>
        <v>0.19166666666666668</v>
      </c>
      <c r="E70" s="10" t="s">
        <v>13</v>
      </c>
      <c r="F70" s="10" t="s">
        <v>14</v>
      </c>
    </row>
    <row r="71" spans="1:6" ht="15" thickBot="1" x14ac:dyDescent="0.35">
      <c r="A71" s="10" t="s">
        <v>27</v>
      </c>
      <c r="B71" s="11">
        <v>0.16666666666666666</v>
      </c>
      <c r="C71" s="11">
        <v>0.1763888888888889</v>
      </c>
      <c r="D71" s="12">
        <f>C71-B71</f>
        <v>9.7222222222222432E-3</v>
      </c>
      <c r="E71" s="10" t="s">
        <v>13</v>
      </c>
      <c r="F71" s="10" t="s">
        <v>28</v>
      </c>
    </row>
    <row r="72" spans="1:6" ht="15" thickBot="1" x14ac:dyDescent="0.35">
      <c r="A72" s="10" t="s">
        <v>86</v>
      </c>
      <c r="B72" s="11">
        <v>0.16666666666666666</v>
      </c>
      <c r="C72" s="11">
        <v>0.18194444444444444</v>
      </c>
      <c r="D72" s="12">
        <f>C73-B72</f>
        <v>9.097222222222226E-2</v>
      </c>
      <c r="E72" s="10" t="s">
        <v>31</v>
      </c>
      <c r="F72" s="10" t="s">
        <v>13</v>
      </c>
    </row>
    <row r="73" spans="1:6" ht="15" thickBot="1" x14ac:dyDescent="0.35">
      <c r="A73" s="10" t="s">
        <v>58</v>
      </c>
      <c r="B73" s="11">
        <v>0.25</v>
      </c>
      <c r="C73" s="11">
        <v>0.25763888888888892</v>
      </c>
      <c r="D73" s="12">
        <f t="shared" ref="D73:D86" si="1">C73-B73</f>
        <v>7.6388888888889173E-3</v>
      </c>
      <c r="E73" s="10" t="s">
        <v>14</v>
      </c>
      <c r="F73" s="10" t="s">
        <v>13</v>
      </c>
    </row>
    <row r="74" spans="1:6" ht="15" thickBot="1" x14ac:dyDescent="0.35">
      <c r="A74" s="10" t="s">
        <v>89</v>
      </c>
      <c r="B74" s="11">
        <v>0.25</v>
      </c>
      <c r="C74" s="11">
        <v>0.27361111111111108</v>
      </c>
      <c r="D74" s="12">
        <f t="shared" si="1"/>
        <v>2.3611111111111083E-2</v>
      </c>
      <c r="E74" s="10" t="s">
        <v>13</v>
      </c>
      <c r="F74" s="10" t="s">
        <v>35</v>
      </c>
    </row>
    <row r="75" spans="1:6" ht="15" thickBot="1" x14ac:dyDescent="0.35">
      <c r="A75" s="10" t="s">
        <v>89</v>
      </c>
      <c r="B75" s="11">
        <v>0.25</v>
      </c>
      <c r="C75" s="11">
        <v>0.65138888888888891</v>
      </c>
      <c r="D75" s="12">
        <f t="shared" si="1"/>
        <v>0.40138888888888891</v>
      </c>
      <c r="E75" s="10" t="s">
        <v>13</v>
      </c>
      <c r="F75" s="10" t="s">
        <v>35</v>
      </c>
    </row>
    <row r="76" spans="1:6" ht="15" thickBot="1" x14ac:dyDescent="0.35">
      <c r="A76" s="10" t="s">
        <v>38</v>
      </c>
      <c r="B76" s="11">
        <v>0.27083333333333331</v>
      </c>
      <c r="C76" s="11">
        <v>0.34513888888888888</v>
      </c>
      <c r="D76" s="12">
        <f t="shared" si="1"/>
        <v>7.4305555555555569E-2</v>
      </c>
      <c r="E76" s="10" t="s">
        <v>13</v>
      </c>
      <c r="F76" s="10" t="s">
        <v>14</v>
      </c>
    </row>
    <row r="77" spans="1:6" ht="15" thickBot="1" x14ac:dyDescent="0.35">
      <c r="A77" s="10" t="s">
        <v>51</v>
      </c>
      <c r="B77" s="11">
        <v>0.375</v>
      </c>
      <c r="C77" s="11">
        <v>0.8256944444444444</v>
      </c>
      <c r="D77" s="12">
        <f t="shared" si="1"/>
        <v>0.4506944444444444</v>
      </c>
      <c r="E77" s="10" t="s">
        <v>49</v>
      </c>
      <c r="F77" s="10" t="s">
        <v>13</v>
      </c>
    </row>
    <row r="78" spans="1:6" ht="15" thickBot="1" x14ac:dyDescent="0.35">
      <c r="A78" s="10" t="s">
        <v>48</v>
      </c>
      <c r="B78" s="11">
        <v>0.41666666666666669</v>
      </c>
      <c r="C78" s="11">
        <v>0.47500000000000003</v>
      </c>
      <c r="D78" s="12">
        <f t="shared" si="1"/>
        <v>5.8333333333333348E-2</v>
      </c>
      <c r="E78" s="10" t="s">
        <v>13</v>
      </c>
      <c r="F78" s="10" t="s">
        <v>49</v>
      </c>
    </row>
    <row r="79" spans="1:6" ht="15" thickBot="1" x14ac:dyDescent="0.35">
      <c r="A79" s="10" t="s">
        <v>30</v>
      </c>
      <c r="B79" s="11">
        <v>0.41666666666666669</v>
      </c>
      <c r="C79" s="11">
        <v>0.85138888888888886</v>
      </c>
      <c r="D79" s="12">
        <f t="shared" si="1"/>
        <v>0.43472222222222218</v>
      </c>
      <c r="E79" s="10" t="s">
        <v>31</v>
      </c>
      <c r="F79" s="10" t="s">
        <v>13</v>
      </c>
    </row>
    <row r="80" spans="1:6" ht="15" thickBot="1" x14ac:dyDescent="0.35">
      <c r="A80" s="10" t="s">
        <v>20</v>
      </c>
      <c r="B80" s="11">
        <v>0.5</v>
      </c>
      <c r="C80" s="11">
        <v>0.51874999999999993</v>
      </c>
      <c r="D80" s="12">
        <f t="shared" si="1"/>
        <v>1.8749999999999933E-2</v>
      </c>
      <c r="E80" s="10" t="s">
        <v>13</v>
      </c>
      <c r="F80" s="10" t="s">
        <v>21</v>
      </c>
    </row>
    <row r="81" spans="1:6" ht="15" thickBot="1" x14ac:dyDescent="0.35">
      <c r="A81" s="10" t="s">
        <v>109</v>
      </c>
      <c r="B81" s="11">
        <v>0.70833333333333337</v>
      </c>
      <c r="C81" s="11">
        <v>0.84722222222222221</v>
      </c>
      <c r="D81" s="12">
        <f t="shared" si="1"/>
        <v>0.13888888888888884</v>
      </c>
      <c r="E81" s="10" t="s">
        <v>13</v>
      </c>
      <c r="F81" s="10" t="s">
        <v>24</v>
      </c>
    </row>
    <row r="82" spans="1:6" ht="15" thickBot="1" x14ac:dyDescent="0.35">
      <c r="A82" s="10" t="s">
        <v>84</v>
      </c>
      <c r="B82" s="11">
        <v>0.70833333333333337</v>
      </c>
      <c r="C82" s="11">
        <v>46115.714583333334</v>
      </c>
      <c r="D82" s="12">
        <f t="shared" si="1"/>
        <v>46115.006249999999</v>
      </c>
      <c r="E82" s="10" t="s">
        <v>85</v>
      </c>
      <c r="F82" s="10" t="s">
        <v>13</v>
      </c>
    </row>
    <row r="83" spans="1:6" ht="15" thickBot="1" x14ac:dyDescent="0.35">
      <c r="A83" s="10" t="s">
        <v>27</v>
      </c>
      <c r="B83" s="11">
        <v>0.70833333333333337</v>
      </c>
      <c r="C83" s="11">
        <v>0.72083333333333333</v>
      </c>
      <c r="D83" s="12">
        <f t="shared" si="1"/>
        <v>1.2499999999999956E-2</v>
      </c>
      <c r="E83" s="10" t="s">
        <v>28</v>
      </c>
      <c r="F83" s="10" t="s">
        <v>13</v>
      </c>
    </row>
    <row r="84" spans="1:6" ht="15" thickBot="1" x14ac:dyDescent="0.35">
      <c r="A84" s="10" t="s">
        <v>32</v>
      </c>
      <c r="B84" s="11">
        <v>0.77083333333333337</v>
      </c>
      <c r="C84" s="11">
        <v>0.78888888888888886</v>
      </c>
      <c r="D84" s="12">
        <f t="shared" si="1"/>
        <v>1.8055555555555491E-2</v>
      </c>
      <c r="E84" s="10" t="s">
        <v>33</v>
      </c>
      <c r="F84" s="10" t="s">
        <v>13</v>
      </c>
    </row>
    <row r="85" spans="1:6" ht="15" thickBot="1" x14ac:dyDescent="0.35">
      <c r="A85" s="10" t="s">
        <v>20</v>
      </c>
      <c r="B85" s="11">
        <v>0.95833333333333337</v>
      </c>
      <c r="C85" s="11">
        <v>46115.970138888886</v>
      </c>
      <c r="D85" s="12">
        <f t="shared" si="1"/>
        <v>46115.01180555555</v>
      </c>
      <c r="E85" s="10" t="s">
        <v>91</v>
      </c>
      <c r="F85" s="10" t="s">
        <v>13</v>
      </c>
    </row>
    <row r="86" spans="1:6" ht="15" thickBot="1" x14ac:dyDescent="0.35">
      <c r="A86" s="10" t="s">
        <v>112</v>
      </c>
      <c r="B86" s="11">
        <v>0.875</v>
      </c>
      <c r="C86" s="11">
        <v>0.89166666666666661</v>
      </c>
      <c r="D86" s="12">
        <f t="shared" si="1"/>
        <v>1.6666666666666607E-2</v>
      </c>
      <c r="E86" s="10" t="s">
        <v>13</v>
      </c>
      <c r="F86" s="10" t="s">
        <v>15</v>
      </c>
    </row>
    <row r="87" spans="1:6" ht="15" thickBot="1" x14ac:dyDescent="0.35"/>
    <row r="88" spans="1:6" ht="16.2" thickBot="1" x14ac:dyDescent="0.35">
      <c r="E88" s="6" t="s">
        <v>70</v>
      </c>
      <c r="F88" s="6" t="s">
        <v>71</v>
      </c>
    </row>
    <row r="90" spans="1:6" ht="15" thickBot="1" x14ac:dyDescent="0.35"/>
    <row r="91" spans="1:6" ht="29.4" thickBot="1" x14ac:dyDescent="0.35">
      <c r="A91" s="251" t="s">
        <v>92</v>
      </c>
      <c r="B91" s="252"/>
      <c r="C91" s="253"/>
      <c r="D91" s="254" t="s">
        <v>122</v>
      </c>
      <c r="E91" s="255"/>
    </row>
    <row r="92" spans="1:6" ht="18.600000000000001" thickBot="1" x14ac:dyDescent="0.35">
      <c r="A92" s="2" t="s">
        <v>59</v>
      </c>
      <c r="B92" s="2" t="s">
        <v>60</v>
      </c>
      <c r="C92" s="2" t="s">
        <v>61</v>
      </c>
      <c r="D92" s="2" t="s">
        <v>62</v>
      </c>
      <c r="E92" s="2" t="s">
        <v>10</v>
      </c>
    </row>
    <row r="93" spans="1:6" ht="18.600000000000001" thickBot="1" x14ac:dyDescent="0.35">
      <c r="A93" s="7">
        <f>B93+C93+D93</f>
        <v>89</v>
      </c>
      <c r="B93" s="5">
        <v>51</v>
      </c>
      <c r="C93" s="5">
        <v>31</v>
      </c>
      <c r="D93" s="5">
        <v>7</v>
      </c>
      <c r="E93" s="5"/>
    </row>
    <row r="94" spans="1:6" ht="15" thickBot="1" x14ac:dyDescent="0.35">
      <c r="A94" s="1"/>
      <c r="B94" s="1"/>
      <c r="C94" s="1"/>
      <c r="D94" s="1"/>
      <c r="E94" s="1"/>
    </row>
    <row r="95" spans="1:6" ht="29.4" thickBot="1" x14ac:dyDescent="0.35">
      <c r="A95" s="251" t="s">
        <v>72</v>
      </c>
      <c r="B95" s="252"/>
      <c r="C95" s="253"/>
      <c r="D95" s="14" t="s">
        <v>122</v>
      </c>
      <c r="E95" s="13"/>
    </row>
    <row r="96" spans="1:6" ht="18.600000000000001" thickBot="1" x14ac:dyDescent="0.35">
      <c r="A96" s="2" t="s">
        <v>63</v>
      </c>
      <c r="B96" s="2" t="s">
        <v>64</v>
      </c>
      <c r="C96" s="2" t="s">
        <v>65</v>
      </c>
      <c r="D96" s="2" t="s">
        <v>66</v>
      </c>
      <c r="E96" s="1"/>
    </row>
    <row r="97" spans="1:6" ht="18.600000000000001" thickBot="1" x14ac:dyDescent="0.35">
      <c r="A97" s="3">
        <f>B97+C97+D97</f>
        <v>89</v>
      </c>
      <c r="B97" s="4">
        <f>A93-C97</f>
        <v>63</v>
      </c>
      <c r="C97" s="4">
        <v>26</v>
      </c>
      <c r="D97" s="5">
        <v>0</v>
      </c>
      <c r="E97" s="1"/>
    </row>
    <row r="98" spans="1:6" ht="18.600000000000001" thickBot="1" x14ac:dyDescent="0.35">
      <c r="A98" s="15"/>
      <c r="B98" s="15"/>
      <c r="C98" s="15"/>
      <c r="D98" s="15"/>
      <c r="E98" s="1"/>
    </row>
    <row r="99" spans="1:6" ht="29.25" customHeight="1" thickBot="1" x14ac:dyDescent="0.35">
      <c r="A99" s="258" t="s">
        <v>123</v>
      </c>
      <c r="B99" s="259"/>
      <c r="C99" s="15"/>
      <c r="D99" s="15"/>
      <c r="E99" s="1"/>
    </row>
    <row r="100" spans="1:6" ht="18.600000000000001" thickBot="1" x14ac:dyDescent="0.35">
      <c r="A100" s="2" t="s">
        <v>1</v>
      </c>
      <c r="B100" s="2" t="s">
        <v>67</v>
      </c>
      <c r="D100" s="15"/>
      <c r="E100" s="1"/>
    </row>
    <row r="101" spans="1:6" ht="18.600000000000001" thickBot="1" x14ac:dyDescent="0.35">
      <c r="A101" s="21">
        <v>7817357</v>
      </c>
      <c r="B101" s="21" t="s">
        <v>48</v>
      </c>
      <c r="D101" s="15"/>
      <c r="E101" s="1"/>
    </row>
    <row r="102" spans="1:6" ht="18.600000000000001" thickBot="1" x14ac:dyDescent="0.35">
      <c r="A102" s="21">
        <v>7819548</v>
      </c>
      <c r="B102" s="21" t="s">
        <v>25</v>
      </c>
      <c r="D102" s="15"/>
      <c r="E102" s="1"/>
    </row>
    <row r="103" spans="1:6" ht="18.600000000000001" thickBot="1" x14ac:dyDescent="0.35">
      <c r="A103" s="21">
        <v>7821480</v>
      </c>
      <c r="B103" s="21" t="s">
        <v>51</v>
      </c>
      <c r="D103" s="15"/>
      <c r="E103" s="1"/>
    </row>
    <row r="104" spans="1:6" ht="18.600000000000001" thickBot="1" x14ac:dyDescent="0.35">
      <c r="A104" s="19"/>
      <c r="B104" s="20"/>
      <c r="C104" s="15"/>
      <c r="D104" s="15"/>
      <c r="E104" s="1"/>
    </row>
    <row r="105" spans="1:6" ht="29.4" thickBot="1" x14ac:dyDescent="0.35">
      <c r="A105" s="251" t="s">
        <v>124</v>
      </c>
      <c r="B105" s="252"/>
      <c r="C105" s="252"/>
      <c r="D105" s="252"/>
      <c r="E105" s="252"/>
      <c r="F105" s="253"/>
    </row>
    <row r="106" spans="1:6" ht="87.6" thickBot="1" x14ac:dyDescent="0.35">
      <c r="A106" s="2" t="s">
        <v>67</v>
      </c>
      <c r="B106" s="8" t="s">
        <v>68</v>
      </c>
      <c r="C106" s="9" t="s">
        <v>5</v>
      </c>
      <c r="D106" s="9" t="s">
        <v>69</v>
      </c>
      <c r="E106" s="9" t="s">
        <v>3</v>
      </c>
      <c r="F106" s="9" t="s">
        <v>4</v>
      </c>
    </row>
    <row r="107" spans="1:6" ht="15" thickBot="1" x14ac:dyDescent="0.35">
      <c r="A107" s="10" t="s">
        <v>87</v>
      </c>
      <c r="B107" s="11">
        <v>0.125</v>
      </c>
      <c r="C107" s="11">
        <v>0.16458333333333333</v>
      </c>
      <c r="D107" s="12">
        <f>C108-B107</f>
        <v>0.1</v>
      </c>
      <c r="E107" s="10" t="s">
        <v>13</v>
      </c>
      <c r="F107" s="10" t="s">
        <v>85</v>
      </c>
    </row>
    <row r="108" spans="1:6" ht="15" thickBot="1" x14ac:dyDescent="0.35">
      <c r="A108" s="10" t="s">
        <v>32</v>
      </c>
      <c r="B108" s="11">
        <v>0.1875</v>
      </c>
      <c r="C108" s="11">
        <v>0.22500000000000001</v>
      </c>
      <c r="D108" s="12">
        <f>C108-B108</f>
        <v>3.7500000000000006E-2</v>
      </c>
      <c r="E108" s="10" t="s">
        <v>13</v>
      </c>
      <c r="F108" s="10" t="s">
        <v>33</v>
      </c>
    </row>
    <row r="109" spans="1:6" ht="15" thickBot="1" x14ac:dyDescent="0.35">
      <c r="A109" s="10" t="s">
        <v>120</v>
      </c>
      <c r="B109" s="11">
        <v>0.25</v>
      </c>
      <c r="C109" s="11">
        <v>0.2673611111111111</v>
      </c>
      <c r="D109" s="12">
        <f>C109-B109</f>
        <v>1.7361111111111105E-2</v>
      </c>
      <c r="E109" s="10" t="s">
        <v>14</v>
      </c>
      <c r="F109" s="10" t="s">
        <v>13</v>
      </c>
    </row>
    <row r="110" spans="1:6" ht="15" thickBot="1" x14ac:dyDescent="0.35">
      <c r="A110" s="10" t="s">
        <v>89</v>
      </c>
      <c r="B110" s="11">
        <v>0.25</v>
      </c>
      <c r="C110" s="11">
        <v>0.27569444444444446</v>
      </c>
      <c r="D110" s="12">
        <f>C110-B110</f>
        <v>2.5694444444444464E-2</v>
      </c>
      <c r="E110" s="10" t="s">
        <v>13</v>
      </c>
      <c r="F110" s="10" t="s">
        <v>35</v>
      </c>
    </row>
    <row r="111" spans="1:6" ht="15" thickBot="1" x14ac:dyDescent="0.35">
      <c r="A111" s="10" t="s">
        <v>42</v>
      </c>
      <c r="B111" s="11">
        <v>0.3125</v>
      </c>
      <c r="C111" s="11">
        <v>0.70833333333333337</v>
      </c>
      <c r="D111" s="12">
        <f>C112-B111</f>
        <v>6.8750000000000033E-2</v>
      </c>
      <c r="E111" s="10" t="s">
        <v>13</v>
      </c>
      <c r="F111" s="10" t="s">
        <v>55</v>
      </c>
    </row>
    <row r="112" spans="1:6" ht="15" thickBot="1" x14ac:dyDescent="0.35">
      <c r="A112" s="10" t="s">
        <v>86</v>
      </c>
      <c r="B112" s="11">
        <v>0.375</v>
      </c>
      <c r="C112" s="11">
        <v>0.38125000000000003</v>
      </c>
      <c r="D112" s="12">
        <f t="shared" ref="D112:D132" si="2">C112-B112</f>
        <v>6.2500000000000333E-3</v>
      </c>
      <c r="E112" s="10" t="s">
        <v>13</v>
      </c>
      <c r="F112" s="10" t="s">
        <v>31</v>
      </c>
    </row>
    <row r="113" spans="1:6" ht="15" thickBot="1" x14ac:dyDescent="0.35">
      <c r="A113" s="10" t="s">
        <v>104</v>
      </c>
      <c r="B113" s="11">
        <v>0.375</v>
      </c>
      <c r="C113" s="11">
        <v>46116.381944444445</v>
      </c>
      <c r="D113" s="12">
        <f t="shared" si="2"/>
        <v>46116.006944444445</v>
      </c>
      <c r="E113" s="10" t="s">
        <v>13</v>
      </c>
      <c r="F113" s="10" t="s">
        <v>47</v>
      </c>
    </row>
    <row r="114" spans="1:6" ht="15" thickBot="1" x14ac:dyDescent="0.35">
      <c r="A114" s="10" t="s">
        <v>48</v>
      </c>
      <c r="B114" s="11">
        <v>0.375</v>
      </c>
      <c r="C114" s="11">
        <v>0.38611111111111113</v>
      </c>
      <c r="D114" s="12">
        <f t="shared" si="2"/>
        <v>1.1111111111111127E-2</v>
      </c>
      <c r="E114" s="10" t="s">
        <v>49</v>
      </c>
      <c r="F114" s="10" t="s">
        <v>13</v>
      </c>
    </row>
    <row r="115" spans="1:6" ht="15" thickBot="1" x14ac:dyDescent="0.35">
      <c r="A115" s="10" t="s">
        <v>51</v>
      </c>
      <c r="B115" s="11">
        <v>0.41666666666666669</v>
      </c>
      <c r="C115" s="11">
        <v>46116.837500000001</v>
      </c>
      <c r="D115" s="12">
        <f t="shared" si="2"/>
        <v>46116.420833333337</v>
      </c>
      <c r="E115" s="10" t="s">
        <v>13</v>
      </c>
      <c r="F115" s="10" t="s">
        <v>49</v>
      </c>
    </row>
    <row r="116" spans="1:6" ht="15" thickBot="1" x14ac:dyDescent="0.35">
      <c r="A116" s="10" t="s">
        <v>52</v>
      </c>
      <c r="B116" s="11">
        <v>0.4375</v>
      </c>
      <c r="C116" s="11">
        <v>0.45069444444444445</v>
      </c>
      <c r="D116" s="12">
        <f t="shared" si="2"/>
        <v>1.3194444444444453E-2</v>
      </c>
      <c r="E116" s="10" t="s">
        <v>15</v>
      </c>
      <c r="F116" s="10" t="s">
        <v>13</v>
      </c>
    </row>
    <row r="117" spans="1:6" ht="15" thickBot="1" x14ac:dyDescent="0.35">
      <c r="A117" s="10" t="s">
        <v>40</v>
      </c>
      <c r="B117" s="11">
        <v>0.41666666666666669</v>
      </c>
      <c r="C117" s="11">
        <v>0.57361111111111118</v>
      </c>
      <c r="D117" s="12">
        <f t="shared" si="2"/>
        <v>0.1569444444444445</v>
      </c>
      <c r="E117" s="10" t="s">
        <v>31</v>
      </c>
      <c r="F117" s="10" t="s">
        <v>13</v>
      </c>
    </row>
    <row r="118" spans="1:6" ht="15" thickBot="1" x14ac:dyDescent="0.35">
      <c r="A118" s="10" t="s">
        <v>41</v>
      </c>
      <c r="B118" s="11">
        <v>0.45833333333333331</v>
      </c>
      <c r="C118" s="11">
        <v>0.48819444444444443</v>
      </c>
      <c r="D118" s="12">
        <f t="shared" si="2"/>
        <v>2.9861111111111116E-2</v>
      </c>
      <c r="E118" s="10" t="s">
        <v>13</v>
      </c>
      <c r="F118" s="10" t="s">
        <v>24</v>
      </c>
    </row>
    <row r="119" spans="1:6" ht="15" thickBot="1" x14ac:dyDescent="0.35">
      <c r="A119" s="10" t="s">
        <v>20</v>
      </c>
      <c r="B119" s="11">
        <v>0.5</v>
      </c>
      <c r="C119" s="11">
        <v>0.61944444444444446</v>
      </c>
      <c r="D119" s="12">
        <f t="shared" si="2"/>
        <v>0.11944444444444446</v>
      </c>
      <c r="E119" s="10" t="s">
        <v>13</v>
      </c>
      <c r="F119" s="10" t="s">
        <v>21</v>
      </c>
    </row>
    <row r="120" spans="1:6" ht="15" thickBot="1" x14ac:dyDescent="0.35">
      <c r="A120" s="10" t="s">
        <v>87</v>
      </c>
      <c r="B120" s="11">
        <v>0.70833333333333337</v>
      </c>
      <c r="C120" s="11">
        <v>46116.762499999997</v>
      </c>
      <c r="D120" s="12">
        <f t="shared" si="2"/>
        <v>46116.054166666661</v>
      </c>
      <c r="E120" s="10" t="s">
        <v>85</v>
      </c>
      <c r="F120" s="10" t="s">
        <v>13</v>
      </c>
    </row>
    <row r="121" spans="1:6" ht="15" thickBot="1" x14ac:dyDescent="0.35">
      <c r="A121" s="10" t="s">
        <v>27</v>
      </c>
      <c r="B121" s="11">
        <v>0.70833333333333337</v>
      </c>
      <c r="C121" s="11">
        <v>0.73472222222222217</v>
      </c>
      <c r="D121" s="12">
        <f t="shared" si="2"/>
        <v>2.6388888888888795E-2</v>
      </c>
      <c r="E121" s="10" t="s">
        <v>28</v>
      </c>
      <c r="F121" s="10" t="s">
        <v>13</v>
      </c>
    </row>
    <row r="122" spans="1:6" ht="15" thickBot="1" x14ac:dyDescent="0.35">
      <c r="A122" s="10" t="s">
        <v>97</v>
      </c>
      <c r="B122" s="11">
        <v>0.70833333333333337</v>
      </c>
      <c r="C122" s="11">
        <v>46116.718055555553</v>
      </c>
      <c r="D122" s="12">
        <f t="shared" si="2"/>
        <v>46116.009722222218</v>
      </c>
      <c r="E122" s="10" t="s">
        <v>13</v>
      </c>
      <c r="F122" s="10" t="s">
        <v>23</v>
      </c>
    </row>
    <row r="123" spans="1:6" ht="15" thickBot="1" x14ac:dyDescent="0.35">
      <c r="A123" s="10" t="s">
        <v>37</v>
      </c>
      <c r="B123" s="11">
        <v>0.16666666666666666</v>
      </c>
      <c r="C123" s="11">
        <v>0.3125</v>
      </c>
      <c r="D123" s="12">
        <f t="shared" si="2"/>
        <v>0.14583333333333334</v>
      </c>
      <c r="E123" s="10" t="s">
        <v>13</v>
      </c>
      <c r="F123" s="10" t="s">
        <v>14</v>
      </c>
    </row>
    <row r="124" spans="1:6" ht="15" thickBot="1" x14ac:dyDescent="0.35">
      <c r="A124" s="10" t="s">
        <v>54</v>
      </c>
      <c r="B124" s="11">
        <v>0.16666666666666666</v>
      </c>
      <c r="C124" s="11">
        <v>0.17569444444444446</v>
      </c>
      <c r="D124" s="12">
        <f t="shared" si="2"/>
        <v>9.0277777777778012E-3</v>
      </c>
      <c r="E124" s="10" t="s">
        <v>13</v>
      </c>
      <c r="F124" s="10" t="s">
        <v>24</v>
      </c>
    </row>
    <row r="125" spans="1:6" ht="15" thickBot="1" x14ac:dyDescent="0.35">
      <c r="A125" s="10" t="s">
        <v>36</v>
      </c>
      <c r="B125" s="11">
        <v>0.27083333333333331</v>
      </c>
      <c r="C125" s="11">
        <v>0.29722222222222222</v>
      </c>
      <c r="D125" s="12">
        <f t="shared" si="2"/>
        <v>2.6388888888888906E-2</v>
      </c>
      <c r="E125" s="10" t="s">
        <v>13</v>
      </c>
      <c r="F125" s="10" t="s">
        <v>14</v>
      </c>
    </row>
    <row r="126" spans="1:6" ht="15" thickBot="1" x14ac:dyDescent="0.35">
      <c r="A126" s="10" t="s">
        <v>22</v>
      </c>
      <c r="B126" s="11">
        <v>0.29166666666666669</v>
      </c>
      <c r="C126" s="11">
        <v>46117.63958333333</v>
      </c>
      <c r="D126" s="12">
        <f t="shared" si="2"/>
        <v>46117.347916666666</v>
      </c>
      <c r="E126" s="10" t="s">
        <v>13</v>
      </c>
      <c r="F126" s="10" t="s">
        <v>121</v>
      </c>
    </row>
    <row r="127" spans="1:6" ht="15" thickBot="1" x14ac:dyDescent="0.35">
      <c r="A127" s="10" t="s">
        <v>56</v>
      </c>
      <c r="B127" s="11">
        <v>0.29166666666666669</v>
      </c>
      <c r="C127" s="11">
        <v>0.30555555555555552</v>
      </c>
      <c r="D127" s="12">
        <f t="shared" si="2"/>
        <v>1.388888888888884E-2</v>
      </c>
      <c r="E127" s="10" t="s">
        <v>15</v>
      </c>
      <c r="F127" s="10" t="s">
        <v>13</v>
      </c>
    </row>
    <row r="128" spans="1:6" ht="15" thickBot="1" x14ac:dyDescent="0.35">
      <c r="A128" s="10" t="s">
        <v>51</v>
      </c>
      <c r="B128" s="11">
        <v>0.375</v>
      </c>
      <c r="C128" s="11">
        <v>46117.873611111114</v>
      </c>
      <c r="D128" s="12">
        <f t="shared" si="2"/>
        <v>46117.498611111114</v>
      </c>
      <c r="E128" s="10" t="s">
        <v>49</v>
      </c>
      <c r="F128" s="10" t="s">
        <v>13</v>
      </c>
    </row>
    <row r="129" spans="1:6" ht="15" thickBot="1" x14ac:dyDescent="0.35">
      <c r="A129" s="10" t="s">
        <v>52</v>
      </c>
      <c r="B129" s="11">
        <v>0.4375</v>
      </c>
      <c r="C129" s="11">
        <v>0.58819444444444446</v>
      </c>
      <c r="D129" s="12">
        <f t="shared" si="2"/>
        <v>0.15069444444444446</v>
      </c>
      <c r="E129" s="10" t="s">
        <v>15</v>
      </c>
      <c r="F129" s="10" t="s">
        <v>13</v>
      </c>
    </row>
    <row r="130" spans="1:6" ht="15" thickBot="1" x14ac:dyDescent="0.35">
      <c r="A130" s="10" t="s">
        <v>54</v>
      </c>
      <c r="B130" s="11">
        <v>0.70833333333333337</v>
      </c>
      <c r="C130" s="11">
        <v>0.79583333333333339</v>
      </c>
      <c r="D130" s="12">
        <f t="shared" si="2"/>
        <v>8.7500000000000022E-2</v>
      </c>
      <c r="E130" s="10" t="s">
        <v>13</v>
      </c>
      <c r="F130" s="10" t="s">
        <v>24</v>
      </c>
    </row>
    <row r="131" spans="1:6" ht="15" thickBot="1" x14ac:dyDescent="0.35">
      <c r="A131" s="10" t="s">
        <v>102</v>
      </c>
      <c r="B131" s="11">
        <v>0.70833333333333337</v>
      </c>
      <c r="C131" s="11">
        <v>0.72013888888888899</v>
      </c>
      <c r="D131" s="12">
        <f t="shared" si="2"/>
        <v>1.1805555555555625E-2</v>
      </c>
      <c r="E131" s="10" t="s">
        <v>13</v>
      </c>
      <c r="F131" s="10" t="s">
        <v>23</v>
      </c>
    </row>
    <row r="132" spans="1:6" ht="15" thickBot="1" x14ac:dyDescent="0.35">
      <c r="A132" s="10" t="s">
        <v>56</v>
      </c>
      <c r="B132" s="11">
        <v>0.875</v>
      </c>
      <c r="C132" s="11">
        <v>46117.884027777778</v>
      </c>
      <c r="D132" s="12">
        <f t="shared" si="2"/>
        <v>46117.009027777778</v>
      </c>
      <c r="E132" s="10" t="s">
        <v>13</v>
      </c>
      <c r="F132" s="10" t="s">
        <v>15</v>
      </c>
    </row>
    <row r="133" spans="1:6" ht="15" thickBot="1" x14ac:dyDescent="0.35"/>
    <row r="134" spans="1:6" ht="16.2" thickBot="1" x14ac:dyDescent="0.35">
      <c r="E134" s="6" t="s">
        <v>70</v>
      </c>
      <c r="F134" s="6" t="s">
        <v>71</v>
      </c>
    </row>
    <row r="136" spans="1:6" ht="15" thickBot="1" x14ac:dyDescent="0.35"/>
    <row r="137" spans="1:6" ht="29.4" thickBot="1" x14ac:dyDescent="0.35">
      <c r="A137" s="251" t="s">
        <v>92</v>
      </c>
      <c r="B137" s="252"/>
      <c r="C137" s="253"/>
      <c r="D137" s="254">
        <v>46118</v>
      </c>
      <c r="E137" s="255"/>
    </row>
    <row r="138" spans="1:6" ht="18.600000000000001" thickBot="1" x14ac:dyDescent="0.35">
      <c r="A138" s="2" t="s">
        <v>59</v>
      </c>
      <c r="B138" s="2" t="s">
        <v>60</v>
      </c>
      <c r="C138" s="2" t="s">
        <v>61</v>
      </c>
      <c r="D138" s="2" t="s">
        <v>62</v>
      </c>
      <c r="E138" s="2" t="s">
        <v>10</v>
      </c>
    </row>
    <row r="139" spans="1:6" ht="18.600000000000001" thickBot="1" x14ac:dyDescent="0.35">
      <c r="A139" s="7">
        <f>B139+C139+D139</f>
        <v>43</v>
      </c>
      <c r="B139" s="5">
        <v>26</v>
      </c>
      <c r="C139" s="5">
        <v>11</v>
      </c>
      <c r="D139" s="5">
        <v>6</v>
      </c>
      <c r="E139" s="5"/>
    </row>
    <row r="140" spans="1:6" ht="15" thickBot="1" x14ac:dyDescent="0.35">
      <c r="A140" s="1"/>
      <c r="B140" s="1"/>
      <c r="C140" s="1"/>
      <c r="D140" s="1"/>
      <c r="E140" s="1"/>
    </row>
    <row r="141" spans="1:6" ht="29.4" thickBot="1" x14ac:dyDescent="0.35">
      <c r="A141" s="251" t="s">
        <v>72</v>
      </c>
      <c r="B141" s="252"/>
      <c r="C141" s="253"/>
      <c r="D141" s="14">
        <v>46118</v>
      </c>
      <c r="E141" s="13"/>
    </row>
    <row r="142" spans="1:6" ht="18.600000000000001" thickBot="1" x14ac:dyDescent="0.35">
      <c r="A142" s="2" t="s">
        <v>63</v>
      </c>
      <c r="B142" s="2" t="s">
        <v>64</v>
      </c>
      <c r="C142" s="2" t="s">
        <v>65</v>
      </c>
      <c r="D142" s="2" t="s">
        <v>66</v>
      </c>
      <c r="E142" s="1"/>
    </row>
    <row r="143" spans="1:6" ht="18.600000000000001" thickBot="1" x14ac:dyDescent="0.35">
      <c r="A143" s="3">
        <f>B143+C143+D143</f>
        <v>43</v>
      </c>
      <c r="B143" s="4">
        <f>A139-C143</f>
        <v>17</v>
      </c>
      <c r="C143" s="4">
        <v>26</v>
      </c>
      <c r="D143" s="5">
        <v>0</v>
      </c>
      <c r="E143" s="1"/>
    </row>
    <row r="144" spans="1:6" ht="18.600000000000001" thickBot="1" x14ac:dyDescent="0.35">
      <c r="A144" s="15"/>
      <c r="B144" s="15"/>
      <c r="C144" s="15"/>
      <c r="D144" s="15"/>
      <c r="E144" s="1"/>
    </row>
    <row r="145" spans="1:6" ht="29.4" thickBot="1" x14ac:dyDescent="0.35">
      <c r="A145" s="258" t="s">
        <v>127</v>
      </c>
      <c r="B145" s="259"/>
      <c r="C145" s="15"/>
      <c r="D145" s="15"/>
      <c r="E145" s="1"/>
    </row>
    <row r="146" spans="1:6" ht="18.600000000000001" thickBot="1" x14ac:dyDescent="0.35">
      <c r="A146" s="2" t="s">
        <v>1</v>
      </c>
      <c r="B146" s="2" t="s">
        <v>67</v>
      </c>
      <c r="D146" s="15"/>
      <c r="E146" s="1"/>
    </row>
    <row r="147" spans="1:6" ht="18.600000000000001" thickBot="1" x14ac:dyDescent="0.35">
      <c r="A147" s="21">
        <v>7822062</v>
      </c>
      <c r="B147" s="21" t="s">
        <v>30</v>
      </c>
      <c r="D147" s="15"/>
      <c r="E147" s="1"/>
    </row>
    <row r="148" spans="1:6" ht="18.600000000000001" thickBot="1" x14ac:dyDescent="0.35">
      <c r="A148" s="21">
        <v>7822221</v>
      </c>
      <c r="B148" s="21" t="s">
        <v>82</v>
      </c>
      <c r="D148" s="15"/>
      <c r="E148" s="1"/>
    </row>
    <row r="149" spans="1:6" ht="18.600000000000001" thickBot="1" x14ac:dyDescent="0.35">
      <c r="A149" s="21">
        <v>7822682</v>
      </c>
      <c r="B149" s="21" t="s">
        <v>48</v>
      </c>
      <c r="D149" s="15"/>
      <c r="E149" s="1"/>
    </row>
    <row r="150" spans="1:6" ht="18.600000000000001" thickBot="1" x14ac:dyDescent="0.35">
      <c r="A150" s="21">
        <v>7822148</v>
      </c>
      <c r="B150" s="21" t="s">
        <v>90</v>
      </c>
      <c r="D150" s="15"/>
      <c r="E150" s="1"/>
    </row>
    <row r="151" spans="1:6" ht="18.600000000000001" thickBot="1" x14ac:dyDescent="0.35">
      <c r="A151" s="19"/>
      <c r="B151" s="20"/>
      <c r="C151" s="15"/>
      <c r="D151" s="15"/>
      <c r="E151" s="1"/>
    </row>
    <row r="152" spans="1:6" ht="29.4" thickBot="1" x14ac:dyDescent="0.35">
      <c r="A152" s="251" t="s">
        <v>128</v>
      </c>
      <c r="B152" s="252"/>
      <c r="C152" s="252"/>
      <c r="D152" s="252"/>
      <c r="E152" s="252"/>
      <c r="F152" s="253"/>
    </row>
    <row r="153" spans="1:6" ht="87.6" thickBot="1" x14ac:dyDescent="0.35">
      <c r="A153" s="2" t="s">
        <v>67</v>
      </c>
      <c r="B153" s="8" t="s">
        <v>68</v>
      </c>
      <c r="C153" s="9" t="s">
        <v>5</v>
      </c>
      <c r="D153" s="9" t="s">
        <v>69</v>
      </c>
      <c r="E153" s="9" t="s">
        <v>3</v>
      </c>
      <c r="F153" s="9" t="s">
        <v>4</v>
      </c>
    </row>
    <row r="154" spans="1:6" ht="15" thickBot="1" x14ac:dyDescent="0.35">
      <c r="A154" s="10" t="s">
        <v>87</v>
      </c>
      <c r="B154" s="11">
        <v>0.125</v>
      </c>
      <c r="C154" s="11">
        <v>0.16458333333333333</v>
      </c>
      <c r="D154" s="12">
        <f>C155-B154</f>
        <v>0.1</v>
      </c>
      <c r="E154" s="10" t="s">
        <v>13</v>
      </c>
      <c r="F154" s="10" t="s">
        <v>85</v>
      </c>
    </row>
    <row r="155" spans="1:6" ht="15" thickBot="1" x14ac:dyDescent="0.35">
      <c r="A155" s="10" t="s">
        <v>32</v>
      </c>
      <c r="B155" s="11">
        <v>0.1875</v>
      </c>
      <c r="C155" s="11">
        <v>0.22500000000000001</v>
      </c>
      <c r="D155" s="12">
        <f>C155-B155</f>
        <v>3.7500000000000006E-2</v>
      </c>
      <c r="E155" s="10" t="s">
        <v>13</v>
      </c>
      <c r="F155" s="10" t="s">
        <v>33</v>
      </c>
    </row>
    <row r="156" spans="1:6" ht="15" thickBot="1" x14ac:dyDescent="0.35">
      <c r="A156" s="10" t="s">
        <v>120</v>
      </c>
      <c r="B156" s="11">
        <v>0.25</v>
      </c>
      <c r="C156" s="11">
        <v>0.2673611111111111</v>
      </c>
      <c r="D156" s="12">
        <f>C156-B156</f>
        <v>1.7361111111111105E-2</v>
      </c>
      <c r="E156" s="10" t="s">
        <v>14</v>
      </c>
      <c r="F156" s="10" t="s">
        <v>13</v>
      </c>
    </row>
    <row r="157" spans="1:6" ht="15" thickBot="1" x14ac:dyDescent="0.35">
      <c r="A157" s="10" t="s">
        <v>89</v>
      </c>
      <c r="B157" s="11">
        <v>0.25</v>
      </c>
      <c r="C157" s="11">
        <v>0.27569444444444446</v>
      </c>
      <c r="D157" s="12">
        <f>C157-B157</f>
        <v>2.5694444444444464E-2</v>
      </c>
      <c r="E157" s="10" t="s">
        <v>13</v>
      </c>
      <c r="F157" s="10" t="s">
        <v>35</v>
      </c>
    </row>
    <row r="158" spans="1:6" ht="15" thickBot="1" x14ac:dyDescent="0.35">
      <c r="A158" s="10" t="s">
        <v>42</v>
      </c>
      <c r="B158" s="11">
        <v>0.3125</v>
      </c>
      <c r="C158" s="11">
        <v>0.70833333333333337</v>
      </c>
      <c r="D158" s="12">
        <f>C159-B158</f>
        <v>6.8750000000000033E-2</v>
      </c>
      <c r="E158" s="10" t="s">
        <v>13</v>
      </c>
      <c r="F158" s="10" t="s">
        <v>55</v>
      </c>
    </row>
    <row r="159" spans="1:6" ht="15" thickBot="1" x14ac:dyDescent="0.35">
      <c r="A159" s="10" t="s">
        <v>86</v>
      </c>
      <c r="B159" s="11">
        <v>0.375</v>
      </c>
      <c r="C159" s="11">
        <v>0.38125000000000003</v>
      </c>
      <c r="D159" s="12">
        <f t="shared" ref="D159:D179" si="3">C159-B159</f>
        <v>6.2500000000000333E-3</v>
      </c>
      <c r="E159" s="10" t="s">
        <v>13</v>
      </c>
      <c r="F159" s="10" t="s">
        <v>31</v>
      </c>
    </row>
    <row r="160" spans="1:6" ht="15" thickBot="1" x14ac:dyDescent="0.35">
      <c r="A160" s="10" t="s">
        <v>104</v>
      </c>
      <c r="B160" s="11">
        <v>0.375</v>
      </c>
      <c r="C160" s="11">
        <v>46116.381944444445</v>
      </c>
      <c r="D160" s="12">
        <f t="shared" si="3"/>
        <v>46116.006944444445</v>
      </c>
      <c r="E160" s="10" t="s">
        <v>13</v>
      </c>
      <c r="F160" s="10" t="s">
        <v>47</v>
      </c>
    </row>
    <row r="161" spans="1:6" ht="15" thickBot="1" x14ac:dyDescent="0.35">
      <c r="A161" s="10" t="s">
        <v>48</v>
      </c>
      <c r="B161" s="11">
        <v>0.375</v>
      </c>
      <c r="C161" s="11">
        <v>0.38611111111111113</v>
      </c>
      <c r="D161" s="12">
        <f t="shared" si="3"/>
        <v>1.1111111111111127E-2</v>
      </c>
      <c r="E161" s="10" t="s">
        <v>49</v>
      </c>
      <c r="F161" s="10" t="s">
        <v>13</v>
      </c>
    </row>
    <row r="162" spans="1:6" ht="15" thickBot="1" x14ac:dyDescent="0.35">
      <c r="A162" s="10" t="s">
        <v>51</v>
      </c>
      <c r="B162" s="11">
        <v>0.41666666666666669</v>
      </c>
      <c r="C162" s="11">
        <v>46116.837500000001</v>
      </c>
      <c r="D162" s="12">
        <f t="shared" si="3"/>
        <v>46116.420833333337</v>
      </c>
      <c r="E162" s="10" t="s">
        <v>13</v>
      </c>
      <c r="F162" s="10" t="s">
        <v>49</v>
      </c>
    </row>
    <row r="163" spans="1:6" ht="15" thickBot="1" x14ac:dyDescent="0.35">
      <c r="A163" s="10" t="s">
        <v>52</v>
      </c>
      <c r="B163" s="11">
        <v>0.4375</v>
      </c>
      <c r="C163" s="11">
        <v>0.45069444444444445</v>
      </c>
      <c r="D163" s="12">
        <f t="shared" si="3"/>
        <v>1.3194444444444453E-2</v>
      </c>
      <c r="E163" s="10" t="s">
        <v>15</v>
      </c>
      <c r="F163" s="10" t="s">
        <v>13</v>
      </c>
    </row>
    <row r="164" spans="1:6" ht="15" thickBot="1" x14ac:dyDescent="0.35">
      <c r="A164" s="10" t="s">
        <v>40</v>
      </c>
      <c r="B164" s="11">
        <v>0.41666666666666669</v>
      </c>
      <c r="C164" s="11">
        <v>0.57361111111111118</v>
      </c>
      <c r="D164" s="12">
        <f t="shared" si="3"/>
        <v>0.1569444444444445</v>
      </c>
      <c r="E164" s="10" t="s">
        <v>31</v>
      </c>
      <c r="F164" s="10" t="s">
        <v>13</v>
      </c>
    </row>
    <row r="165" spans="1:6" ht="15" thickBot="1" x14ac:dyDescent="0.35">
      <c r="A165" s="10" t="s">
        <v>41</v>
      </c>
      <c r="B165" s="11">
        <v>0.45833333333333331</v>
      </c>
      <c r="C165" s="11">
        <v>0.48819444444444443</v>
      </c>
      <c r="D165" s="12">
        <f t="shared" si="3"/>
        <v>2.9861111111111116E-2</v>
      </c>
      <c r="E165" s="10" t="s">
        <v>13</v>
      </c>
      <c r="F165" s="10" t="s">
        <v>24</v>
      </c>
    </row>
    <row r="166" spans="1:6" ht="15" thickBot="1" x14ac:dyDescent="0.35">
      <c r="A166" s="10" t="s">
        <v>20</v>
      </c>
      <c r="B166" s="11">
        <v>0.5</v>
      </c>
      <c r="C166" s="11">
        <v>0.61944444444444446</v>
      </c>
      <c r="D166" s="12">
        <f t="shared" si="3"/>
        <v>0.11944444444444446</v>
      </c>
      <c r="E166" s="10" t="s">
        <v>13</v>
      </c>
      <c r="F166" s="10" t="s">
        <v>21</v>
      </c>
    </row>
    <row r="167" spans="1:6" ht="15" thickBot="1" x14ac:dyDescent="0.35">
      <c r="A167" s="10" t="s">
        <v>87</v>
      </c>
      <c r="B167" s="11">
        <v>0.70833333333333337</v>
      </c>
      <c r="C167" s="11">
        <v>46116.762499999997</v>
      </c>
      <c r="D167" s="12">
        <f t="shared" si="3"/>
        <v>46116.054166666661</v>
      </c>
      <c r="E167" s="10" t="s">
        <v>85</v>
      </c>
      <c r="F167" s="10" t="s">
        <v>13</v>
      </c>
    </row>
    <row r="168" spans="1:6" ht="15" thickBot="1" x14ac:dyDescent="0.35">
      <c r="A168" s="10" t="s">
        <v>27</v>
      </c>
      <c r="B168" s="11">
        <v>0.70833333333333337</v>
      </c>
      <c r="C168" s="11">
        <v>0.73472222222222217</v>
      </c>
      <c r="D168" s="12">
        <f t="shared" si="3"/>
        <v>2.6388888888888795E-2</v>
      </c>
      <c r="E168" s="10" t="s">
        <v>28</v>
      </c>
      <c r="F168" s="10" t="s">
        <v>13</v>
      </c>
    </row>
    <row r="169" spans="1:6" ht="15" thickBot="1" x14ac:dyDescent="0.35">
      <c r="A169" s="10" t="s">
        <v>97</v>
      </c>
      <c r="B169" s="11">
        <v>0.70833333333333337</v>
      </c>
      <c r="C169" s="11">
        <v>46116.718055555553</v>
      </c>
      <c r="D169" s="12">
        <f t="shared" si="3"/>
        <v>46116.009722222218</v>
      </c>
      <c r="E169" s="10" t="s">
        <v>13</v>
      </c>
      <c r="F169" s="10" t="s">
        <v>23</v>
      </c>
    </row>
    <row r="170" spans="1:6" ht="15" thickBot="1" x14ac:dyDescent="0.35">
      <c r="A170" s="10" t="s">
        <v>37</v>
      </c>
      <c r="B170" s="11">
        <v>0.16666666666666666</v>
      </c>
      <c r="C170" s="11">
        <v>0.3125</v>
      </c>
      <c r="D170" s="12">
        <f t="shared" si="3"/>
        <v>0.14583333333333334</v>
      </c>
      <c r="E170" s="10" t="s">
        <v>13</v>
      </c>
      <c r="F170" s="10" t="s">
        <v>14</v>
      </c>
    </row>
    <row r="171" spans="1:6" ht="15" thickBot="1" x14ac:dyDescent="0.35">
      <c r="A171" s="10" t="s">
        <v>54</v>
      </c>
      <c r="B171" s="11">
        <v>0.16666666666666666</v>
      </c>
      <c r="C171" s="11">
        <v>0.17569444444444446</v>
      </c>
      <c r="D171" s="12">
        <f t="shared" si="3"/>
        <v>9.0277777777778012E-3</v>
      </c>
      <c r="E171" s="10" t="s">
        <v>13</v>
      </c>
      <c r="F171" s="10" t="s">
        <v>24</v>
      </c>
    </row>
    <row r="172" spans="1:6" ht="15" thickBot="1" x14ac:dyDescent="0.35">
      <c r="A172" s="10" t="s">
        <v>36</v>
      </c>
      <c r="B172" s="11">
        <v>0.27083333333333331</v>
      </c>
      <c r="C172" s="11">
        <v>0.29722222222222222</v>
      </c>
      <c r="D172" s="12">
        <f t="shared" si="3"/>
        <v>2.6388888888888906E-2</v>
      </c>
      <c r="E172" s="10" t="s">
        <v>13</v>
      </c>
      <c r="F172" s="10" t="s">
        <v>14</v>
      </c>
    </row>
    <row r="173" spans="1:6" ht="15" thickBot="1" x14ac:dyDescent="0.35">
      <c r="A173" s="10" t="s">
        <v>22</v>
      </c>
      <c r="B173" s="11">
        <v>0.29166666666666669</v>
      </c>
      <c r="C173" s="11">
        <v>46117.63958333333</v>
      </c>
      <c r="D173" s="12">
        <f t="shared" si="3"/>
        <v>46117.347916666666</v>
      </c>
      <c r="E173" s="10" t="s">
        <v>13</v>
      </c>
      <c r="F173" s="10" t="s">
        <v>121</v>
      </c>
    </row>
    <row r="174" spans="1:6" ht="15" thickBot="1" x14ac:dyDescent="0.35">
      <c r="A174" s="10" t="s">
        <v>56</v>
      </c>
      <c r="B174" s="11">
        <v>0.29166666666666669</v>
      </c>
      <c r="C174" s="11">
        <v>0.30555555555555552</v>
      </c>
      <c r="D174" s="12">
        <f t="shared" si="3"/>
        <v>1.388888888888884E-2</v>
      </c>
      <c r="E174" s="10" t="s">
        <v>15</v>
      </c>
      <c r="F174" s="10" t="s">
        <v>13</v>
      </c>
    </row>
    <row r="175" spans="1:6" ht="15" thickBot="1" x14ac:dyDescent="0.35">
      <c r="A175" s="10" t="s">
        <v>51</v>
      </c>
      <c r="B175" s="11">
        <v>0.375</v>
      </c>
      <c r="C175" s="11">
        <v>46117.873611111114</v>
      </c>
      <c r="D175" s="12">
        <f t="shared" si="3"/>
        <v>46117.498611111114</v>
      </c>
      <c r="E175" s="10" t="s">
        <v>49</v>
      </c>
      <c r="F175" s="10" t="s">
        <v>13</v>
      </c>
    </row>
    <row r="176" spans="1:6" ht="15" thickBot="1" x14ac:dyDescent="0.35">
      <c r="A176" s="10" t="s">
        <v>52</v>
      </c>
      <c r="B176" s="11">
        <v>0.4375</v>
      </c>
      <c r="C176" s="11">
        <v>0.58819444444444446</v>
      </c>
      <c r="D176" s="12">
        <f t="shared" si="3"/>
        <v>0.15069444444444446</v>
      </c>
      <c r="E176" s="10" t="s">
        <v>15</v>
      </c>
      <c r="F176" s="10" t="s">
        <v>13</v>
      </c>
    </row>
    <row r="177" spans="1:6" ht="15" thickBot="1" x14ac:dyDescent="0.35">
      <c r="A177" s="10" t="s">
        <v>54</v>
      </c>
      <c r="B177" s="11">
        <v>0.70833333333333337</v>
      </c>
      <c r="C177" s="11">
        <v>0.79583333333333339</v>
      </c>
      <c r="D177" s="12">
        <f t="shared" si="3"/>
        <v>8.7500000000000022E-2</v>
      </c>
      <c r="E177" s="10" t="s">
        <v>13</v>
      </c>
      <c r="F177" s="10" t="s">
        <v>24</v>
      </c>
    </row>
    <row r="178" spans="1:6" ht="15" thickBot="1" x14ac:dyDescent="0.35">
      <c r="A178" s="10" t="s">
        <v>102</v>
      </c>
      <c r="B178" s="11">
        <v>0.70833333333333337</v>
      </c>
      <c r="C178" s="11">
        <v>0.72013888888888899</v>
      </c>
      <c r="D178" s="12">
        <f t="shared" si="3"/>
        <v>1.1805555555555625E-2</v>
      </c>
      <c r="E178" s="10" t="s">
        <v>13</v>
      </c>
      <c r="F178" s="10" t="s">
        <v>23</v>
      </c>
    </row>
    <row r="179" spans="1:6" ht="15" thickBot="1" x14ac:dyDescent="0.35">
      <c r="A179" s="10" t="s">
        <v>56</v>
      </c>
      <c r="B179" s="11">
        <v>0.875</v>
      </c>
      <c r="C179" s="11">
        <v>46117.884027777778</v>
      </c>
      <c r="D179" s="12">
        <f t="shared" si="3"/>
        <v>46117.009027777778</v>
      </c>
      <c r="E179" s="10" t="s">
        <v>13</v>
      </c>
      <c r="F179" s="10" t="s">
        <v>15</v>
      </c>
    </row>
    <row r="180" spans="1:6" ht="15" thickBot="1" x14ac:dyDescent="0.35"/>
    <row r="181" spans="1:6" ht="16.2" thickBot="1" x14ac:dyDescent="0.35">
      <c r="E181" s="6" t="s">
        <v>70</v>
      </c>
      <c r="F181" s="6" t="s">
        <v>71</v>
      </c>
    </row>
    <row r="183" spans="1:6" ht="15" thickBot="1" x14ac:dyDescent="0.35"/>
    <row r="184" spans="1:6" ht="29.4" thickBot="1" x14ac:dyDescent="0.35">
      <c r="A184" s="251" t="s">
        <v>92</v>
      </c>
      <c r="B184" s="252"/>
      <c r="C184" s="253"/>
      <c r="D184" s="254">
        <v>46119</v>
      </c>
      <c r="E184" s="255"/>
    </row>
    <row r="185" spans="1:6" ht="18.600000000000001" thickBot="1" x14ac:dyDescent="0.35">
      <c r="A185" s="2" t="s">
        <v>59</v>
      </c>
      <c r="B185" s="2" t="s">
        <v>60</v>
      </c>
      <c r="C185" s="2" t="s">
        <v>61</v>
      </c>
      <c r="D185" s="2" t="s">
        <v>62</v>
      </c>
      <c r="E185" s="2" t="s">
        <v>10</v>
      </c>
    </row>
    <row r="186" spans="1:6" ht="18.600000000000001" thickBot="1" x14ac:dyDescent="0.35">
      <c r="A186" s="7">
        <f>B186+C186+D186</f>
        <v>44</v>
      </c>
      <c r="B186" s="5">
        <v>22</v>
      </c>
      <c r="C186" s="5">
        <v>17</v>
      </c>
      <c r="D186" s="5">
        <v>5</v>
      </c>
      <c r="E186" s="5"/>
    </row>
    <row r="187" spans="1:6" ht="15" thickBot="1" x14ac:dyDescent="0.35">
      <c r="A187" s="1"/>
      <c r="B187" s="1"/>
      <c r="C187" s="1"/>
      <c r="D187" s="1"/>
      <c r="E187" s="1"/>
    </row>
    <row r="188" spans="1:6" ht="29.4" thickBot="1" x14ac:dyDescent="0.35">
      <c r="A188" s="251" t="s">
        <v>72</v>
      </c>
      <c r="B188" s="252"/>
      <c r="C188" s="253"/>
      <c r="D188" s="14">
        <v>46119</v>
      </c>
      <c r="E188" s="13"/>
    </row>
    <row r="189" spans="1:6" ht="18.600000000000001" thickBot="1" x14ac:dyDescent="0.35">
      <c r="A189" s="2" t="s">
        <v>63</v>
      </c>
      <c r="B189" s="2" t="s">
        <v>64</v>
      </c>
      <c r="C189" s="2" t="s">
        <v>65</v>
      </c>
      <c r="D189" s="2" t="s">
        <v>66</v>
      </c>
      <c r="E189" s="1"/>
    </row>
    <row r="190" spans="1:6" ht="18.600000000000001" thickBot="1" x14ac:dyDescent="0.35">
      <c r="A190" s="3">
        <f>B190+C190+D190</f>
        <v>44</v>
      </c>
      <c r="B190" s="4">
        <f>A186-C190</f>
        <v>27</v>
      </c>
      <c r="C190" s="4">
        <v>17</v>
      </c>
      <c r="D190" s="5">
        <v>0</v>
      </c>
      <c r="E190" s="1"/>
    </row>
    <row r="191" spans="1:6" ht="18.600000000000001" thickBot="1" x14ac:dyDescent="0.35">
      <c r="A191" s="15"/>
      <c r="B191" s="15"/>
      <c r="C191" s="15"/>
      <c r="D191" s="15"/>
      <c r="E191" s="1"/>
    </row>
    <row r="192" spans="1:6" ht="29.4" thickBot="1" x14ac:dyDescent="0.35">
      <c r="A192" s="258" t="s">
        <v>129</v>
      </c>
      <c r="B192" s="259"/>
      <c r="C192" s="15"/>
      <c r="D192" s="15"/>
      <c r="E192" s="1"/>
    </row>
    <row r="193" spans="1:6" ht="18.600000000000001" thickBot="1" x14ac:dyDescent="0.35">
      <c r="A193" s="2" t="s">
        <v>1</v>
      </c>
      <c r="B193" s="2" t="s">
        <v>67</v>
      </c>
      <c r="D193" s="15"/>
      <c r="E193" s="1"/>
    </row>
    <row r="194" spans="1:6" ht="18.600000000000001" thickBot="1" x14ac:dyDescent="0.35">
      <c r="A194" s="19"/>
      <c r="B194" s="20"/>
      <c r="C194" s="15"/>
      <c r="D194" s="15"/>
      <c r="E194" s="1"/>
    </row>
    <row r="195" spans="1:6" ht="29.4" thickBot="1" x14ac:dyDescent="0.35">
      <c r="A195" s="251" t="s">
        <v>130</v>
      </c>
      <c r="B195" s="252"/>
      <c r="C195" s="252"/>
      <c r="D195" s="252"/>
      <c r="E195" s="252"/>
      <c r="F195" s="253"/>
    </row>
    <row r="196" spans="1:6" ht="87.6" thickBot="1" x14ac:dyDescent="0.35">
      <c r="A196" s="2" t="s">
        <v>67</v>
      </c>
      <c r="B196" s="8" t="s">
        <v>68</v>
      </c>
      <c r="C196" s="9" t="s">
        <v>5</v>
      </c>
      <c r="D196" s="9" t="s">
        <v>69</v>
      </c>
      <c r="E196" s="9" t="s">
        <v>3</v>
      </c>
      <c r="F196" s="9" t="s">
        <v>4</v>
      </c>
    </row>
    <row r="197" spans="1:6" ht="15" thickBot="1" x14ac:dyDescent="0.35">
      <c r="A197" s="10" t="s">
        <v>102</v>
      </c>
      <c r="B197" s="11">
        <v>0.125</v>
      </c>
      <c r="C197" s="11">
        <v>46119.132638888892</v>
      </c>
      <c r="D197" s="12">
        <f>C198-B197</f>
        <v>2.4999999999999994E-2</v>
      </c>
      <c r="E197" s="10" t="s">
        <v>23</v>
      </c>
      <c r="F197" s="10" t="s">
        <v>13</v>
      </c>
    </row>
    <row r="198" spans="1:6" ht="15" thickBot="1" x14ac:dyDescent="0.35">
      <c r="A198" s="10" t="s">
        <v>87</v>
      </c>
      <c r="B198" s="11">
        <v>0.125</v>
      </c>
      <c r="C198" s="11">
        <v>0.15</v>
      </c>
      <c r="D198" s="12">
        <f>C198-B198</f>
        <v>2.4999999999999994E-2</v>
      </c>
      <c r="E198" s="10" t="s">
        <v>13</v>
      </c>
      <c r="F198" s="10" t="s">
        <v>85</v>
      </c>
    </row>
    <row r="199" spans="1:6" ht="15" thickBot="1" x14ac:dyDescent="0.35">
      <c r="A199" s="10" t="s">
        <v>54</v>
      </c>
      <c r="B199" s="11">
        <v>0.16666666666666666</v>
      </c>
      <c r="C199" s="11">
        <v>0.18472222222222223</v>
      </c>
      <c r="D199" s="12">
        <f>C199-B199</f>
        <v>1.8055555555555575E-2</v>
      </c>
      <c r="E199" s="10" t="s">
        <v>13</v>
      </c>
      <c r="F199" s="10" t="s">
        <v>24</v>
      </c>
    </row>
    <row r="200" spans="1:6" ht="15" thickBot="1" x14ac:dyDescent="0.35">
      <c r="A200" s="10" t="s">
        <v>25</v>
      </c>
      <c r="B200" s="11">
        <v>0.20833333333333334</v>
      </c>
      <c r="C200" s="11">
        <v>0.28125</v>
      </c>
      <c r="D200" s="12">
        <f>C200-B200</f>
        <v>7.2916666666666657E-2</v>
      </c>
      <c r="E200" s="10" t="s">
        <v>26</v>
      </c>
      <c r="F200" s="10" t="s">
        <v>13</v>
      </c>
    </row>
    <row r="201" spans="1:6" ht="15" thickBot="1" x14ac:dyDescent="0.35">
      <c r="A201" s="10" t="s">
        <v>58</v>
      </c>
      <c r="B201" s="11">
        <v>0.25</v>
      </c>
      <c r="C201" s="11">
        <v>46119.73541666667</v>
      </c>
      <c r="D201" s="12">
        <f>C203-B201</f>
        <v>4.0972222222222243E-2</v>
      </c>
      <c r="E201" s="10" t="s">
        <v>14</v>
      </c>
      <c r="F201" s="10" t="s">
        <v>13</v>
      </c>
    </row>
    <row r="202" spans="1:6" ht="15" thickBot="1" x14ac:dyDescent="0.35">
      <c r="A202" s="10" t="s">
        <v>89</v>
      </c>
      <c r="B202" s="11">
        <v>0.25</v>
      </c>
      <c r="C202" s="11">
        <v>0.26874999999999999</v>
      </c>
      <c r="D202" s="12">
        <f>C203-B202</f>
        <v>4.0972222222222243E-2</v>
      </c>
      <c r="E202" s="10" t="s">
        <v>13</v>
      </c>
      <c r="F202" s="10" t="s">
        <v>35</v>
      </c>
    </row>
    <row r="203" spans="1:6" ht="15" thickBot="1" x14ac:dyDescent="0.35">
      <c r="A203" s="10" t="s">
        <v>36</v>
      </c>
      <c r="B203" s="11">
        <v>0.27083333333333331</v>
      </c>
      <c r="C203" s="11">
        <v>0.29097222222222224</v>
      </c>
      <c r="D203" s="12">
        <f t="shared" ref="D203:D213" si="4">C203-B203</f>
        <v>2.0138888888888928E-2</v>
      </c>
      <c r="E203" s="10" t="s">
        <v>13</v>
      </c>
      <c r="F203" s="10" t="s">
        <v>14</v>
      </c>
    </row>
    <row r="204" spans="1:6" ht="15" thickBot="1" x14ac:dyDescent="0.35">
      <c r="A204" s="10" t="s">
        <v>42</v>
      </c>
      <c r="B204" s="11">
        <v>0.3125</v>
      </c>
      <c r="C204" s="11">
        <v>0.32500000000000001</v>
      </c>
      <c r="D204" s="12">
        <f t="shared" si="4"/>
        <v>1.2500000000000011E-2</v>
      </c>
      <c r="E204" s="10" t="s">
        <v>13</v>
      </c>
      <c r="F204" s="10" t="s">
        <v>43</v>
      </c>
    </row>
    <row r="205" spans="1:6" ht="15" thickBot="1" x14ac:dyDescent="0.35">
      <c r="A205" s="10" t="s">
        <v>51</v>
      </c>
      <c r="B205" s="11">
        <v>0.375</v>
      </c>
      <c r="C205" s="11">
        <v>46119.910416666666</v>
      </c>
      <c r="D205" s="12">
        <f t="shared" si="4"/>
        <v>46119.535416666666</v>
      </c>
      <c r="E205" s="10" t="s">
        <v>49</v>
      </c>
      <c r="F205" s="10" t="s">
        <v>13</v>
      </c>
    </row>
    <row r="206" spans="1:6" ht="15" thickBot="1" x14ac:dyDescent="0.35">
      <c r="A206" s="10" t="s">
        <v>48</v>
      </c>
      <c r="B206" s="11">
        <v>0.41666666666666669</v>
      </c>
      <c r="C206" s="11">
        <v>46119.478472222225</v>
      </c>
      <c r="D206" s="12">
        <f t="shared" si="4"/>
        <v>46119.061805555561</v>
      </c>
      <c r="E206" s="10" t="s">
        <v>13</v>
      </c>
      <c r="F206" s="10" t="s">
        <v>49</v>
      </c>
    </row>
    <row r="207" spans="1:6" ht="15" thickBot="1" x14ac:dyDescent="0.35">
      <c r="A207" s="10" t="s">
        <v>52</v>
      </c>
      <c r="B207" s="11">
        <v>0.4375</v>
      </c>
      <c r="C207" s="11">
        <v>46119.781944444447</v>
      </c>
      <c r="D207" s="12">
        <f t="shared" si="4"/>
        <v>46119.344444444447</v>
      </c>
      <c r="E207" s="10" t="s">
        <v>15</v>
      </c>
      <c r="F207" s="10" t="s">
        <v>13</v>
      </c>
    </row>
    <row r="208" spans="1:6" ht="15" thickBot="1" x14ac:dyDescent="0.35">
      <c r="A208" s="10" t="s">
        <v>40</v>
      </c>
      <c r="B208" s="11">
        <v>0.41666666666666669</v>
      </c>
      <c r="C208" s="11">
        <v>46119.477777777778</v>
      </c>
      <c r="D208" s="12">
        <f t="shared" si="4"/>
        <v>46119.061111111114</v>
      </c>
      <c r="E208" s="10" t="s">
        <v>31</v>
      </c>
      <c r="F208" s="10" t="s">
        <v>13</v>
      </c>
    </row>
    <row r="209" spans="1:6" ht="15" thickBot="1" x14ac:dyDescent="0.35">
      <c r="A209" s="10" t="s">
        <v>41</v>
      </c>
      <c r="B209" s="11">
        <v>0.45833333333333331</v>
      </c>
      <c r="C209" s="11">
        <v>0.5180555555555556</v>
      </c>
      <c r="D209" s="12">
        <f t="shared" si="4"/>
        <v>5.9722222222222288E-2</v>
      </c>
      <c r="E209" s="10" t="s">
        <v>13</v>
      </c>
      <c r="F209" s="10" t="s">
        <v>24</v>
      </c>
    </row>
    <row r="210" spans="1:6" ht="15" thickBot="1" x14ac:dyDescent="0.35">
      <c r="A210" s="10" t="s">
        <v>20</v>
      </c>
      <c r="B210" s="11">
        <v>0.5</v>
      </c>
      <c r="C210" s="11">
        <v>0.50763888888888886</v>
      </c>
      <c r="D210" s="12">
        <f t="shared" si="4"/>
        <v>7.6388888888888618E-3</v>
      </c>
      <c r="E210" s="10" t="s">
        <v>13</v>
      </c>
      <c r="F210" s="10" t="s">
        <v>21</v>
      </c>
    </row>
    <row r="211" spans="1:6" ht="15" thickBot="1" x14ac:dyDescent="0.35">
      <c r="A211" s="10" t="s">
        <v>87</v>
      </c>
      <c r="B211" s="11">
        <v>0.70833333333333337</v>
      </c>
      <c r="C211" s="11">
        <v>46119.745833333334</v>
      </c>
      <c r="D211" s="12">
        <f t="shared" si="4"/>
        <v>46119.037499999999</v>
      </c>
      <c r="E211" s="10" t="s">
        <v>85</v>
      </c>
      <c r="F211" s="10" t="s">
        <v>13</v>
      </c>
    </row>
    <row r="212" spans="1:6" ht="15" thickBot="1" x14ac:dyDescent="0.35">
      <c r="A212" s="10" t="s">
        <v>89</v>
      </c>
      <c r="B212" s="11">
        <v>0.75</v>
      </c>
      <c r="C212" s="11">
        <v>0.75624999999999998</v>
      </c>
      <c r="D212" s="12">
        <f t="shared" si="4"/>
        <v>6.2499999999999778E-3</v>
      </c>
      <c r="E212" s="10" t="s">
        <v>35</v>
      </c>
      <c r="F212" s="10" t="s">
        <v>13</v>
      </c>
    </row>
    <row r="213" spans="1:6" ht="15" thickBot="1" x14ac:dyDescent="0.35">
      <c r="A213" s="10" t="s">
        <v>20</v>
      </c>
      <c r="B213" s="11">
        <v>0.95833333333333337</v>
      </c>
      <c r="C213" s="11">
        <v>46119.97152777778</v>
      </c>
      <c r="D213" s="12">
        <f t="shared" si="4"/>
        <v>46119.013194444444</v>
      </c>
      <c r="E213" s="10" t="s">
        <v>91</v>
      </c>
      <c r="F213" s="10" t="s">
        <v>13</v>
      </c>
    </row>
    <row r="214" spans="1:6" ht="15" thickBot="1" x14ac:dyDescent="0.35"/>
    <row r="215" spans="1:6" ht="16.2" thickBot="1" x14ac:dyDescent="0.35">
      <c r="E215" s="6" t="s">
        <v>70</v>
      </c>
      <c r="F215" s="6" t="s">
        <v>71</v>
      </c>
    </row>
    <row r="219" spans="1:6" ht="15" thickBot="1" x14ac:dyDescent="0.35"/>
    <row r="220" spans="1:6" ht="29.4" thickBot="1" x14ac:dyDescent="0.35">
      <c r="A220" s="251" t="s">
        <v>92</v>
      </c>
      <c r="B220" s="252"/>
      <c r="C220" s="253"/>
      <c r="D220" s="254">
        <v>46120</v>
      </c>
      <c r="E220" s="255"/>
    </row>
    <row r="221" spans="1:6" ht="18.600000000000001" thickBot="1" x14ac:dyDescent="0.35">
      <c r="A221" s="2" t="s">
        <v>59</v>
      </c>
      <c r="B221" s="2" t="s">
        <v>60</v>
      </c>
      <c r="C221" s="2" t="s">
        <v>61</v>
      </c>
      <c r="D221" s="2" t="s">
        <v>62</v>
      </c>
      <c r="E221" s="2" t="s">
        <v>10</v>
      </c>
    </row>
    <row r="222" spans="1:6" ht="18.600000000000001" thickBot="1" x14ac:dyDescent="0.35">
      <c r="A222" s="7">
        <f>B222+C222+D222</f>
        <v>45</v>
      </c>
      <c r="B222" s="5">
        <v>23</v>
      </c>
      <c r="C222" s="5">
        <v>16</v>
      </c>
      <c r="D222" s="5">
        <v>6</v>
      </c>
      <c r="E222" s="5"/>
    </row>
    <row r="223" spans="1:6" ht="15" thickBot="1" x14ac:dyDescent="0.35">
      <c r="A223" s="1"/>
      <c r="B223" s="1"/>
      <c r="C223" s="1"/>
      <c r="D223" s="1"/>
      <c r="E223" s="1"/>
    </row>
    <row r="224" spans="1:6" ht="29.4" thickBot="1" x14ac:dyDescent="0.35">
      <c r="A224" s="251" t="s">
        <v>72</v>
      </c>
      <c r="B224" s="252"/>
      <c r="C224" s="253"/>
      <c r="D224" s="14">
        <v>46120</v>
      </c>
      <c r="E224" s="13"/>
    </row>
    <row r="225" spans="1:6" ht="18.600000000000001" thickBot="1" x14ac:dyDescent="0.35">
      <c r="A225" s="2" t="s">
        <v>63</v>
      </c>
      <c r="B225" s="2" t="s">
        <v>64</v>
      </c>
      <c r="C225" s="2" t="s">
        <v>65</v>
      </c>
      <c r="D225" s="2" t="s">
        <v>66</v>
      </c>
      <c r="E225" s="1"/>
    </row>
    <row r="226" spans="1:6" ht="18.600000000000001" thickBot="1" x14ac:dyDescent="0.35">
      <c r="A226" s="3">
        <f>B226+C226+D226</f>
        <v>45</v>
      </c>
      <c r="B226" s="4">
        <f>A222-C226</f>
        <v>28</v>
      </c>
      <c r="C226" s="4">
        <v>17</v>
      </c>
      <c r="D226" s="5">
        <v>0</v>
      </c>
      <c r="E226" s="1"/>
    </row>
    <row r="227" spans="1:6" ht="18.600000000000001" thickBot="1" x14ac:dyDescent="0.35">
      <c r="A227" s="15"/>
      <c r="B227" s="15"/>
      <c r="C227" s="15"/>
      <c r="D227" s="15"/>
      <c r="E227" s="1"/>
    </row>
    <row r="228" spans="1:6" ht="29.4" thickBot="1" x14ac:dyDescent="0.35">
      <c r="A228" s="258" t="s">
        <v>131</v>
      </c>
      <c r="B228" s="259"/>
      <c r="C228" s="15"/>
      <c r="D228" s="15"/>
      <c r="E228" s="1"/>
    </row>
    <row r="229" spans="1:6" ht="18.600000000000001" thickBot="1" x14ac:dyDescent="0.35">
      <c r="A229" s="2" t="s">
        <v>1</v>
      </c>
      <c r="B229" s="2" t="s">
        <v>67</v>
      </c>
      <c r="D229" s="15"/>
      <c r="E229" s="1"/>
    </row>
    <row r="230" spans="1:6" ht="18.600000000000001" thickBot="1" x14ac:dyDescent="0.35">
      <c r="A230" s="19"/>
      <c r="B230" s="20"/>
      <c r="C230" s="15"/>
      <c r="D230" s="15"/>
      <c r="E230" s="1"/>
    </row>
    <row r="231" spans="1:6" ht="29.4" thickBot="1" x14ac:dyDescent="0.35">
      <c r="A231" s="251" t="s">
        <v>132</v>
      </c>
      <c r="B231" s="252"/>
      <c r="C231" s="252"/>
      <c r="D231" s="252"/>
      <c r="E231" s="252"/>
      <c r="F231" s="253"/>
    </row>
    <row r="232" spans="1:6" ht="87.6" thickBot="1" x14ac:dyDescent="0.35">
      <c r="A232" s="2" t="s">
        <v>67</v>
      </c>
      <c r="B232" s="8" t="s">
        <v>68</v>
      </c>
      <c r="C232" s="9" t="s">
        <v>5</v>
      </c>
      <c r="D232" s="9" t="s">
        <v>69</v>
      </c>
      <c r="E232" s="9" t="s">
        <v>3</v>
      </c>
      <c r="F232" s="9" t="s">
        <v>4</v>
      </c>
    </row>
    <row r="233" spans="1:6" ht="15" thickBot="1" x14ac:dyDescent="0.35">
      <c r="A233" s="10" t="s">
        <v>94</v>
      </c>
      <c r="B233" s="11">
        <v>0.125</v>
      </c>
      <c r="C233" s="11">
        <v>46120.138194444444</v>
      </c>
      <c r="D233" s="12">
        <f>C234-B233</f>
        <v>0.14097222222222222</v>
      </c>
      <c r="E233" s="10" t="s">
        <v>23</v>
      </c>
      <c r="F233" s="10" t="s">
        <v>13</v>
      </c>
    </row>
    <row r="234" spans="1:6" ht="15" thickBot="1" x14ac:dyDescent="0.35">
      <c r="A234" s="10" t="s">
        <v>82</v>
      </c>
      <c r="B234" s="11">
        <v>0.20833333333333334</v>
      </c>
      <c r="C234" s="11">
        <v>0.26597222222222222</v>
      </c>
      <c r="D234" s="12">
        <f>C234-B234</f>
        <v>5.7638888888888878E-2</v>
      </c>
      <c r="E234" s="10" t="s">
        <v>26</v>
      </c>
      <c r="F234" s="10" t="s">
        <v>13</v>
      </c>
    </row>
    <row r="235" spans="1:6" ht="15" thickBot="1" x14ac:dyDescent="0.35">
      <c r="A235" s="10" t="s">
        <v>48</v>
      </c>
      <c r="B235" s="11">
        <v>0.375</v>
      </c>
      <c r="C235" s="11">
        <v>46120.412499999999</v>
      </c>
      <c r="D235" s="12">
        <f>C235-B235</f>
        <v>46120.037499999999</v>
      </c>
      <c r="E235" s="10" t="s">
        <v>49</v>
      </c>
      <c r="F235" s="10" t="s">
        <v>13</v>
      </c>
    </row>
    <row r="236" spans="1:6" ht="15" thickBot="1" x14ac:dyDescent="0.35">
      <c r="A236" s="10" t="s">
        <v>90</v>
      </c>
      <c r="B236" s="11">
        <v>0.4375</v>
      </c>
      <c r="C236" s="11">
        <v>0.60625000000000007</v>
      </c>
      <c r="D236" s="12">
        <f>C236-B236</f>
        <v>0.16875000000000007</v>
      </c>
      <c r="E236" s="10" t="s">
        <v>15</v>
      </c>
      <c r="F236" s="10" t="s">
        <v>13</v>
      </c>
    </row>
    <row r="237" spans="1:6" ht="15" thickBot="1" x14ac:dyDescent="0.35">
      <c r="A237" s="10" t="s">
        <v>27</v>
      </c>
      <c r="B237" s="11">
        <v>0.70833333333333337</v>
      </c>
      <c r="C237" s="11">
        <v>0.74236111111111114</v>
      </c>
      <c r="D237" s="12">
        <f>C239-B237</f>
        <v>0.17708333333333326</v>
      </c>
      <c r="E237" s="10" t="s">
        <v>28</v>
      </c>
      <c r="F237" s="10" t="s">
        <v>13</v>
      </c>
    </row>
    <row r="238" spans="1:6" ht="15" thickBot="1" x14ac:dyDescent="0.35">
      <c r="A238" s="10" t="s">
        <v>20</v>
      </c>
      <c r="B238" s="11">
        <v>0.95833333333333337</v>
      </c>
      <c r="C238" s="11">
        <v>46120.981944444444</v>
      </c>
      <c r="D238" s="12">
        <f>C240-B238</f>
        <v>-0.95833333333333337</v>
      </c>
      <c r="E238" s="10" t="s">
        <v>91</v>
      </c>
      <c r="F238" s="10" t="s">
        <v>13</v>
      </c>
    </row>
    <row r="239" spans="1:6" ht="15" thickBot="1" x14ac:dyDescent="0.35">
      <c r="A239" s="10" t="s">
        <v>42</v>
      </c>
      <c r="B239" s="11">
        <v>0.875</v>
      </c>
      <c r="C239" s="11">
        <v>0.88541666666666663</v>
      </c>
      <c r="D239" s="12">
        <f>C239-B239</f>
        <v>1.041666666666663E-2</v>
      </c>
      <c r="E239" s="10" t="s">
        <v>55</v>
      </c>
      <c r="F239" s="10" t="s">
        <v>13</v>
      </c>
    </row>
    <row r="240" spans="1:6" ht="15" thickBot="1" x14ac:dyDescent="0.35"/>
    <row r="241" spans="1:6" ht="16.2" thickBot="1" x14ac:dyDescent="0.35">
      <c r="E241" s="6" t="s">
        <v>70</v>
      </c>
      <c r="F241" s="6" t="s">
        <v>71</v>
      </c>
    </row>
    <row r="244" spans="1:6" ht="15" thickBot="1" x14ac:dyDescent="0.35"/>
    <row r="245" spans="1:6" ht="29.4" thickBot="1" x14ac:dyDescent="0.35">
      <c r="A245" s="251" t="s">
        <v>92</v>
      </c>
      <c r="B245" s="252"/>
      <c r="C245" s="253"/>
      <c r="D245" s="254">
        <v>46121</v>
      </c>
      <c r="E245" s="255"/>
    </row>
    <row r="246" spans="1:6" ht="18.600000000000001" thickBot="1" x14ac:dyDescent="0.35">
      <c r="A246" s="2" t="s">
        <v>59</v>
      </c>
      <c r="B246" s="2" t="s">
        <v>60</v>
      </c>
      <c r="C246" s="2" t="s">
        <v>61</v>
      </c>
      <c r="D246" s="2" t="s">
        <v>62</v>
      </c>
      <c r="E246" s="2" t="s">
        <v>10</v>
      </c>
    </row>
    <row r="247" spans="1:6" ht="18.600000000000001" thickBot="1" x14ac:dyDescent="0.35">
      <c r="A247" s="7">
        <f>B247+C247+D247</f>
        <v>46</v>
      </c>
      <c r="B247" s="5">
        <v>24</v>
      </c>
      <c r="C247" s="5">
        <v>14</v>
      </c>
      <c r="D247" s="5">
        <v>8</v>
      </c>
      <c r="E247" s="5"/>
    </row>
    <row r="248" spans="1:6" ht="15" thickBot="1" x14ac:dyDescent="0.35">
      <c r="A248" s="1"/>
      <c r="B248" s="1"/>
      <c r="C248" s="1"/>
      <c r="D248" s="1"/>
      <c r="E248" s="1"/>
    </row>
    <row r="249" spans="1:6" ht="29.4" thickBot="1" x14ac:dyDescent="0.35">
      <c r="A249" s="251" t="s">
        <v>72</v>
      </c>
      <c r="B249" s="252"/>
      <c r="C249" s="253"/>
      <c r="D249" s="14">
        <v>46121</v>
      </c>
      <c r="E249" s="13"/>
    </row>
    <row r="250" spans="1:6" ht="18.600000000000001" thickBot="1" x14ac:dyDescent="0.35">
      <c r="A250" s="2" t="s">
        <v>63</v>
      </c>
      <c r="B250" s="2" t="s">
        <v>64</v>
      </c>
      <c r="C250" s="2" t="s">
        <v>65</v>
      </c>
      <c r="D250" s="2" t="s">
        <v>66</v>
      </c>
      <c r="E250" s="1"/>
    </row>
    <row r="251" spans="1:6" ht="18.600000000000001" thickBot="1" x14ac:dyDescent="0.35">
      <c r="A251" s="3">
        <f>B251+C251+D251</f>
        <v>53</v>
      </c>
      <c r="B251" s="4">
        <f>A247-C251</f>
        <v>29</v>
      </c>
      <c r="C251" s="4">
        <v>17</v>
      </c>
      <c r="D251" s="5">
        <v>7</v>
      </c>
      <c r="E251" s="1"/>
    </row>
    <row r="252" spans="1:6" ht="18.600000000000001" thickBot="1" x14ac:dyDescent="0.35">
      <c r="A252" s="15"/>
      <c r="B252" s="15"/>
      <c r="C252" s="15"/>
      <c r="D252" s="15"/>
      <c r="E252" s="1"/>
    </row>
    <row r="253" spans="1:6" ht="29.4" thickBot="1" x14ac:dyDescent="0.35">
      <c r="A253" s="258" t="s">
        <v>101</v>
      </c>
      <c r="B253" s="259"/>
    </row>
    <row r="254" spans="1:6" ht="18.600000000000001" thickBot="1" x14ac:dyDescent="0.35">
      <c r="A254" s="2" t="s">
        <v>67</v>
      </c>
      <c r="B254" s="2" t="s">
        <v>10</v>
      </c>
    </row>
    <row r="255" spans="1:6" ht="18.600000000000001" thickBot="1" x14ac:dyDescent="0.35">
      <c r="A255" s="22" t="s">
        <v>136</v>
      </c>
      <c r="B255" s="21" t="s">
        <v>138</v>
      </c>
      <c r="C255" s="15"/>
      <c r="D255" s="15"/>
      <c r="E255" s="1"/>
    </row>
    <row r="256" spans="1:6" ht="18.600000000000001" thickBot="1" x14ac:dyDescent="0.35">
      <c r="A256" s="22" t="s">
        <v>137</v>
      </c>
      <c r="B256" s="21" t="s">
        <v>139</v>
      </c>
      <c r="C256" s="15"/>
      <c r="D256" s="15"/>
      <c r="E256" s="1"/>
    </row>
    <row r="257" spans="1:6" ht="18.600000000000001" thickBot="1" x14ac:dyDescent="0.35">
      <c r="A257" s="22">
        <v>3975</v>
      </c>
      <c r="B257" s="21" t="s">
        <v>140</v>
      </c>
      <c r="C257" s="15"/>
      <c r="D257" s="15"/>
      <c r="E257" s="1"/>
    </row>
    <row r="258" spans="1:6" ht="18.600000000000001" thickBot="1" x14ac:dyDescent="0.35">
      <c r="A258" s="22">
        <v>9717</v>
      </c>
      <c r="B258" s="21" t="s">
        <v>141</v>
      </c>
      <c r="C258" s="15"/>
      <c r="D258" s="15"/>
      <c r="E258" s="1"/>
    </row>
    <row r="259" spans="1:6" ht="18.600000000000001" thickBot="1" x14ac:dyDescent="0.35">
      <c r="A259" s="22">
        <v>4551</v>
      </c>
      <c r="B259" s="21" t="s">
        <v>142</v>
      </c>
      <c r="C259" s="15"/>
      <c r="D259" s="15"/>
      <c r="E259" s="1"/>
    </row>
    <row r="260" spans="1:6" ht="18.600000000000001" thickBot="1" x14ac:dyDescent="0.35">
      <c r="A260" s="22" t="s">
        <v>143</v>
      </c>
      <c r="B260" s="21" t="s">
        <v>144</v>
      </c>
      <c r="C260" s="15"/>
      <c r="D260" s="15"/>
      <c r="E260" s="1"/>
    </row>
    <row r="261" spans="1:6" ht="18.600000000000001" thickBot="1" x14ac:dyDescent="0.35">
      <c r="A261" s="22">
        <v>4289</v>
      </c>
      <c r="B261" s="21" t="s">
        <v>144</v>
      </c>
      <c r="C261" s="15"/>
      <c r="D261" s="15"/>
      <c r="E261" s="1"/>
    </row>
    <row r="262" spans="1:6" ht="18.600000000000001" thickBot="1" x14ac:dyDescent="0.35">
      <c r="A262" s="19"/>
      <c r="B262" s="20"/>
      <c r="C262" s="15"/>
      <c r="D262" s="15"/>
      <c r="E262" s="1"/>
    </row>
    <row r="263" spans="1:6" ht="29.4" thickBot="1" x14ac:dyDescent="0.35">
      <c r="A263" s="258" t="s">
        <v>134</v>
      </c>
      <c r="B263" s="259"/>
      <c r="C263" s="15"/>
      <c r="D263" s="15"/>
      <c r="E263" s="1"/>
    </row>
    <row r="264" spans="1:6" ht="18.600000000000001" thickBot="1" x14ac:dyDescent="0.35">
      <c r="A264" s="2" t="s">
        <v>1</v>
      </c>
      <c r="B264" s="2" t="s">
        <v>67</v>
      </c>
      <c r="D264" s="15"/>
      <c r="E264" s="1"/>
    </row>
    <row r="265" spans="1:6" ht="18.600000000000001" thickBot="1" x14ac:dyDescent="0.35">
      <c r="A265" s="19"/>
      <c r="B265" s="20"/>
      <c r="C265" s="15"/>
      <c r="D265" s="15"/>
      <c r="E265" s="1"/>
    </row>
    <row r="266" spans="1:6" ht="29.4" thickBot="1" x14ac:dyDescent="0.35">
      <c r="A266" s="251" t="s">
        <v>135</v>
      </c>
      <c r="B266" s="252"/>
      <c r="C266" s="252"/>
      <c r="D266" s="252"/>
      <c r="E266" s="252"/>
      <c r="F266" s="253"/>
    </row>
    <row r="267" spans="1:6" ht="87.6" thickBot="1" x14ac:dyDescent="0.35">
      <c r="A267" s="2" t="s">
        <v>67</v>
      </c>
      <c r="B267" s="8" t="s">
        <v>68</v>
      </c>
      <c r="C267" s="9" t="s">
        <v>5</v>
      </c>
      <c r="D267" s="9" t="s">
        <v>69</v>
      </c>
      <c r="E267" s="9" t="s">
        <v>3</v>
      </c>
      <c r="F267" s="9" t="s">
        <v>4</v>
      </c>
    </row>
    <row r="268" spans="1:6" ht="15" thickBot="1" x14ac:dyDescent="0.35">
      <c r="A268" s="10" t="s">
        <v>84</v>
      </c>
      <c r="B268" s="11">
        <v>0.125</v>
      </c>
      <c r="C268" s="11">
        <v>0.14444444444444446</v>
      </c>
      <c r="D268" s="12">
        <f>C269-B268</f>
        <v>6.9444444444444448E-2</v>
      </c>
      <c r="E268" s="10" t="s">
        <v>13</v>
      </c>
      <c r="F268" s="10" t="s">
        <v>85</v>
      </c>
    </row>
    <row r="269" spans="1:6" ht="15" thickBot="1" x14ac:dyDescent="0.35">
      <c r="A269" s="10" t="s">
        <v>41</v>
      </c>
      <c r="B269" s="11">
        <v>0.16666666666666666</v>
      </c>
      <c r="C269" s="11">
        <v>0.19444444444444445</v>
      </c>
      <c r="D269" s="12">
        <f>C269-B269</f>
        <v>2.777777777777779E-2</v>
      </c>
      <c r="E269" s="10" t="s">
        <v>13</v>
      </c>
      <c r="F269" s="10" t="s">
        <v>24</v>
      </c>
    </row>
    <row r="270" spans="1:6" ht="15" thickBot="1" x14ac:dyDescent="0.35">
      <c r="A270" s="10" t="s">
        <v>29</v>
      </c>
      <c r="B270" s="11">
        <v>0.16666666666666666</v>
      </c>
      <c r="C270" s="11">
        <v>0.17500000000000002</v>
      </c>
      <c r="D270" s="12">
        <f>C270-B270</f>
        <v>8.3333333333333592E-3</v>
      </c>
      <c r="E270" s="10" t="s">
        <v>17</v>
      </c>
      <c r="F270" s="10" t="s">
        <v>15</v>
      </c>
    </row>
    <row r="271" spans="1:6" ht="15" thickBot="1" x14ac:dyDescent="0.35">
      <c r="A271" s="10" t="s">
        <v>12</v>
      </c>
      <c r="B271" s="11">
        <v>0.16666666666666666</v>
      </c>
      <c r="C271" s="11">
        <v>46121.414583333331</v>
      </c>
      <c r="D271" s="12">
        <f>C271-B271</f>
        <v>46121.247916666667</v>
      </c>
      <c r="E271" s="10" t="s">
        <v>13</v>
      </c>
      <c r="F271" s="10" t="s">
        <v>14</v>
      </c>
    </row>
    <row r="272" spans="1:6" ht="15" thickBot="1" x14ac:dyDescent="0.35">
      <c r="A272" s="10" t="s">
        <v>89</v>
      </c>
      <c r="B272" s="11">
        <v>0.25</v>
      </c>
      <c r="C272" s="11">
        <v>0.27013888888888887</v>
      </c>
      <c r="D272" s="12">
        <f>C274-B272</f>
        <v>0.13125000000000003</v>
      </c>
      <c r="E272" s="10" t="s">
        <v>13</v>
      </c>
      <c r="F272" s="10" t="s">
        <v>35</v>
      </c>
    </row>
    <row r="273" spans="1:6" ht="15" thickBot="1" x14ac:dyDescent="0.35">
      <c r="A273" s="10" t="s">
        <v>42</v>
      </c>
      <c r="B273" s="11">
        <v>0.3125</v>
      </c>
      <c r="C273" s="11">
        <v>0.64444444444444449</v>
      </c>
      <c r="D273" s="12">
        <f>C275-B273</f>
        <v>0.18333333333333335</v>
      </c>
      <c r="E273" s="10" t="s">
        <v>13</v>
      </c>
      <c r="F273" s="10" t="s">
        <v>43</v>
      </c>
    </row>
    <row r="274" spans="1:6" ht="15" thickBot="1" x14ac:dyDescent="0.35">
      <c r="A274" s="10" t="s">
        <v>50</v>
      </c>
      <c r="B274" s="11">
        <v>0.375</v>
      </c>
      <c r="C274" s="11">
        <v>0.38125000000000003</v>
      </c>
      <c r="D274" s="12">
        <f t="shared" ref="D274:D284" si="5">C274-B274</f>
        <v>6.2500000000000333E-3</v>
      </c>
      <c r="E274" s="10" t="s">
        <v>13</v>
      </c>
      <c r="F274" s="10" t="s">
        <v>31</v>
      </c>
    </row>
    <row r="275" spans="1:6" ht="15" thickBot="1" x14ac:dyDescent="0.35">
      <c r="A275" s="10" t="s">
        <v>48</v>
      </c>
      <c r="B275" s="11">
        <v>0.41666666666666669</v>
      </c>
      <c r="C275" s="11">
        <v>0.49583333333333335</v>
      </c>
      <c r="D275" s="12">
        <f t="shared" si="5"/>
        <v>7.9166666666666663E-2</v>
      </c>
      <c r="E275" s="10" t="s">
        <v>13</v>
      </c>
      <c r="F275" s="10" t="s">
        <v>49</v>
      </c>
    </row>
    <row r="276" spans="1:6" ht="15" thickBot="1" x14ac:dyDescent="0.35">
      <c r="A276" s="10" t="s">
        <v>133</v>
      </c>
      <c r="B276" s="11">
        <v>0.4375</v>
      </c>
      <c r="C276" s="11">
        <v>0.57500000000000007</v>
      </c>
      <c r="D276" s="12">
        <f t="shared" si="5"/>
        <v>0.13750000000000007</v>
      </c>
      <c r="E276" s="10" t="s">
        <v>15</v>
      </c>
      <c r="F276" s="10" t="s">
        <v>13</v>
      </c>
    </row>
    <row r="277" spans="1:6" ht="15" thickBot="1" x14ac:dyDescent="0.35">
      <c r="A277" s="10" t="s">
        <v>40</v>
      </c>
      <c r="B277" s="11">
        <v>0.41666666666666669</v>
      </c>
      <c r="C277" s="11">
        <v>0.72013888888888899</v>
      </c>
      <c r="D277" s="12">
        <f t="shared" si="5"/>
        <v>0.30347222222222231</v>
      </c>
      <c r="E277" s="10" t="s">
        <v>31</v>
      </c>
      <c r="F277" s="10" t="s">
        <v>13</v>
      </c>
    </row>
    <row r="278" spans="1:6" ht="15" thickBot="1" x14ac:dyDescent="0.35">
      <c r="A278" s="10" t="s">
        <v>99</v>
      </c>
      <c r="B278" s="11">
        <v>0.5</v>
      </c>
      <c r="C278" s="11">
        <v>46121.696527777778</v>
      </c>
      <c r="D278" s="12">
        <f t="shared" si="5"/>
        <v>46121.196527777778</v>
      </c>
      <c r="E278" s="10" t="s">
        <v>13</v>
      </c>
      <c r="F278" s="10" t="s">
        <v>88</v>
      </c>
    </row>
    <row r="279" spans="1:6" ht="15" thickBot="1" x14ac:dyDescent="0.35">
      <c r="A279" s="10" t="s">
        <v>20</v>
      </c>
      <c r="B279" s="11">
        <v>0.5</v>
      </c>
      <c r="C279" s="11">
        <v>0.5083333333333333</v>
      </c>
      <c r="D279" s="12">
        <f t="shared" si="5"/>
        <v>8.3333333333333037E-3</v>
      </c>
      <c r="E279" s="10" t="s">
        <v>13</v>
      </c>
      <c r="F279" s="10" t="s">
        <v>21</v>
      </c>
    </row>
    <row r="280" spans="1:6" ht="15" thickBot="1" x14ac:dyDescent="0.35">
      <c r="A280" s="10" t="s">
        <v>52</v>
      </c>
      <c r="B280" s="11">
        <v>0.54166666666666663</v>
      </c>
      <c r="C280" s="11">
        <v>0.54791666666666672</v>
      </c>
      <c r="D280" s="12">
        <f t="shared" si="5"/>
        <v>6.2500000000000888E-3</v>
      </c>
      <c r="E280" s="10" t="s">
        <v>13</v>
      </c>
      <c r="F280" s="10" t="s">
        <v>15</v>
      </c>
    </row>
    <row r="281" spans="1:6" ht="15" thickBot="1" x14ac:dyDescent="0.35">
      <c r="A281" s="10" t="s">
        <v>54</v>
      </c>
      <c r="B281" s="11">
        <v>0.70833333333333337</v>
      </c>
      <c r="C281" s="11">
        <v>0.73055555555555562</v>
      </c>
      <c r="D281" s="12">
        <f t="shared" si="5"/>
        <v>2.2222222222222254E-2</v>
      </c>
      <c r="E281" s="10" t="s">
        <v>13</v>
      </c>
      <c r="F281" s="10" t="s">
        <v>24</v>
      </c>
    </row>
    <row r="282" spans="1:6" ht="15" thickBot="1" x14ac:dyDescent="0.35">
      <c r="A282" s="10" t="s">
        <v>84</v>
      </c>
      <c r="B282" s="11">
        <v>0.70833333333333337</v>
      </c>
      <c r="C282" s="11">
        <v>46121.722222222219</v>
      </c>
      <c r="D282" s="12">
        <f t="shared" si="5"/>
        <v>46121.013888888883</v>
      </c>
      <c r="E282" s="10" t="s">
        <v>85</v>
      </c>
      <c r="F282" s="10" t="s">
        <v>13</v>
      </c>
    </row>
    <row r="283" spans="1:6" ht="15" thickBot="1" x14ac:dyDescent="0.35">
      <c r="A283" s="10" t="s">
        <v>27</v>
      </c>
      <c r="B283" s="11">
        <v>0.70833333333333337</v>
      </c>
      <c r="C283" s="11">
        <v>0.71597222222222223</v>
      </c>
      <c r="D283" s="12">
        <f t="shared" si="5"/>
        <v>7.6388888888888618E-3</v>
      </c>
      <c r="E283" s="10" t="s">
        <v>28</v>
      </c>
      <c r="F283" s="10" t="s">
        <v>13</v>
      </c>
    </row>
    <row r="284" spans="1:6" ht="15" thickBot="1" x14ac:dyDescent="0.35">
      <c r="A284" s="10" t="s">
        <v>20</v>
      </c>
      <c r="B284" s="11">
        <v>0.95833333333333337</v>
      </c>
      <c r="C284" s="11">
        <v>46121.993750000001</v>
      </c>
      <c r="D284" s="12">
        <f t="shared" si="5"/>
        <v>46121.035416666666</v>
      </c>
      <c r="E284" s="10" t="s">
        <v>91</v>
      </c>
      <c r="F284" s="10" t="s">
        <v>13</v>
      </c>
    </row>
    <row r="285" spans="1:6" ht="15" thickBot="1" x14ac:dyDescent="0.35"/>
    <row r="286" spans="1:6" ht="16.2" thickBot="1" x14ac:dyDescent="0.35">
      <c r="E286" s="6" t="s">
        <v>70</v>
      </c>
      <c r="F286" s="6" t="s">
        <v>71</v>
      </c>
    </row>
    <row r="288" spans="1:6" ht="15" thickBot="1" x14ac:dyDescent="0.35"/>
    <row r="289" spans="1:6" ht="29.4" thickBot="1" x14ac:dyDescent="0.35">
      <c r="A289" s="251" t="s">
        <v>92</v>
      </c>
      <c r="B289" s="252"/>
      <c r="C289" s="253"/>
      <c r="D289" s="254">
        <v>46122</v>
      </c>
      <c r="E289" s="255"/>
    </row>
    <row r="290" spans="1:6" ht="18.600000000000001" thickBot="1" x14ac:dyDescent="0.35">
      <c r="A290" s="2" t="s">
        <v>59</v>
      </c>
      <c r="B290" s="2" t="s">
        <v>60</v>
      </c>
      <c r="C290" s="2" t="s">
        <v>61</v>
      </c>
      <c r="D290" s="2" t="s">
        <v>62</v>
      </c>
      <c r="E290" s="2" t="s">
        <v>10</v>
      </c>
    </row>
    <row r="291" spans="1:6" ht="18.600000000000001" thickBot="1" x14ac:dyDescent="0.35">
      <c r="A291" s="7">
        <f>B291+C291+D291</f>
        <v>43</v>
      </c>
      <c r="B291" s="5">
        <v>19</v>
      </c>
      <c r="C291" s="5">
        <v>13</v>
      </c>
      <c r="D291" s="5">
        <v>11</v>
      </c>
      <c r="E291" s="5"/>
    </row>
    <row r="292" spans="1:6" ht="15" thickBot="1" x14ac:dyDescent="0.35">
      <c r="A292" s="1"/>
      <c r="B292" s="1"/>
      <c r="C292" s="1"/>
      <c r="D292" s="1"/>
      <c r="E292" s="1"/>
    </row>
    <row r="293" spans="1:6" ht="29.4" thickBot="1" x14ac:dyDescent="0.35">
      <c r="A293" s="251" t="s">
        <v>72</v>
      </c>
      <c r="B293" s="252"/>
      <c r="C293" s="253"/>
      <c r="D293" s="14">
        <v>46122</v>
      </c>
      <c r="E293" s="13"/>
    </row>
    <row r="294" spans="1:6" ht="18.600000000000001" thickBot="1" x14ac:dyDescent="0.35">
      <c r="A294" s="2" t="s">
        <v>63</v>
      </c>
      <c r="B294" s="2" t="s">
        <v>64</v>
      </c>
      <c r="C294" s="2" t="s">
        <v>65</v>
      </c>
      <c r="D294" s="2" t="s">
        <v>66</v>
      </c>
      <c r="E294" s="1"/>
    </row>
    <row r="295" spans="1:6" ht="18.600000000000001" thickBot="1" x14ac:dyDescent="0.35">
      <c r="A295" s="3">
        <f>B295+C295+D295</f>
        <v>43</v>
      </c>
      <c r="B295" s="4">
        <f>A291-C295</f>
        <v>29</v>
      </c>
      <c r="C295" s="4">
        <v>14</v>
      </c>
      <c r="D295" s="5">
        <v>0</v>
      </c>
      <c r="E295" s="1"/>
    </row>
    <row r="296" spans="1:6" ht="18.600000000000001" thickBot="1" x14ac:dyDescent="0.35">
      <c r="A296" s="15"/>
      <c r="B296" s="15"/>
      <c r="C296" s="15"/>
      <c r="D296" s="15"/>
      <c r="E296" s="1"/>
    </row>
    <row r="297" spans="1:6" ht="29.4" thickBot="1" x14ac:dyDescent="0.35">
      <c r="A297" s="251" t="s">
        <v>145</v>
      </c>
      <c r="B297" s="252"/>
      <c r="C297" s="252"/>
      <c r="D297" s="252"/>
      <c r="E297" s="252"/>
      <c r="F297" s="253"/>
    </row>
    <row r="298" spans="1:6" ht="87.6" thickBot="1" x14ac:dyDescent="0.35">
      <c r="A298" s="2" t="s">
        <v>67</v>
      </c>
      <c r="B298" s="8" t="s">
        <v>68</v>
      </c>
      <c r="C298" s="9" t="s">
        <v>5</v>
      </c>
      <c r="D298" s="9" t="s">
        <v>69</v>
      </c>
      <c r="E298" s="9" t="s">
        <v>3</v>
      </c>
      <c r="F298" s="9" t="s">
        <v>4</v>
      </c>
    </row>
    <row r="299" spans="1:6" ht="15" thickBot="1" x14ac:dyDescent="0.35">
      <c r="A299" s="10" t="s">
        <v>37</v>
      </c>
      <c r="B299" s="11">
        <v>0.16666666666666666</v>
      </c>
      <c r="C299" s="11">
        <v>0.18472222222222223</v>
      </c>
      <c r="D299" s="12">
        <f>C300-B299</f>
        <v>1.1111111111111127E-2</v>
      </c>
      <c r="E299" s="10" t="s">
        <v>13</v>
      </c>
      <c r="F299" s="10" t="s">
        <v>14</v>
      </c>
    </row>
    <row r="300" spans="1:6" ht="15" thickBot="1" x14ac:dyDescent="0.35">
      <c r="A300" s="10" t="s">
        <v>27</v>
      </c>
      <c r="B300" s="11">
        <v>0.16666666666666666</v>
      </c>
      <c r="C300" s="11">
        <v>0.17777777777777778</v>
      </c>
      <c r="D300" s="12">
        <f>C300-B300</f>
        <v>1.1111111111111127E-2</v>
      </c>
      <c r="E300" s="10" t="s">
        <v>13</v>
      </c>
      <c r="F300" s="10" t="s">
        <v>28</v>
      </c>
    </row>
    <row r="301" spans="1:6" ht="15" thickBot="1" x14ac:dyDescent="0.35">
      <c r="A301" s="10" t="s">
        <v>41</v>
      </c>
      <c r="B301" s="11">
        <v>0.16666666666666666</v>
      </c>
      <c r="C301" s="11">
        <v>0.24305555555555555</v>
      </c>
      <c r="D301" s="12">
        <f>C301-B301</f>
        <v>7.6388888888888895E-2</v>
      </c>
      <c r="E301" s="10" t="s">
        <v>13</v>
      </c>
      <c r="F301" s="10" t="s">
        <v>24</v>
      </c>
    </row>
    <row r="302" spans="1:6" ht="15" thickBot="1" x14ac:dyDescent="0.35">
      <c r="A302" s="10" t="s">
        <v>30</v>
      </c>
      <c r="B302" s="11">
        <v>0.16666666666666666</v>
      </c>
      <c r="C302" s="11">
        <v>0.17986111111111111</v>
      </c>
      <c r="D302" s="12">
        <f>C302-B302</f>
        <v>1.3194444444444453E-2</v>
      </c>
      <c r="E302" s="10" t="s">
        <v>31</v>
      </c>
      <c r="F302" s="10" t="s">
        <v>13</v>
      </c>
    </row>
    <row r="303" spans="1:6" ht="15" thickBot="1" x14ac:dyDescent="0.35">
      <c r="A303" s="10" t="s">
        <v>25</v>
      </c>
      <c r="B303" s="11">
        <v>0.20833333333333334</v>
      </c>
      <c r="C303" s="11">
        <v>46122.803472222222</v>
      </c>
      <c r="D303" s="12">
        <f>C305-B303</f>
        <v>0.54374999999999996</v>
      </c>
      <c r="E303" s="10" t="s">
        <v>26</v>
      </c>
      <c r="F303" s="10" t="s">
        <v>13</v>
      </c>
    </row>
    <row r="304" spans="1:6" ht="15" thickBot="1" x14ac:dyDescent="0.35">
      <c r="A304" s="10" t="s">
        <v>89</v>
      </c>
      <c r="B304" s="11">
        <v>0.25</v>
      </c>
      <c r="C304" s="11">
        <v>0.29583333333333334</v>
      </c>
      <c r="D304" s="12">
        <f>C306-B304</f>
        <v>46122.445138888892</v>
      </c>
      <c r="E304" s="10" t="s">
        <v>13</v>
      </c>
      <c r="F304" s="10" t="s">
        <v>35</v>
      </c>
    </row>
    <row r="305" spans="1:6" ht="15" thickBot="1" x14ac:dyDescent="0.35">
      <c r="A305" s="10" t="s">
        <v>39</v>
      </c>
      <c r="B305" s="11">
        <v>0.29166666666666669</v>
      </c>
      <c r="C305" s="11">
        <v>0.75208333333333333</v>
      </c>
      <c r="D305" s="12">
        <f t="shared" ref="D305:D312" si="6">C305-B305</f>
        <v>0.46041666666666664</v>
      </c>
      <c r="E305" s="10" t="s">
        <v>13</v>
      </c>
      <c r="F305" s="10" t="s">
        <v>121</v>
      </c>
    </row>
    <row r="306" spans="1:6" ht="15" thickBot="1" x14ac:dyDescent="0.35">
      <c r="A306" s="10" t="s">
        <v>51</v>
      </c>
      <c r="B306" s="11">
        <v>0.41666666666666669</v>
      </c>
      <c r="C306" s="11">
        <v>46122.695138888892</v>
      </c>
      <c r="D306" s="12">
        <f t="shared" si="6"/>
        <v>46122.278472222228</v>
      </c>
      <c r="E306" s="10" t="s">
        <v>13</v>
      </c>
      <c r="F306" s="10" t="s">
        <v>49</v>
      </c>
    </row>
    <row r="307" spans="1:6" ht="15" thickBot="1" x14ac:dyDescent="0.35">
      <c r="A307" s="10" t="s">
        <v>50</v>
      </c>
      <c r="B307" s="11">
        <v>0.41666666666666669</v>
      </c>
      <c r="C307" s="11">
        <v>0.49583333333333335</v>
      </c>
      <c r="D307" s="12">
        <f t="shared" si="6"/>
        <v>7.9166666666666663E-2</v>
      </c>
      <c r="E307" s="10" t="s">
        <v>31</v>
      </c>
      <c r="F307" s="10" t="s">
        <v>13</v>
      </c>
    </row>
    <row r="308" spans="1:6" ht="15" thickBot="1" x14ac:dyDescent="0.35">
      <c r="A308" s="10" t="s">
        <v>57</v>
      </c>
      <c r="B308" s="11">
        <v>0.45833333333333331</v>
      </c>
      <c r="C308" s="11">
        <v>0.47361111111111115</v>
      </c>
      <c r="D308" s="12">
        <f t="shared" si="6"/>
        <v>1.5277777777777835E-2</v>
      </c>
      <c r="E308" s="10" t="s">
        <v>13</v>
      </c>
      <c r="F308" s="10" t="s">
        <v>24</v>
      </c>
    </row>
    <row r="309" spans="1:6" ht="15" thickBot="1" x14ac:dyDescent="0.35">
      <c r="A309" s="10" t="s">
        <v>20</v>
      </c>
      <c r="B309" s="11">
        <v>0.5</v>
      </c>
      <c r="C309" s="11">
        <v>0.55208333333333337</v>
      </c>
      <c r="D309" s="12">
        <f t="shared" si="6"/>
        <v>5.208333333333337E-2</v>
      </c>
      <c r="E309" s="10" t="s">
        <v>13</v>
      </c>
      <c r="F309" s="10" t="s">
        <v>21</v>
      </c>
    </row>
    <row r="310" spans="1:6" ht="15" thickBot="1" x14ac:dyDescent="0.35">
      <c r="A310" s="10" t="s">
        <v>87</v>
      </c>
      <c r="B310" s="11">
        <v>0.70833333333333337</v>
      </c>
      <c r="C310" s="11">
        <v>0.72291666666666676</v>
      </c>
      <c r="D310" s="12">
        <f t="shared" si="6"/>
        <v>1.4583333333333393E-2</v>
      </c>
      <c r="E310" s="10" t="s">
        <v>85</v>
      </c>
      <c r="F310" s="10" t="s">
        <v>13</v>
      </c>
    </row>
    <row r="311" spans="1:6" ht="15" thickBot="1" x14ac:dyDescent="0.35">
      <c r="A311" s="10" t="s">
        <v>27</v>
      </c>
      <c r="B311" s="11">
        <v>0.70833333333333337</v>
      </c>
      <c r="C311" s="11">
        <v>0.72916666666666663</v>
      </c>
      <c r="D311" s="12">
        <f t="shared" si="6"/>
        <v>2.0833333333333259E-2</v>
      </c>
      <c r="E311" s="10" t="s">
        <v>28</v>
      </c>
      <c r="F311" s="10" t="s">
        <v>13</v>
      </c>
    </row>
    <row r="312" spans="1:6" ht="15" thickBot="1" x14ac:dyDescent="0.35">
      <c r="A312" s="10" t="s">
        <v>97</v>
      </c>
      <c r="B312" s="11">
        <v>0.70833333333333337</v>
      </c>
      <c r="C312" s="11">
        <v>0.72430555555555554</v>
      </c>
      <c r="D312" s="12">
        <f t="shared" si="6"/>
        <v>1.5972222222222165E-2</v>
      </c>
      <c r="E312" s="10" t="s">
        <v>13</v>
      </c>
      <c r="F312" s="10" t="s">
        <v>23</v>
      </c>
    </row>
    <row r="313" spans="1:6" ht="15" thickBot="1" x14ac:dyDescent="0.35"/>
    <row r="314" spans="1:6" ht="16.2" thickBot="1" x14ac:dyDescent="0.35">
      <c r="E314" s="6" t="s">
        <v>70</v>
      </c>
      <c r="F314" s="6" t="s">
        <v>71</v>
      </c>
    </row>
    <row r="317" spans="1:6" ht="15" thickBot="1" x14ac:dyDescent="0.35"/>
    <row r="318" spans="1:6" ht="29.4" thickBot="1" x14ac:dyDescent="0.35">
      <c r="A318" s="251" t="s">
        <v>92</v>
      </c>
      <c r="B318" s="252"/>
      <c r="C318" s="253"/>
      <c r="D318" s="254" t="s">
        <v>147</v>
      </c>
      <c r="E318" s="255"/>
    </row>
    <row r="319" spans="1:6" ht="18.600000000000001" thickBot="1" x14ac:dyDescent="0.35">
      <c r="A319" s="2" t="s">
        <v>59</v>
      </c>
      <c r="B319" s="2" t="s">
        <v>60</v>
      </c>
      <c r="C319" s="2" t="s">
        <v>61</v>
      </c>
      <c r="D319" s="2" t="s">
        <v>62</v>
      </c>
      <c r="E319" s="2" t="s">
        <v>10</v>
      </c>
    </row>
    <row r="320" spans="1:6" ht="18.600000000000001" thickBot="1" x14ac:dyDescent="0.35">
      <c r="A320" s="7">
        <f>B320+C320+D320</f>
        <v>86</v>
      </c>
      <c r="B320" s="5">
        <v>43</v>
      </c>
      <c r="C320" s="5">
        <v>29</v>
      </c>
      <c r="D320" s="5">
        <v>14</v>
      </c>
      <c r="E320" s="5"/>
    </row>
    <row r="321" spans="1:6" ht="15" thickBot="1" x14ac:dyDescent="0.35">
      <c r="A321" s="1"/>
      <c r="B321" s="1"/>
      <c r="C321" s="1"/>
      <c r="D321" s="1"/>
      <c r="E321" s="1"/>
    </row>
    <row r="322" spans="1:6" ht="29.4" thickBot="1" x14ac:dyDescent="0.35">
      <c r="A322" s="251" t="s">
        <v>72</v>
      </c>
      <c r="B322" s="252"/>
      <c r="C322" s="253"/>
      <c r="D322" s="14" t="s">
        <v>147</v>
      </c>
      <c r="E322" s="13"/>
    </row>
    <row r="323" spans="1:6" ht="18.600000000000001" thickBot="1" x14ac:dyDescent="0.35">
      <c r="A323" s="2" t="s">
        <v>63</v>
      </c>
      <c r="B323" s="2" t="s">
        <v>64</v>
      </c>
      <c r="C323" s="2" t="s">
        <v>65</v>
      </c>
      <c r="D323" s="2" t="s">
        <v>66</v>
      </c>
      <c r="E323" s="1"/>
    </row>
    <row r="324" spans="1:6" ht="18.600000000000001" thickBot="1" x14ac:dyDescent="0.35">
      <c r="A324" s="3">
        <f>B324+C324+D324</f>
        <v>86</v>
      </c>
      <c r="B324" s="4">
        <f>A320-C324</f>
        <v>57</v>
      </c>
      <c r="C324" s="4">
        <v>29</v>
      </c>
      <c r="D324" s="5">
        <v>0</v>
      </c>
      <c r="E324" s="1"/>
    </row>
    <row r="325" spans="1:6" ht="18.600000000000001" thickBot="1" x14ac:dyDescent="0.35">
      <c r="A325" s="15"/>
      <c r="B325" s="15"/>
      <c r="C325" s="15"/>
      <c r="D325" s="15"/>
      <c r="E325" s="1"/>
    </row>
    <row r="326" spans="1:6" ht="29.4" thickBot="1" x14ac:dyDescent="0.35">
      <c r="A326" s="251" t="s">
        <v>148</v>
      </c>
      <c r="B326" s="252"/>
      <c r="C326" s="252"/>
      <c r="D326" s="252"/>
      <c r="E326" s="252"/>
      <c r="F326" s="253"/>
    </row>
    <row r="327" spans="1:6" ht="87.6" thickBot="1" x14ac:dyDescent="0.35">
      <c r="A327" s="2" t="s">
        <v>67</v>
      </c>
      <c r="B327" s="8" t="s">
        <v>68</v>
      </c>
      <c r="C327" s="9" t="s">
        <v>5</v>
      </c>
      <c r="D327" s="9" t="s">
        <v>69</v>
      </c>
      <c r="E327" s="9" t="s">
        <v>3</v>
      </c>
      <c r="F327" s="9" t="s">
        <v>4</v>
      </c>
    </row>
    <row r="328" spans="1:6" ht="15" thickBot="1" x14ac:dyDescent="0.35">
      <c r="A328" s="10" t="s">
        <v>84</v>
      </c>
      <c r="B328" s="11">
        <v>0.125</v>
      </c>
      <c r="C328" s="11">
        <v>0.1388888888888889</v>
      </c>
      <c r="D328" s="12">
        <f>C329-B328</f>
        <v>46123.192361111112</v>
      </c>
      <c r="E328" s="10" t="s">
        <v>13</v>
      </c>
      <c r="F328" s="10" t="s">
        <v>85</v>
      </c>
    </row>
    <row r="329" spans="1:6" ht="15" thickBot="1" x14ac:dyDescent="0.35">
      <c r="A329" s="10" t="s">
        <v>83</v>
      </c>
      <c r="B329" s="11">
        <v>0.16666666666666666</v>
      </c>
      <c r="C329" s="11">
        <v>46123.317361111112</v>
      </c>
      <c r="D329" s="12">
        <f>C329-B329</f>
        <v>46123.150694444448</v>
      </c>
      <c r="E329" s="10" t="s">
        <v>13</v>
      </c>
      <c r="F329" s="10" t="s">
        <v>14</v>
      </c>
    </row>
    <row r="330" spans="1:6" ht="15" thickBot="1" x14ac:dyDescent="0.35">
      <c r="A330" s="10" t="s">
        <v>12</v>
      </c>
      <c r="B330" s="11">
        <v>0.16666666666666666</v>
      </c>
      <c r="C330" s="11">
        <v>0.60277777777777775</v>
      </c>
      <c r="D330" s="12">
        <f>C330-B330</f>
        <v>0.43611111111111112</v>
      </c>
      <c r="E330" s="10" t="s">
        <v>13</v>
      </c>
      <c r="F330" s="10" t="s">
        <v>14</v>
      </c>
    </row>
    <row r="331" spans="1:6" ht="15" thickBot="1" x14ac:dyDescent="0.35">
      <c r="A331" s="10" t="s">
        <v>27</v>
      </c>
      <c r="B331" s="11">
        <v>0.16666666666666666</v>
      </c>
      <c r="C331" s="11">
        <v>0.19583333333333333</v>
      </c>
      <c r="D331" s="12">
        <f>C331-B331</f>
        <v>2.9166666666666674E-2</v>
      </c>
      <c r="E331" s="10" t="s">
        <v>13</v>
      </c>
      <c r="F331" s="10" t="s">
        <v>28</v>
      </c>
    </row>
    <row r="332" spans="1:6" ht="15" thickBot="1" x14ac:dyDescent="0.35">
      <c r="A332" s="10" t="s">
        <v>41</v>
      </c>
      <c r="B332" s="11">
        <v>0.16666666666666666</v>
      </c>
      <c r="C332" s="11">
        <v>0.20208333333333331</v>
      </c>
      <c r="D332" s="12">
        <f>C334-B332</f>
        <v>5.0694444444444459E-2</v>
      </c>
      <c r="E332" s="10" t="s">
        <v>13</v>
      </c>
      <c r="F332" s="10" t="s">
        <v>24</v>
      </c>
    </row>
    <row r="333" spans="1:6" ht="15" thickBot="1" x14ac:dyDescent="0.35">
      <c r="A333" s="10" t="s">
        <v>29</v>
      </c>
      <c r="B333" s="11">
        <v>0.16666666666666666</v>
      </c>
      <c r="C333" s="11">
        <v>0.20555555555555557</v>
      </c>
      <c r="D333" s="12">
        <f>C335-B333</f>
        <v>9.2361111111111144E-2</v>
      </c>
      <c r="E333" s="10" t="s">
        <v>17</v>
      </c>
      <c r="F333" s="10" t="s">
        <v>15</v>
      </c>
    </row>
    <row r="334" spans="1:6" ht="15" thickBot="1" x14ac:dyDescent="0.35">
      <c r="A334" s="10" t="s">
        <v>82</v>
      </c>
      <c r="B334" s="11">
        <v>0.20833333333333334</v>
      </c>
      <c r="C334" s="11">
        <v>0.21736111111111112</v>
      </c>
      <c r="D334" s="12">
        <f t="shared" ref="D334:D356" si="7">C334-B334</f>
        <v>9.0277777777777735E-3</v>
      </c>
      <c r="E334" s="10" t="s">
        <v>26</v>
      </c>
      <c r="F334" s="10" t="s">
        <v>13</v>
      </c>
    </row>
    <row r="335" spans="1:6" ht="15" thickBot="1" x14ac:dyDescent="0.35">
      <c r="A335" s="10" t="s">
        <v>89</v>
      </c>
      <c r="B335" s="11">
        <v>0.25</v>
      </c>
      <c r="C335" s="11">
        <v>0.2590277777777778</v>
      </c>
      <c r="D335" s="12">
        <f t="shared" si="7"/>
        <v>9.0277777777778012E-3</v>
      </c>
      <c r="E335" s="10" t="s">
        <v>13</v>
      </c>
      <c r="F335" s="10" t="s">
        <v>35</v>
      </c>
    </row>
    <row r="336" spans="1:6" ht="15" thickBot="1" x14ac:dyDescent="0.35">
      <c r="A336" s="10" t="s">
        <v>58</v>
      </c>
      <c r="B336" s="11">
        <v>0.27083333333333331</v>
      </c>
      <c r="C336" s="11">
        <v>46123.382638888892</v>
      </c>
      <c r="D336" s="12">
        <f t="shared" si="7"/>
        <v>46123.111805555556</v>
      </c>
      <c r="E336" s="10" t="s">
        <v>13</v>
      </c>
      <c r="F336" s="10" t="s">
        <v>14</v>
      </c>
    </row>
    <row r="337" spans="1:6" ht="15" thickBot="1" x14ac:dyDescent="0.35">
      <c r="A337" s="10" t="s">
        <v>48</v>
      </c>
      <c r="B337" s="11">
        <v>0.41666666666666669</v>
      </c>
      <c r="C337" s="11">
        <v>46123.568055555559</v>
      </c>
      <c r="D337" s="12">
        <f t="shared" si="7"/>
        <v>46123.151388888895</v>
      </c>
      <c r="E337" s="10" t="s">
        <v>13</v>
      </c>
      <c r="F337" s="10" t="s">
        <v>49</v>
      </c>
    </row>
    <row r="338" spans="1:6" ht="15" thickBot="1" x14ac:dyDescent="0.35">
      <c r="A338" s="10" t="s">
        <v>146</v>
      </c>
      <c r="B338" s="11">
        <v>0.4375</v>
      </c>
      <c r="C338" s="11">
        <v>0.46249999999999997</v>
      </c>
      <c r="D338" s="12">
        <f t="shared" si="7"/>
        <v>2.4999999999999967E-2</v>
      </c>
      <c r="E338" s="10" t="s">
        <v>15</v>
      </c>
      <c r="F338" s="10" t="s">
        <v>13</v>
      </c>
    </row>
    <row r="339" spans="1:6" ht="15" thickBot="1" x14ac:dyDescent="0.35">
      <c r="A339" s="10" t="s">
        <v>57</v>
      </c>
      <c r="B339" s="11">
        <v>0.45833333333333331</v>
      </c>
      <c r="C339" s="11">
        <v>0.50902777777777775</v>
      </c>
      <c r="D339" s="12">
        <f t="shared" si="7"/>
        <v>5.0694444444444431E-2</v>
      </c>
      <c r="E339" s="10" t="s">
        <v>13</v>
      </c>
      <c r="F339" s="10" t="s">
        <v>24</v>
      </c>
    </row>
    <row r="340" spans="1:6" ht="15" thickBot="1" x14ac:dyDescent="0.35">
      <c r="A340" s="10" t="s">
        <v>20</v>
      </c>
      <c r="B340" s="11">
        <v>0.5</v>
      </c>
      <c r="C340" s="11">
        <v>0.54999999999999993</v>
      </c>
      <c r="D340" s="12">
        <f t="shared" si="7"/>
        <v>4.9999999999999933E-2</v>
      </c>
      <c r="E340" s="10" t="s">
        <v>13</v>
      </c>
      <c r="F340" s="10" t="s">
        <v>21</v>
      </c>
    </row>
    <row r="341" spans="1:6" ht="15" thickBot="1" x14ac:dyDescent="0.35">
      <c r="A341" s="10" t="s">
        <v>56</v>
      </c>
      <c r="B341" s="11">
        <v>0.54166666666666663</v>
      </c>
      <c r="C341" s="11">
        <v>0.67291666666666661</v>
      </c>
      <c r="D341" s="12">
        <f t="shared" si="7"/>
        <v>0.13124999999999998</v>
      </c>
      <c r="E341" s="10" t="s">
        <v>13</v>
      </c>
      <c r="F341" s="10" t="s">
        <v>15</v>
      </c>
    </row>
    <row r="342" spans="1:6" ht="15" thickBot="1" x14ac:dyDescent="0.35">
      <c r="A342" s="10" t="s">
        <v>53</v>
      </c>
      <c r="B342" s="11">
        <v>0.64583333333333337</v>
      </c>
      <c r="C342" s="11">
        <v>46123.709722222222</v>
      </c>
      <c r="D342" s="12">
        <f t="shared" si="7"/>
        <v>46123.063888888886</v>
      </c>
      <c r="E342" s="10" t="s">
        <v>19</v>
      </c>
      <c r="F342" s="10" t="s">
        <v>13</v>
      </c>
    </row>
    <row r="343" spans="1:6" ht="15" thickBot="1" x14ac:dyDescent="0.35">
      <c r="A343" s="10" t="s">
        <v>54</v>
      </c>
      <c r="B343" s="11">
        <v>0.70833333333333337</v>
      </c>
      <c r="C343" s="11">
        <v>0.72638888888888886</v>
      </c>
      <c r="D343" s="12">
        <f t="shared" si="7"/>
        <v>1.8055555555555491E-2</v>
      </c>
      <c r="E343" s="10" t="s">
        <v>13</v>
      </c>
      <c r="F343" s="10" t="s">
        <v>24</v>
      </c>
    </row>
    <row r="344" spans="1:6" ht="15" thickBot="1" x14ac:dyDescent="0.35">
      <c r="A344" s="10" t="s">
        <v>27</v>
      </c>
      <c r="B344" s="11">
        <v>0.70833333333333337</v>
      </c>
      <c r="C344" s="11">
        <v>0.72499999999999998</v>
      </c>
      <c r="D344" s="12">
        <f t="shared" si="7"/>
        <v>1.6666666666666607E-2</v>
      </c>
      <c r="E344" s="10" t="s">
        <v>28</v>
      </c>
      <c r="F344" s="10" t="s">
        <v>13</v>
      </c>
    </row>
    <row r="345" spans="1:6" ht="15" thickBot="1" x14ac:dyDescent="0.35">
      <c r="A345" s="10" t="s">
        <v>42</v>
      </c>
      <c r="B345" s="11">
        <v>0.875</v>
      </c>
      <c r="C345" s="11">
        <v>0.92499999999999993</v>
      </c>
      <c r="D345" s="12">
        <f t="shared" si="7"/>
        <v>4.9999999999999933E-2</v>
      </c>
      <c r="E345" s="10" t="s">
        <v>55</v>
      </c>
      <c r="F345" s="10" t="s">
        <v>13</v>
      </c>
    </row>
    <row r="346" spans="1:6" ht="15" thickBot="1" x14ac:dyDescent="0.35">
      <c r="A346" s="10" t="s">
        <v>97</v>
      </c>
      <c r="B346" s="11">
        <v>0.125</v>
      </c>
      <c r="C346" s="11">
        <v>46124.131249999999</v>
      </c>
      <c r="D346" s="12">
        <f t="shared" si="7"/>
        <v>46124.006249999999</v>
      </c>
      <c r="E346" s="10" t="s">
        <v>23</v>
      </c>
      <c r="F346" s="10" t="s">
        <v>13</v>
      </c>
    </row>
    <row r="347" spans="1:6" ht="15" thickBot="1" x14ac:dyDescent="0.35">
      <c r="A347" s="10" t="s">
        <v>87</v>
      </c>
      <c r="B347" s="11">
        <v>0.125</v>
      </c>
      <c r="C347" s="11">
        <v>0.13958333333333334</v>
      </c>
      <c r="D347" s="12">
        <f t="shared" si="7"/>
        <v>1.4583333333333337E-2</v>
      </c>
      <c r="E347" s="10" t="s">
        <v>13</v>
      </c>
      <c r="F347" s="10" t="s">
        <v>85</v>
      </c>
    </row>
    <row r="348" spans="1:6" ht="15" thickBot="1" x14ac:dyDescent="0.35">
      <c r="A348" s="10" t="s">
        <v>54</v>
      </c>
      <c r="B348" s="11">
        <v>0.125</v>
      </c>
      <c r="C348" s="11">
        <v>0.18402777777777779</v>
      </c>
      <c r="D348" s="12">
        <f t="shared" si="7"/>
        <v>5.902777777777779E-2</v>
      </c>
      <c r="E348" s="10" t="s">
        <v>24</v>
      </c>
      <c r="F348" s="10" t="s">
        <v>13</v>
      </c>
    </row>
    <row r="349" spans="1:6" ht="15" thickBot="1" x14ac:dyDescent="0.35">
      <c r="A349" s="10" t="s">
        <v>41</v>
      </c>
      <c r="B349" s="11">
        <v>0.16666666666666666</v>
      </c>
      <c r="C349" s="11">
        <v>0.27986111111111112</v>
      </c>
      <c r="D349" s="12">
        <f t="shared" si="7"/>
        <v>0.11319444444444446</v>
      </c>
      <c r="E349" s="10" t="s">
        <v>13</v>
      </c>
      <c r="F349" s="10" t="s">
        <v>24</v>
      </c>
    </row>
    <row r="350" spans="1:6" ht="15" thickBot="1" x14ac:dyDescent="0.35">
      <c r="A350" s="10" t="s">
        <v>52</v>
      </c>
      <c r="B350" s="11">
        <v>0.29166666666666669</v>
      </c>
      <c r="C350" s="11">
        <v>0.46527777777777773</v>
      </c>
      <c r="D350" s="12">
        <f t="shared" si="7"/>
        <v>0.17361111111111105</v>
      </c>
      <c r="E350" s="10" t="s">
        <v>15</v>
      </c>
      <c r="F350" s="10" t="s">
        <v>13</v>
      </c>
    </row>
    <row r="351" spans="1:6" ht="15" thickBot="1" x14ac:dyDescent="0.35">
      <c r="A351" s="10" t="s">
        <v>83</v>
      </c>
      <c r="B351" s="11">
        <v>0.25</v>
      </c>
      <c r="C351" s="11">
        <v>0.2673611111111111</v>
      </c>
      <c r="D351" s="12">
        <f t="shared" si="7"/>
        <v>1.7361111111111105E-2</v>
      </c>
      <c r="E351" s="10" t="s">
        <v>14</v>
      </c>
      <c r="F351" s="10" t="s">
        <v>13</v>
      </c>
    </row>
    <row r="352" spans="1:6" ht="15" thickBot="1" x14ac:dyDescent="0.35">
      <c r="A352" s="10" t="s">
        <v>12</v>
      </c>
      <c r="B352" s="11">
        <v>0.27083333333333331</v>
      </c>
      <c r="C352" s="11">
        <v>0.3527777777777778</v>
      </c>
      <c r="D352" s="12">
        <f t="shared" si="7"/>
        <v>8.1944444444444486E-2</v>
      </c>
      <c r="E352" s="10" t="s">
        <v>14</v>
      </c>
      <c r="F352" s="10" t="s">
        <v>13</v>
      </c>
    </row>
    <row r="353" spans="1:6" ht="15" thickBot="1" x14ac:dyDescent="0.35">
      <c r="A353" s="10" t="s">
        <v>99</v>
      </c>
      <c r="B353" s="11">
        <v>0.29166666666666669</v>
      </c>
      <c r="C353" s="11">
        <v>46124.404861111114</v>
      </c>
      <c r="D353" s="12">
        <f t="shared" si="7"/>
        <v>46124.11319444445</v>
      </c>
      <c r="E353" s="10" t="s">
        <v>13</v>
      </c>
      <c r="F353" s="10" t="s">
        <v>103</v>
      </c>
    </row>
    <row r="354" spans="1:6" ht="15" thickBot="1" x14ac:dyDescent="0.35">
      <c r="A354" s="10" t="s">
        <v>42</v>
      </c>
      <c r="B354" s="11">
        <v>0.3125</v>
      </c>
      <c r="C354" s="11">
        <v>0.31944444444444448</v>
      </c>
      <c r="D354" s="12">
        <f t="shared" si="7"/>
        <v>6.9444444444444753E-3</v>
      </c>
      <c r="E354" s="10" t="s">
        <v>13</v>
      </c>
      <c r="F354" s="10" t="s">
        <v>43</v>
      </c>
    </row>
    <row r="355" spans="1:6" ht="15" thickBot="1" x14ac:dyDescent="0.35">
      <c r="A355" s="10" t="s">
        <v>51</v>
      </c>
      <c r="B355" s="11">
        <v>0.41666666666666669</v>
      </c>
      <c r="C355" s="11">
        <v>0.50624999999999998</v>
      </c>
      <c r="D355" s="12">
        <f t="shared" si="7"/>
        <v>8.9583333333333293E-2</v>
      </c>
      <c r="E355" s="10" t="s">
        <v>13</v>
      </c>
      <c r="F355" s="10" t="s">
        <v>49</v>
      </c>
    </row>
    <row r="356" spans="1:6" ht="15" thickBot="1" x14ac:dyDescent="0.35">
      <c r="A356" s="10" t="s">
        <v>57</v>
      </c>
      <c r="B356" s="11">
        <v>0.45833333333333331</v>
      </c>
      <c r="C356" s="11">
        <v>0.48333333333333334</v>
      </c>
      <c r="D356" s="12">
        <f t="shared" si="7"/>
        <v>2.5000000000000022E-2</v>
      </c>
      <c r="E356" s="10" t="s">
        <v>13</v>
      </c>
      <c r="F356" s="10" t="s">
        <v>24</v>
      </c>
    </row>
    <row r="357" spans="1:6" ht="15" thickBot="1" x14ac:dyDescent="0.35"/>
    <row r="358" spans="1:6" ht="16.2" thickBot="1" x14ac:dyDescent="0.35">
      <c r="E358" s="6" t="s">
        <v>70</v>
      </c>
      <c r="F358" s="6" t="s">
        <v>71</v>
      </c>
    </row>
    <row r="360" spans="1:6" ht="15" thickBot="1" x14ac:dyDescent="0.35"/>
    <row r="361" spans="1:6" ht="29.4" thickBot="1" x14ac:dyDescent="0.35">
      <c r="A361" s="251" t="s">
        <v>92</v>
      </c>
      <c r="B361" s="252"/>
      <c r="C361" s="253"/>
      <c r="D361" s="254">
        <v>46126</v>
      </c>
      <c r="E361" s="255"/>
    </row>
    <row r="362" spans="1:6" ht="18.600000000000001" thickBot="1" x14ac:dyDescent="0.35">
      <c r="A362" s="2" t="s">
        <v>59</v>
      </c>
      <c r="B362" s="2" t="s">
        <v>60</v>
      </c>
      <c r="C362" s="2" t="s">
        <v>61</v>
      </c>
      <c r="D362" s="2" t="s">
        <v>62</v>
      </c>
      <c r="E362" s="2" t="s">
        <v>10</v>
      </c>
    </row>
    <row r="363" spans="1:6" ht="18.600000000000001" thickBot="1" x14ac:dyDescent="0.35">
      <c r="A363" s="7">
        <f>B363+C363+D363</f>
        <v>45</v>
      </c>
      <c r="B363" s="5">
        <v>23</v>
      </c>
      <c r="C363" s="5">
        <v>12</v>
      </c>
      <c r="D363" s="5">
        <v>10</v>
      </c>
      <c r="E363" s="5"/>
    </row>
    <row r="364" spans="1:6" ht="15" thickBot="1" x14ac:dyDescent="0.35">
      <c r="A364" s="1"/>
      <c r="B364" s="1"/>
      <c r="C364" s="1"/>
      <c r="D364" s="1"/>
      <c r="E364" s="1"/>
    </row>
    <row r="365" spans="1:6" ht="29.4" thickBot="1" x14ac:dyDescent="0.35">
      <c r="A365" s="251" t="s">
        <v>72</v>
      </c>
      <c r="B365" s="252"/>
      <c r="C365" s="253"/>
      <c r="D365" s="14">
        <v>46126</v>
      </c>
      <c r="E365" s="13"/>
    </row>
    <row r="366" spans="1:6" ht="18.600000000000001" thickBot="1" x14ac:dyDescent="0.35">
      <c r="A366" s="2" t="s">
        <v>63</v>
      </c>
      <c r="B366" s="2" t="s">
        <v>64</v>
      </c>
      <c r="C366" s="2" t="s">
        <v>65</v>
      </c>
      <c r="D366" s="2" t="s">
        <v>66</v>
      </c>
      <c r="E366" s="1"/>
    </row>
    <row r="367" spans="1:6" ht="18.600000000000001" thickBot="1" x14ac:dyDescent="0.35">
      <c r="A367" s="3">
        <f>B367+C367+D367</f>
        <v>45</v>
      </c>
      <c r="B367" s="4">
        <f>A363-C367</f>
        <v>37</v>
      </c>
      <c r="C367" s="4">
        <v>8</v>
      </c>
      <c r="D367" s="5">
        <v>0</v>
      </c>
      <c r="E367" s="1"/>
    </row>
    <row r="368" spans="1:6" ht="18.600000000000001" thickBot="1" x14ac:dyDescent="0.35">
      <c r="A368" s="15"/>
      <c r="B368" s="15"/>
      <c r="C368" s="15"/>
      <c r="D368" s="15"/>
      <c r="E368" s="1"/>
    </row>
    <row r="369" spans="1:6" ht="29.4" thickBot="1" x14ac:dyDescent="0.35">
      <c r="A369" s="251" t="s">
        <v>149</v>
      </c>
      <c r="B369" s="252"/>
      <c r="C369" s="252"/>
      <c r="D369" s="252"/>
      <c r="E369" s="252"/>
      <c r="F369" s="253"/>
    </row>
    <row r="370" spans="1:6" ht="87.6" thickBot="1" x14ac:dyDescent="0.35">
      <c r="A370" s="2" t="s">
        <v>67</v>
      </c>
      <c r="B370" s="8" t="s">
        <v>68</v>
      </c>
      <c r="C370" s="9" t="s">
        <v>5</v>
      </c>
      <c r="D370" s="9" t="s">
        <v>69</v>
      </c>
      <c r="E370" s="9" t="s">
        <v>3</v>
      </c>
      <c r="F370" s="9" t="s">
        <v>4</v>
      </c>
    </row>
    <row r="371" spans="1:6" ht="15" thickBot="1" x14ac:dyDescent="0.35">
      <c r="A371" s="10" t="s">
        <v>87</v>
      </c>
      <c r="B371" s="11">
        <v>0.125</v>
      </c>
      <c r="C371" s="11">
        <v>0.16180555555555556</v>
      </c>
      <c r="D371" s="12">
        <f>C372-B371</f>
        <v>0.20416666666666666</v>
      </c>
      <c r="E371" s="10" t="s">
        <v>13</v>
      </c>
      <c r="F371" s="10" t="s">
        <v>85</v>
      </c>
    </row>
    <row r="372" spans="1:6" ht="15" thickBot="1" x14ac:dyDescent="0.35">
      <c r="A372" s="10" t="s">
        <v>25</v>
      </c>
      <c r="B372" s="11">
        <v>0.14583333333333334</v>
      </c>
      <c r="C372" s="11">
        <v>0.32916666666666666</v>
      </c>
      <c r="D372" s="12">
        <f>C372-B372</f>
        <v>0.18333333333333332</v>
      </c>
      <c r="E372" s="10" t="s">
        <v>13</v>
      </c>
      <c r="F372" s="10" t="s">
        <v>26</v>
      </c>
    </row>
    <row r="373" spans="1:6" ht="15" thickBot="1" x14ac:dyDescent="0.35">
      <c r="A373" s="10" t="s">
        <v>16</v>
      </c>
      <c r="B373" s="11">
        <v>0.16666666666666666</v>
      </c>
      <c r="C373" s="11">
        <v>0.22361111111111109</v>
      </c>
      <c r="D373" s="12">
        <f>C373-B373</f>
        <v>5.6944444444444436E-2</v>
      </c>
      <c r="E373" s="10" t="s">
        <v>17</v>
      </c>
      <c r="F373" s="10" t="s">
        <v>15</v>
      </c>
    </row>
    <row r="374" spans="1:6" ht="15" thickBot="1" x14ac:dyDescent="0.35">
      <c r="A374" s="10" t="s">
        <v>32</v>
      </c>
      <c r="B374" s="11">
        <v>0.1875</v>
      </c>
      <c r="C374" s="11">
        <v>0.19375000000000001</v>
      </c>
      <c r="D374" s="12">
        <f>C374-B374</f>
        <v>6.2500000000000056E-3</v>
      </c>
      <c r="E374" s="10" t="s">
        <v>13</v>
      </c>
      <c r="F374" s="10" t="s">
        <v>33</v>
      </c>
    </row>
    <row r="375" spans="1:6" ht="15" thickBot="1" x14ac:dyDescent="0.35">
      <c r="A375" s="10" t="s">
        <v>89</v>
      </c>
      <c r="B375" s="11">
        <v>0.25</v>
      </c>
      <c r="C375" s="11">
        <v>0.26458333333333334</v>
      </c>
      <c r="D375" s="12">
        <f>C377-B375</f>
        <v>0.4868055555555556</v>
      </c>
      <c r="E375" s="10" t="s">
        <v>13</v>
      </c>
      <c r="F375" s="10" t="s">
        <v>35</v>
      </c>
    </row>
    <row r="376" spans="1:6" ht="15" thickBot="1" x14ac:dyDescent="0.35">
      <c r="A376" s="10" t="s">
        <v>20</v>
      </c>
      <c r="B376" s="11">
        <v>0.5</v>
      </c>
      <c r="C376" s="11">
        <v>46126.750694444447</v>
      </c>
      <c r="D376" s="12">
        <f>C378-B376</f>
        <v>0.3965277777777777</v>
      </c>
      <c r="E376" s="10" t="s">
        <v>13</v>
      </c>
      <c r="F376" s="10" t="s">
        <v>21</v>
      </c>
    </row>
    <row r="377" spans="1:6" ht="15" thickBot="1" x14ac:dyDescent="0.35">
      <c r="A377" s="10" t="s">
        <v>27</v>
      </c>
      <c r="B377" s="11">
        <v>0.70833333333333337</v>
      </c>
      <c r="C377" s="11">
        <v>0.7368055555555556</v>
      </c>
      <c r="D377" s="12">
        <f>C377-B377</f>
        <v>2.8472222222222232E-2</v>
      </c>
      <c r="E377" s="10" t="s">
        <v>28</v>
      </c>
      <c r="F377" s="10" t="s">
        <v>13</v>
      </c>
    </row>
    <row r="378" spans="1:6" ht="15" thickBot="1" x14ac:dyDescent="0.35">
      <c r="A378" s="10" t="s">
        <v>42</v>
      </c>
      <c r="B378" s="11">
        <v>0.875</v>
      </c>
      <c r="C378" s="11">
        <v>0.8965277777777777</v>
      </c>
      <c r="D378" s="12">
        <f>C378-B378</f>
        <v>2.1527777777777701E-2</v>
      </c>
      <c r="E378" s="10" t="s">
        <v>55</v>
      </c>
      <c r="F378" s="10" t="s">
        <v>13</v>
      </c>
    </row>
    <row r="379" spans="1:6" ht="15" thickBot="1" x14ac:dyDescent="0.35"/>
    <row r="380" spans="1:6" ht="16.2" thickBot="1" x14ac:dyDescent="0.35">
      <c r="E380" s="6" t="s">
        <v>70</v>
      </c>
      <c r="F380" s="6" t="s">
        <v>71</v>
      </c>
    </row>
    <row r="382" spans="1:6" ht="15" thickBot="1" x14ac:dyDescent="0.35"/>
    <row r="383" spans="1:6" ht="29.4" thickBot="1" x14ac:dyDescent="0.35">
      <c r="A383" s="251" t="s">
        <v>92</v>
      </c>
      <c r="B383" s="252"/>
      <c r="C383" s="253"/>
      <c r="D383" s="254">
        <v>46127</v>
      </c>
      <c r="E383" s="255"/>
    </row>
    <row r="384" spans="1:6" ht="18.600000000000001" thickBot="1" x14ac:dyDescent="0.35">
      <c r="A384" s="2" t="s">
        <v>59</v>
      </c>
      <c r="B384" s="2" t="s">
        <v>60</v>
      </c>
      <c r="C384" s="2" t="s">
        <v>61</v>
      </c>
      <c r="D384" s="2" t="s">
        <v>62</v>
      </c>
      <c r="E384" s="2" t="s">
        <v>10</v>
      </c>
    </row>
    <row r="385" spans="1:6" ht="18.600000000000001" thickBot="1" x14ac:dyDescent="0.35">
      <c r="A385" s="7">
        <f>B385+C385+D385</f>
        <v>38</v>
      </c>
      <c r="B385" s="5">
        <v>21</v>
      </c>
      <c r="C385" s="5">
        <v>16</v>
      </c>
      <c r="D385" s="5">
        <v>1</v>
      </c>
      <c r="E385" s="5"/>
    </row>
    <row r="386" spans="1:6" ht="15" thickBot="1" x14ac:dyDescent="0.35">
      <c r="A386" s="1"/>
      <c r="B386" s="1"/>
      <c r="C386" s="1"/>
      <c r="D386" s="1"/>
      <c r="E386" s="1"/>
    </row>
    <row r="387" spans="1:6" ht="29.4" thickBot="1" x14ac:dyDescent="0.35">
      <c r="A387" s="251" t="s">
        <v>72</v>
      </c>
      <c r="B387" s="252"/>
      <c r="C387" s="253"/>
      <c r="D387" s="14">
        <v>46127</v>
      </c>
      <c r="E387" s="13"/>
    </row>
    <row r="388" spans="1:6" ht="18.600000000000001" thickBot="1" x14ac:dyDescent="0.35">
      <c r="A388" s="2" t="s">
        <v>63</v>
      </c>
      <c r="B388" s="2" t="s">
        <v>64</v>
      </c>
      <c r="C388" s="2" t="s">
        <v>65</v>
      </c>
      <c r="D388" s="2" t="s">
        <v>66</v>
      </c>
      <c r="E388" s="1"/>
    </row>
    <row r="389" spans="1:6" ht="18.600000000000001" thickBot="1" x14ac:dyDescent="0.35">
      <c r="A389" s="3">
        <f>B389+C389+D389</f>
        <v>38</v>
      </c>
      <c r="B389" s="4">
        <f>A385-C389</f>
        <v>32</v>
      </c>
      <c r="C389" s="4">
        <v>6</v>
      </c>
      <c r="D389" s="5">
        <v>0</v>
      </c>
      <c r="E389" s="1"/>
    </row>
    <row r="390" spans="1:6" ht="18.600000000000001" thickBot="1" x14ac:dyDescent="0.35">
      <c r="A390" s="15"/>
      <c r="B390" s="15"/>
      <c r="C390" s="15"/>
      <c r="D390" s="15"/>
      <c r="E390" s="1"/>
    </row>
    <row r="391" spans="1:6" ht="29.4" thickBot="1" x14ac:dyDescent="0.35">
      <c r="A391" s="251" t="s">
        <v>150</v>
      </c>
      <c r="B391" s="252"/>
      <c r="C391" s="252"/>
      <c r="D391" s="252"/>
      <c r="E391" s="252"/>
      <c r="F391" s="253"/>
    </row>
    <row r="392" spans="1:6" ht="87.6" thickBot="1" x14ac:dyDescent="0.35">
      <c r="A392" s="2" t="s">
        <v>67</v>
      </c>
      <c r="B392" s="8" t="s">
        <v>68</v>
      </c>
      <c r="C392" s="9" t="s">
        <v>5</v>
      </c>
      <c r="D392" s="9" t="s">
        <v>69</v>
      </c>
      <c r="E392" s="9" t="s">
        <v>3</v>
      </c>
      <c r="F392" s="9" t="s">
        <v>4</v>
      </c>
    </row>
    <row r="393" spans="1:6" ht="15" thickBot="1" x14ac:dyDescent="0.35">
      <c r="A393" s="10" t="s">
        <v>41</v>
      </c>
      <c r="B393" s="11">
        <v>0.16666666666666666</v>
      </c>
      <c r="C393" s="11">
        <v>0.1875</v>
      </c>
      <c r="D393" s="12">
        <f>C394-B393</f>
        <v>0.17013888888888892</v>
      </c>
      <c r="E393" s="10" t="s">
        <v>13</v>
      </c>
      <c r="F393" s="10" t="s">
        <v>24</v>
      </c>
    </row>
    <row r="394" spans="1:6" ht="15" thickBot="1" x14ac:dyDescent="0.35">
      <c r="A394" s="10" t="s">
        <v>52</v>
      </c>
      <c r="B394" s="11">
        <v>0.29166666666666669</v>
      </c>
      <c r="C394" s="11">
        <v>0.33680555555555558</v>
      </c>
      <c r="D394" s="12">
        <f>C394-B394</f>
        <v>4.5138888888888895E-2</v>
      </c>
      <c r="E394" s="10" t="s">
        <v>15</v>
      </c>
      <c r="F394" s="10" t="s">
        <v>13</v>
      </c>
    </row>
    <row r="395" spans="1:6" ht="15" thickBot="1" x14ac:dyDescent="0.35">
      <c r="A395" s="10" t="s">
        <v>90</v>
      </c>
      <c r="B395" s="11">
        <v>0.4375</v>
      </c>
      <c r="C395" s="11">
        <v>0.45902777777777781</v>
      </c>
      <c r="D395" s="12">
        <f>C395-B395</f>
        <v>2.1527777777777812E-2</v>
      </c>
      <c r="E395" s="10" t="s">
        <v>15</v>
      </c>
      <c r="F395" s="10" t="s">
        <v>13</v>
      </c>
    </row>
    <row r="396" spans="1:6" ht="15" thickBot="1" x14ac:dyDescent="0.35">
      <c r="A396" s="10" t="s">
        <v>84</v>
      </c>
      <c r="B396" s="11">
        <v>0.70833333333333337</v>
      </c>
      <c r="C396" s="11">
        <v>46127.725694444445</v>
      </c>
      <c r="D396" s="12">
        <f>C396-B396</f>
        <v>46127.017361111109</v>
      </c>
      <c r="E396" s="10" t="s">
        <v>85</v>
      </c>
      <c r="F396" s="10" t="s">
        <v>13</v>
      </c>
    </row>
    <row r="397" spans="1:6" ht="15" thickBot="1" x14ac:dyDescent="0.35">
      <c r="A397" s="10" t="s">
        <v>27</v>
      </c>
      <c r="B397" s="11">
        <v>0.70833333333333337</v>
      </c>
      <c r="C397" s="11">
        <v>0.73263888888888884</v>
      </c>
      <c r="D397" s="12">
        <f>C397-B397</f>
        <v>2.4305555555555469E-2</v>
      </c>
      <c r="E397" s="10" t="s">
        <v>28</v>
      </c>
      <c r="F397" s="10" t="s">
        <v>13</v>
      </c>
    </row>
    <row r="398" spans="1:6" ht="15" thickBot="1" x14ac:dyDescent="0.35">
      <c r="A398" s="10" t="s">
        <v>42</v>
      </c>
      <c r="B398" s="11">
        <v>0.875</v>
      </c>
      <c r="C398" s="11">
        <v>0.89583333333333337</v>
      </c>
      <c r="D398" s="12">
        <f>C398-B398</f>
        <v>2.083333333333337E-2</v>
      </c>
      <c r="E398" s="10" t="s">
        <v>55</v>
      </c>
      <c r="F398" s="10" t="s">
        <v>13</v>
      </c>
    </row>
    <row r="399" spans="1:6" ht="15" thickBot="1" x14ac:dyDescent="0.35"/>
    <row r="400" spans="1:6" ht="16.2" thickBot="1" x14ac:dyDescent="0.35">
      <c r="E400" s="6" t="s">
        <v>70</v>
      </c>
      <c r="F400" s="6" t="s">
        <v>71</v>
      </c>
    </row>
    <row r="402" spans="1:6" ht="15" thickBot="1" x14ac:dyDescent="0.35"/>
    <row r="403" spans="1:6" ht="29.4" thickBot="1" x14ac:dyDescent="0.35">
      <c r="A403" s="251" t="s">
        <v>92</v>
      </c>
      <c r="B403" s="252"/>
      <c r="C403" s="253"/>
      <c r="D403" s="254">
        <v>46128</v>
      </c>
      <c r="E403" s="255"/>
    </row>
    <row r="404" spans="1:6" ht="18.600000000000001" thickBot="1" x14ac:dyDescent="0.35">
      <c r="A404" s="2" t="s">
        <v>59</v>
      </c>
      <c r="B404" s="2" t="s">
        <v>60</v>
      </c>
      <c r="C404" s="2" t="s">
        <v>61</v>
      </c>
      <c r="D404" s="2" t="s">
        <v>62</v>
      </c>
      <c r="E404" s="2" t="s">
        <v>10</v>
      </c>
    </row>
    <row r="405" spans="1:6" ht="18.600000000000001" thickBot="1" x14ac:dyDescent="0.35">
      <c r="A405" s="7">
        <f>B405+C405+D405</f>
        <v>40</v>
      </c>
      <c r="B405" s="5">
        <v>22</v>
      </c>
      <c r="C405" s="5">
        <v>16</v>
      </c>
      <c r="D405" s="5">
        <v>2</v>
      </c>
      <c r="E405" s="5"/>
    </row>
    <row r="406" spans="1:6" ht="15" thickBot="1" x14ac:dyDescent="0.35">
      <c r="A406" s="1"/>
      <c r="B406" s="1"/>
      <c r="C406" s="1"/>
      <c r="D406" s="1"/>
      <c r="E406" s="1"/>
    </row>
    <row r="407" spans="1:6" ht="29.4" thickBot="1" x14ac:dyDescent="0.35">
      <c r="A407" s="251" t="s">
        <v>72</v>
      </c>
      <c r="B407" s="252"/>
      <c r="C407" s="253"/>
      <c r="D407" s="14">
        <v>46128</v>
      </c>
      <c r="E407" s="13"/>
    </row>
    <row r="408" spans="1:6" ht="18.600000000000001" thickBot="1" x14ac:dyDescent="0.35">
      <c r="A408" s="2" t="s">
        <v>63</v>
      </c>
      <c r="B408" s="2" t="s">
        <v>64</v>
      </c>
      <c r="C408" s="2" t="s">
        <v>65</v>
      </c>
      <c r="D408" s="2" t="s">
        <v>66</v>
      </c>
      <c r="E408" s="1"/>
    </row>
    <row r="409" spans="1:6" ht="18.600000000000001" thickBot="1" x14ac:dyDescent="0.35">
      <c r="A409" s="3">
        <f>B409+C409+D409</f>
        <v>40</v>
      </c>
      <c r="B409" s="4">
        <f>A405-C409</f>
        <v>32</v>
      </c>
      <c r="C409" s="4">
        <v>8</v>
      </c>
      <c r="D409" s="5">
        <v>0</v>
      </c>
      <c r="E409" s="1"/>
    </row>
    <row r="410" spans="1:6" ht="18.600000000000001" thickBot="1" x14ac:dyDescent="0.35">
      <c r="A410" s="15"/>
      <c r="B410" s="15"/>
      <c r="C410" s="15"/>
      <c r="D410" s="15"/>
      <c r="E410" s="1"/>
    </row>
    <row r="411" spans="1:6" ht="29.4" thickBot="1" x14ac:dyDescent="0.35">
      <c r="A411" s="251" t="s">
        <v>154</v>
      </c>
      <c r="B411" s="252"/>
      <c r="C411" s="252"/>
      <c r="D411" s="252"/>
      <c r="E411" s="252"/>
      <c r="F411" s="253"/>
    </row>
    <row r="412" spans="1:6" ht="87.6" thickBot="1" x14ac:dyDescent="0.35">
      <c r="A412" s="2" t="s">
        <v>67</v>
      </c>
      <c r="B412" s="8" t="s">
        <v>68</v>
      </c>
      <c r="C412" s="9" t="s">
        <v>5</v>
      </c>
      <c r="D412" s="9" t="s">
        <v>69</v>
      </c>
      <c r="E412" s="9" t="s">
        <v>3</v>
      </c>
      <c r="F412" s="9" t="s">
        <v>4</v>
      </c>
    </row>
    <row r="413" spans="1:6" ht="15" thickBot="1" x14ac:dyDescent="0.35">
      <c r="A413" s="10" t="s">
        <v>41</v>
      </c>
      <c r="B413" s="11">
        <v>0.16666666666666666</v>
      </c>
      <c r="C413" s="11">
        <v>0.18819444444444444</v>
      </c>
      <c r="D413" s="12">
        <f>C414-B413</f>
        <v>8.958333333333332E-2</v>
      </c>
      <c r="E413" s="10" t="s">
        <v>13</v>
      </c>
      <c r="F413" s="10" t="s">
        <v>24</v>
      </c>
    </row>
    <row r="414" spans="1:6" ht="15" thickBot="1" x14ac:dyDescent="0.35">
      <c r="A414" s="10" t="s">
        <v>89</v>
      </c>
      <c r="B414" s="11">
        <v>0.25</v>
      </c>
      <c r="C414" s="11">
        <v>0.25624999999999998</v>
      </c>
      <c r="D414" s="12">
        <f>C414-B414</f>
        <v>6.2499999999999778E-3</v>
      </c>
      <c r="E414" s="10" t="s">
        <v>13</v>
      </c>
      <c r="F414" s="10" t="s">
        <v>35</v>
      </c>
    </row>
    <row r="415" spans="1:6" ht="15" thickBot="1" x14ac:dyDescent="0.35">
      <c r="A415" s="10" t="s">
        <v>52</v>
      </c>
      <c r="B415" s="11">
        <v>0.29166666666666669</v>
      </c>
      <c r="C415" s="11">
        <v>0.29791666666666666</v>
      </c>
      <c r="D415" s="12">
        <f>C416-B415</f>
        <v>0.25833333333333336</v>
      </c>
      <c r="E415" s="10" t="s">
        <v>15</v>
      </c>
      <c r="F415" s="10" t="s">
        <v>13</v>
      </c>
    </row>
    <row r="416" spans="1:6" ht="15" thickBot="1" x14ac:dyDescent="0.35">
      <c r="A416" s="10" t="s">
        <v>90</v>
      </c>
      <c r="B416" s="11">
        <v>0.4375</v>
      </c>
      <c r="C416" s="11">
        <v>0.55000000000000004</v>
      </c>
      <c r="D416" s="12">
        <f>C416-B416</f>
        <v>0.11250000000000004</v>
      </c>
      <c r="E416" s="10" t="s">
        <v>15</v>
      </c>
      <c r="F416" s="10" t="s">
        <v>13</v>
      </c>
    </row>
    <row r="417" spans="1:6" ht="15" thickBot="1" x14ac:dyDescent="0.35">
      <c r="A417" s="10" t="s">
        <v>56</v>
      </c>
      <c r="B417" s="11">
        <v>0.54166666666666663</v>
      </c>
      <c r="C417" s="11">
        <v>0.55694444444444446</v>
      </c>
      <c r="D417" s="12">
        <f>C417-B417</f>
        <v>1.5277777777777835E-2</v>
      </c>
      <c r="E417" s="10" t="s">
        <v>13</v>
      </c>
      <c r="F417" s="10" t="s">
        <v>15</v>
      </c>
    </row>
    <row r="418" spans="1:6" ht="15" thickBot="1" x14ac:dyDescent="0.35">
      <c r="A418" s="10" t="s">
        <v>32</v>
      </c>
      <c r="B418" s="11">
        <v>0.77083333333333337</v>
      </c>
      <c r="C418" s="11">
        <v>46128.821527777778</v>
      </c>
      <c r="D418" s="12">
        <f>C418-B418</f>
        <v>46128.050694444442</v>
      </c>
      <c r="E418" s="10" t="s">
        <v>33</v>
      </c>
      <c r="F418" s="10" t="s">
        <v>13</v>
      </c>
    </row>
    <row r="419" spans="1:6" ht="15" thickBot="1" x14ac:dyDescent="0.35">
      <c r="A419" s="10" t="s">
        <v>20</v>
      </c>
      <c r="B419" s="11">
        <v>0.95833333333333337</v>
      </c>
      <c r="C419" s="11">
        <v>46128.996527777781</v>
      </c>
      <c r="D419" s="12">
        <f>C419-B419</f>
        <v>46128.038194444445</v>
      </c>
      <c r="E419" s="10" t="s">
        <v>91</v>
      </c>
      <c r="F419" s="10" t="s">
        <v>13</v>
      </c>
    </row>
    <row r="420" spans="1:6" ht="15" thickBot="1" x14ac:dyDescent="0.35">
      <c r="A420" s="10" t="s">
        <v>42</v>
      </c>
      <c r="B420" s="11">
        <v>0.875</v>
      </c>
      <c r="C420" s="11">
        <v>0.90416666666666667</v>
      </c>
      <c r="D420" s="12">
        <f>C420-B420</f>
        <v>2.9166666666666674E-2</v>
      </c>
      <c r="E420" s="10" t="s">
        <v>55</v>
      </c>
      <c r="F420" s="10" t="s">
        <v>13</v>
      </c>
    </row>
    <row r="421" spans="1:6" ht="15" thickBot="1" x14ac:dyDescent="0.35"/>
    <row r="422" spans="1:6" ht="16.2" thickBot="1" x14ac:dyDescent="0.35">
      <c r="E422" s="6" t="s">
        <v>70</v>
      </c>
      <c r="F422" s="6" t="s">
        <v>71</v>
      </c>
    </row>
    <row r="425" spans="1:6" ht="15" thickBot="1" x14ac:dyDescent="0.35"/>
    <row r="426" spans="1:6" ht="29.4" thickBot="1" x14ac:dyDescent="0.35">
      <c r="A426" s="251" t="s">
        <v>92</v>
      </c>
      <c r="B426" s="252"/>
      <c r="C426" s="253"/>
      <c r="D426" s="254">
        <v>46129</v>
      </c>
      <c r="E426" s="255"/>
    </row>
    <row r="427" spans="1:6" ht="18.600000000000001" thickBot="1" x14ac:dyDescent="0.35">
      <c r="A427" s="2" t="s">
        <v>59</v>
      </c>
      <c r="B427" s="2" t="s">
        <v>60</v>
      </c>
      <c r="C427" s="2" t="s">
        <v>61</v>
      </c>
      <c r="D427" s="2" t="s">
        <v>62</v>
      </c>
      <c r="E427" s="2" t="s">
        <v>10</v>
      </c>
    </row>
    <row r="428" spans="1:6" ht="18.600000000000001" thickBot="1" x14ac:dyDescent="0.35">
      <c r="A428" s="7">
        <f>B428+C428+D428</f>
        <v>45</v>
      </c>
      <c r="B428" s="5">
        <v>18</v>
      </c>
      <c r="C428" s="5">
        <v>23</v>
      </c>
      <c r="D428" s="5">
        <v>4</v>
      </c>
      <c r="E428" s="5"/>
    </row>
    <row r="429" spans="1:6" ht="15" thickBot="1" x14ac:dyDescent="0.35">
      <c r="A429" s="1"/>
      <c r="B429" s="1"/>
      <c r="C429" s="1"/>
      <c r="D429" s="1"/>
      <c r="E429" s="1"/>
    </row>
    <row r="430" spans="1:6" ht="29.4" thickBot="1" x14ac:dyDescent="0.35">
      <c r="A430" s="251" t="s">
        <v>72</v>
      </c>
      <c r="B430" s="252"/>
      <c r="C430" s="253"/>
      <c r="D430" s="14">
        <v>46129</v>
      </c>
      <c r="E430" s="13"/>
    </row>
    <row r="431" spans="1:6" ht="18.600000000000001" thickBot="1" x14ac:dyDescent="0.35">
      <c r="A431" s="2" t="s">
        <v>63</v>
      </c>
      <c r="B431" s="2" t="s">
        <v>64</v>
      </c>
      <c r="C431" s="2" t="s">
        <v>65</v>
      </c>
      <c r="D431" s="2" t="s">
        <v>66</v>
      </c>
      <c r="E431" s="1"/>
    </row>
    <row r="432" spans="1:6" ht="18.600000000000001" thickBot="1" x14ac:dyDescent="0.35">
      <c r="A432" s="3">
        <f>B432+C432+D432</f>
        <v>45</v>
      </c>
      <c r="B432" s="4">
        <f>A428-C432</f>
        <v>32</v>
      </c>
      <c r="C432" s="4">
        <v>13</v>
      </c>
      <c r="D432" s="5">
        <v>0</v>
      </c>
      <c r="E432" s="1"/>
    </row>
    <row r="433" spans="1:6" ht="18.600000000000001" thickBot="1" x14ac:dyDescent="0.35">
      <c r="A433" s="15"/>
      <c r="B433" s="15"/>
      <c r="C433" s="15"/>
      <c r="D433" s="15"/>
      <c r="E433" s="1"/>
    </row>
    <row r="434" spans="1:6" ht="29.4" thickBot="1" x14ac:dyDescent="0.35">
      <c r="A434" s="251" t="s">
        <v>155</v>
      </c>
      <c r="B434" s="252"/>
      <c r="C434" s="252"/>
      <c r="D434" s="252"/>
      <c r="E434" s="252"/>
      <c r="F434" s="253"/>
    </row>
    <row r="435" spans="1:6" ht="87.6" thickBot="1" x14ac:dyDescent="0.35">
      <c r="A435" s="2" t="s">
        <v>67</v>
      </c>
      <c r="B435" s="8" t="s">
        <v>68</v>
      </c>
      <c r="C435" s="9" t="s">
        <v>5</v>
      </c>
      <c r="D435" s="9" t="s">
        <v>69</v>
      </c>
      <c r="E435" s="9" t="s">
        <v>3</v>
      </c>
      <c r="F435" s="9" t="s">
        <v>4</v>
      </c>
    </row>
    <row r="436" spans="1:6" ht="15" thickBot="1" x14ac:dyDescent="0.35">
      <c r="A436" s="10" t="s">
        <v>94</v>
      </c>
      <c r="B436" s="11">
        <v>0.125</v>
      </c>
      <c r="C436" s="11">
        <v>0.1423611111111111</v>
      </c>
      <c r="D436" s="12">
        <f>C437-B436</f>
        <v>6.9444444444444475E-3</v>
      </c>
      <c r="E436" s="10" t="s">
        <v>23</v>
      </c>
      <c r="F436" s="10" t="s">
        <v>13</v>
      </c>
    </row>
    <row r="437" spans="1:6" ht="15" thickBot="1" x14ac:dyDescent="0.35">
      <c r="A437" s="10" t="s">
        <v>84</v>
      </c>
      <c r="B437" s="11">
        <v>0.125</v>
      </c>
      <c r="C437" s="11">
        <v>0.13194444444444445</v>
      </c>
      <c r="D437" s="12">
        <f>C437-B437</f>
        <v>6.9444444444444475E-3</v>
      </c>
      <c r="E437" s="10" t="s">
        <v>13</v>
      </c>
      <c r="F437" s="10" t="s">
        <v>85</v>
      </c>
    </row>
    <row r="438" spans="1:6" ht="15" thickBot="1" x14ac:dyDescent="0.35">
      <c r="A438" s="10" t="s">
        <v>54</v>
      </c>
      <c r="B438" s="11">
        <v>0.125</v>
      </c>
      <c r="C438" s="11">
        <v>0.24236111111111111</v>
      </c>
      <c r="D438" s="12">
        <f>C439-B438</f>
        <v>0.18055555555555558</v>
      </c>
      <c r="E438" s="10" t="s">
        <v>24</v>
      </c>
      <c r="F438" s="10" t="s">
        <v>13</v>
      </c>
    </row>
    <row r="439" spans="1:6" ht="15" thickBot="1" x14ac:dyDescent="0.35">
      <c r="A439" s="10" t="s">
        <v>41</v>
      </c>
      <c r="B439" s="11">
        <v>0.16666666666666666</v>
      </c>
      <c r="C439" s="11">
        <v>0.30555555555555558</v>
      </c>
      <c r="D439" s="12">
        <f>C439-B439</f>
        <v>0.13888888888888892</v>
      </c>
      <c r="E439" s="10" t="s">
        <v>13</v>
      </c>
      <c r="F439" s="10" t="s">
        <v>24</v>
      </c>
    </row>
    <row r="440" spans="1:6" ht="15" thickBot="1" x14ac:dyDescent="0.35">
      <c r="A440" s="10" t="s">
        <v>37</v>
      </c>
      <c r="B440" s="11">
        <v>0.27083333333333331</v>
      </c>
      <c r="C440" s="11">
        <v>0.29375000000000001</v>
      </c>
      <c r="D440" s="12">
        <f>C440-B440</f>
        <v>2.2916666666666696E-2</v>
      </c>
      <c r="E440" s="10" t="s">
        <v>14</v>
      </c>
      <c r="F440" s="10" t="s">
        <v>13</v>
      </c>
    </row>
    <row r="441" spans="1:6" ht="15" thickBot="1" x14ac:dyDescent="0.35">
      <c r="A441" s="10" t="s">
        <v>46</v>
      </c>
      <c r="B441" s="11">
        <v>0.375</v>
      </c>
      <c r="C441" s="11">
        <v>0.3888888888888889</v>
      </c>
      <c r="D441" s="12">
        <f>C441-B441</f>
        <v>1.3888888888888895E-2</v>
      </c>
      <c r="E441" s="10" t="s">
        <v>13</v>
      </c>
      <c r="F441" s="10" t="s">
        <v>47</v>
      </c>
    </row>
    <row r="442" spans="1:6" ht="15" thickBot="1" x14ac:dyDescent="0.35">
      <c r="A442" s="10" t="s">
        <v>48</v>
      </c>
      <c r="B442" s="11">
        <v>0.375</v>
      </c>
      <c r="C442" s="11">
        <v>0.4284722222222222</v>
      </c>
      <c r="D442" s="12">
        <f t="shared" ref="D442:D448" si="8">C442-B442</f>
        <v>5.3472222222222199E-2</v>
      </c>
      <c r="E442" s="10" t="s">
        <v>49</v>
      </c>
      <c r="F442" s="10" t="s">
        <v>13</v>
      </c>
    </row>
    <row r="443" spans="1:6" ht="15" thickBot="1" x14ac:dyDescent="0.35">
      <c r="A443" s="10" t="s">
        <v>90</v>
      </c>
      <c r="B443" s="11">
        <v>0.4375</v>
      </c>
      <c r="C443" s="11">
        <v>0.4465277777777778</v>
      </c>
      <c r="D443" s="12">
        <f t="shared" si="8"/>
        <v>9.0277777777778012E-3</v>
      </c>
      <c r="E443" s="10" t="s">
        <v>15</v>
      </c>
      <c r="F443" s="10" t="s">
        <v>13</v>
      </c>
    </row>
    <row r="444" spans="1:6" ht="15" thickBot="1" x14ac:dyDescent="0.35">
      <c r="A444" s="10" t="s">
        <v>57</v>
      </c>
      <c r="B444" s="11">
        <v>0.45833333333333331</v>
      </c>
      <c r="C444" s="11">
        <v>0.47499999999999998</v>
      </c>
      <c r="D444" s="12">
        <f t="shared" si="8"/>
        <v>1.6666666666666663E-2</v>
      </c>
      <c r="E444" s="10" t="s">
        <v>13</v>
      </c>
      <c r="F444" s="10" t="s">
        <v>24</v>
      </c>
    </row>
    <row r="445" spans="1:6" ht="15" thickBot="1" x14ac:dyDescent="0.35">
      <c r="A445" s="10" t="s">
        <v>84</v>
      </c>
      <c r="B445" s="11">
        <v>0.70833333333333337</v>
      </c>
      <c r="C445" s="11">
        <v>46129.77847222222</v>
      </c>
      <c r="D445" s="12">
        <f t="shared" si="8"/>
        <v>46129.070138888885</v>
      </c>
      <c r="E445" s="10" t="s">
        <v>85</v>
      </c>
      <c r="F445" s="10" t="s">
        <v>13</v>
      </c>
    </row>
    <row r="446" spans="1:6" ht="15" thickBot="1" x14ac:dyDescent="0.35">
      <c r="A446" s="10" t="s">
        <v>27</v>
      </c>
      <c r="B446" s="11">
        <v>0.70833333333333337</v>
      </c>
      <c r="C446" s="11">
        <v>0.71597222222222223</v>
      </c>
      <c r="D446" s="12">
        <f t="shared" si="8"/>
        <v>7.6388888888888618E-3</v>
      </c>
      <c r="E446" s="10" t="s">
        <v>28</v>
      </c>
      <c r="F446" s="10" t="s">
        <v>13</v>
      </c>
    </row>
    <row r="447" spans="1:6" ht="15" thickBot="1" x14ac:dyDescent="0.35">
      <c r="A447" s="10" t="s">
        <v>20</v>
      </c>
      <c r="B447" s="11">
        <v>0.95833333333333337</v>
      </c>
      <c r="C447" s="11">
        <v>46129.993055555555</v>
      </c>
      <c r="D447" s="12">
        <f t="shared" si="8"/>
        <v>46129.034722222219</v>
      </c>
      <c r="E447" s="10" t="s">
        <v>91</v>
      </c>
      <c r="F447" s="10" t="s">
        <v>13</v>
      </c>
    </row>
    <row r="448" spans="1:6" ht="15" thickBot="1" x14ac:dyDescent="0.35">
      <c r="A448" s="10" t="s">
        <v>105</v>
      </c>
      <c r="B448" s="11">
        <v>0.875</v>
      </c>
      <c r="C448" s="11">
        <v>46129.885416666664</v>
      </c>
      <c r="D448" s="12">
        <f t="shared" si="8"/>
        <v>46129.010416666664</v>
      </c>
      <c r="E448" s="10" t="s">
        <v>13</v>
      </c>
      <c r="F448" s="10" t="s">
        <v>15</v>
      </c>
    </row>
    <row r="449" spans="1:6" ht="15" thickBot="1" x14ac:dyDescent="0.35"/>
    <row r="450" spans="1:6" ht="16.2" thickBot="1" x14ac:dyDescent="0.35">
      <c r="E450" s="6" t="s">
        <v>70</v>
      </c>
      <c r="F450" s="6" t="s">
        <v>71</v>
      </c>
    </row>
    <row r="452" spans="1:6" ht="15" thickBot="1" x14ac:dyDescent="0.35"/>
    <row r="453" spans="1:6" ht="29.4" thickBot="1" x14ac:dyDescent="0.35">
      <c r="A453" s="251" t="s">
        <v>92</v>
      </c>
      <c r="B453" s="252"/>
      <c r="C453" s="253"/>
      <c r="D453" s="254" t="s">
        <v>156</v>
      </c>
      <c r="E453" s="255"/>
    </row>
    <row r="454" spans="1:6" ht="18.600000000000001" thickBot="1" x14ac:dyDescent="0.35">
      <c r="A454" s="2" t="s">
        <v>59</v>
      </c>
      <c r="B454" s="2" t="s">
        <v>60</v>
      </c>
      <c r="C454" s="2" t="s">
        <v>61</v>
      </c>
      <c r="D454" s="2" t="s">
        <v>62</v>
      </c>
      <c r="E454" s="2" t="s">
        <v>10</v>
      </c>
    </row>
    <row r="455" spans="1:6" ht="18.600000000000001" thickBot="1" x14ac:dyDescent="0.35">
      <c r="A455" s="7">
        <f>B455+C455+D455</f>
        <v>82</v>
      </c>
      <c r="B455" s="5">
        <v>43</v>
      </c>
      <c r="C455" s="5">
        <v>33</v>
      </c>
      <c r="D455" s="5">
        <v>6</v>
      </c>
      <c r="E455" s="5"/>
    </row>
    <row r="456" spans="1:6" ht="15" thickBot="1" x14ac:dyDescent="0.35">
      <c r="A456" s="1"/>
      <c r="B456" s="1"/>
      <c r="C456" s="1"/>
      <c r="D456" s="1"/>
      <c r="E456" s="1"/>
    </row>
    <row r="457" spans="1:6" ht="29.4" thickBot="1" x14ac:dyDescent="0.35">
      <c r="A457" s="251" t="s">
        <v>72</v>
      </c>
      <c r="B457" s="252"/>
      <c r="C457" s="253"/>
      <c r="D457" s="14" t="s">
        <v>156</v>
      </c>
      <c r="E457" s="13"/>
    </row>
    <row r="458" spans="1:6" ht="18.600000000000001" thickBot="1" x14ac:dyDescent="0.35">
      <c r="A458" s="2" t="s">
        <v>63</v>
      </c>
      <c r="B458" s="2" t="s">
        <v>64</v>
      </c>
      <c r="C458" s="2" t="s">
        <v>65</v>
      </c>
      <c r="D458" s="2" t="s">
        <v>66</v>
      </c>
      <c r="E458" s="1"/>
    </row>
    <row r="459" spans="1:6" ht="18.600000000000001" thickBot="1" x14ac:dyDescent="0.35">
      <c r="A459" s="3">
        <f>B459+C459+D459</f>
        <v>82</v>
      </c>
      <c r="B459" s="4">
        <f>A455-C459</f>
        <v>67</v>
      </c>
      <c r="C459" s="4">
        <v>15</v>
      </c>
      <c r="D459" s="5">
        <v>0</v>
      </c>
      <c r="E459" s="1"/>
    </row>
    <row r="460" spans="1:6" ht="18.600000000000001" thickBot="1" x14ac:dyDescent="0.35">
      <c r="A460" s="15"/>
      <c r="B460" s="15"/>
      <c r="C460" s="15"/>
      <c r="D460" s="15"/>
      <c r="E460" s="1"/>
    </row>
    <row r="461" spans="1:6" ht="29.4" thickBot="1" x14ac:dyDescent="0.35">
      <c r="A461" s="251" t="s">
        <v>157</v>
      </c>
      <c r="B461" s="252"/>
      <c r="C461" s="252"/>
      <c r="D461" s="252"/>
      <c r="E461" s="252"/>
      <c r="F461" s="253"/>
    </row>
    <row r="462" spans="1:6" ht="87.6" thickBot="1" x14ac:dyDescent="0.35">
      <c r="A462" s="2" t="s">
        <v>67</v>
      </c>
      <c r="B462" s="8" t="s">
        <v>68</v>
      </c>
      <c r="C462" s="9" t="s">
        <v>5</v>
      </c>
      <c r="D462" s="9" t="s">
        <v>69</v>
      </c>
      <c r="E462" s="9" t="s">
        <v>3</v>
      </c>
      <c r="F462" s="9" t="s">
        <v>4</v>
      </c>
    </row>
    <row r="463" spans="1:6" ht="15" thickBot="1" x14ac:dyDescent="0.35">
      <c r="A463" s="10" t="s">
        <v>54</v>
      </c>
      <c r="B463" s="11">
        <v>0.125</v>
      </c>
      <c r="C463" s="11">
        <v>0.2298611111111111</v>
      </c>
      <c r="D463" s="12">
        <f>C464-B463</f>
        <v>5.1388888888888901E-2</v>
      </c>
      <c r="E463" s="10" t="s">
        <v>24</v>
      </c>
      <c r="F463" s="10" t="s">
        <v>13</v>
      </c>
    </row>
    <row r="464" spans="1:6" ht="15" thickBot="1" x14ac:dyDescent="0.35">
      <c r="A464" s="10" t="s">
        <v>27</v>
      </c>
      <c r="B464" s="11">
        <v>0.16666666666666666</v>
      </c>
      <c r="C464" s="11">
        <v>0.1763888888888889</v>
      </c>
      <c r="D464" s="12">
        <f>C464-B464</f>
        <v>9.7222222222222432E-3</v>
      </c>
      <c r="E464" s="10" t="s">
        <v>13</v>
      </c>
      <c r="F464" s="10" t="s">
        <v>28</v>
      </c>
    </row>
    <row r="465" spans="1:6" ht="15" thickBot="1" x14ac:dyDescent="0.35">
      <c r="A465" s="10" t="s">
        <v>16</v>
      </c>
      <c r="B465" s="11">
        <v>0.16666666666666666</v>
      </c>
      <c r="C465" s="11">
        <v>0.17916666666666667</v>
      </c>
      <c r="D465" s="12">
        <f>C466-B465</f>
        <v>46130.222222222226</v>
      </c>
      <c r="E465" s="10" t="s">
        <v>17</v>
      </c>
      <c r="F465" s="10" t="s">
        <v>15</v>
      </c>
    </row>
    <row r="466" spans="1:6" ht="15" thickBot="1" x14ac:dyDescent="0.35">
      <c r="A466" s="10" t="s">
        <v>100</v>
      </c>
      <c r="B466" s="11">
        <v>0.375</v>
      </c>
      <c r="C466" s="11">
        <v>46130.388888888891</v>
      </c>
      <c r="D466" s="12">
        <f>C466-B466</f>
        <v>46130.013888888891</v>
      </c>
      <c r="E466" s="10" t="s">
        <v>13</v>
      </c>
      <c r="F466" s="10" t="s">
        <v>47</v>
      </c>
    </row>
    <row r="467" spans="1:6" ht="15" thickBot="1" x14ac:dyDescent="0.35">
      <c r="A467" s="10" t="s">
        <v>51</v>
      </c>
      <c r="B467" s="11">
        <v>0.375</v>
      </c>
      <c r="C467" s="11">
        <v>0.38541666666666669</v>
      </c>
      <c r="D467" s="12">
        <f>C467-B467</f>
        <v>1.0416666666666685E-2</v>
      </c>
      <c r="E467" s="10" t="s">
        <v>49</v>
      </c>
      <c r="F467" s="10" t="s">
        <v>13</v>
      </c>
    </row>
    <row r="468" spans="1:6" ht="15" thickBot="1" x14ac:dyDescent="0.35">
      <c r="A468" s="10" t="s">
        <v>48</v>
      </c>
      <c r="B468" s="11">
        <v>0.41666666666666669</v>
      </c>
      <c r="C468" s="11">
        <v>0.46180555555555558</v>
      </c>
      <c r="D468" s="12">
        <f>C468-B468</f>
        <v>4.5138888888888895E-2</v>
      </c>
      <c r="E468" s="10" t="s">
        <v>13</v>
      </c>
      <c r="F468" s="10" t="s">
        <v>49</v>
      </c>
    </row>
    <row r="469" spans="1:6" ht="15" thickBot="1" x14ac:dyDescent="0.35">
      <c r="A469" s="10" t="s">
        <v>22</v>
      </c>
      <c r="B469" s="11">
        <v>0.5</v>
      </c>
      <c r="C469" s="11">
        <v>46130.727083333331</v>
      </c>
      <c r="D469" s="12">
        <f t="shared" ref="D469:D477" si="9">C469-B469</f>
        <v>46130.227083333331</v>
      </c>
      <c r="E469" s="10" t="s">
        <v>13</v>
      </c>
      <c r="F469" s="10" t="s">
        <v>103</v>
      </c>
    </row>
    <row r="470" spans="1:6" ht="15" thickBot="1" x14ac:dyDescent="0.35">
      <c r="A470" s="10" t="s">
        <v>56</v>
      </c>
      <c r="B470" s="11">
        <v>0.54166666666666663</v>
      </c>
      <c r="C470" s="11">
        <v>0.55625000000000002</v>
      </c>
      <c r="D470" s="12">
        <f t="shared" si="9"/>
        <v>1.4583333333333393E-2</v>
      </c>
      <c r="E470" s="10" t="s">
        <v>13</v>
      </c>
      <c r="F470" s="10" t="s">
        <v>15</v>
      </c>
    </row>
    <row r="471" spans="1:6" ht="15" thickBot="1" x14ac:dyDescent="0.35">
      <c r="A471" s="10" t="s">
        <v>27</v>
      </c>
      <c r="B471" s="11">
        <v>0.70833333333333337</v>
      </c>
      <c r="C471" s="11">
        <v>0.72152777777777777</v>
      </c>
      <c r="D471" s="12">
        <f t="shared" si="9"/>
        <v>1.3194444444444398E-2</v>
      </c>
      <c r="E471" s="10" t="s">
        <v>28</v>
      </c>
      <c r="F471" s="10" t="s">
        <v>13</v>
      </c>
    </row>
    <row r="472" spans="1:6" ht="15" thickBot="1" x14ac:dyDescent="0.35">
      <c r="A472" s="10" t="s">
        <v>87</v>
      </c>
      <c r="B472" s="11">
        <v>0.125</v>
      </c>
      <c r="C472" s="11">
        <v>0.22847222222222222</v>
      </c>
      <c r="D472" s="12">
        <f t="shared" si="9"/>
        <v>0.10347222222222222</v>
      </c>
      <c r="E472" s="10" t="s">
        <v>13</v>
      </c>
      <c r="F472" s="10" t="s">
        <v>85</v>
      </c>
    </row>
    <row r="473" spans="1:6" ht="15" thickBot="1" x14ac:dyDescent="0.35">
      <c r="A473" s="10" t="s">
        <v>41</v>
      </c>
      <c r="B473" s="11">
        <v>0.125</v>
      </c>
      <c r="C473" s="11">
        <v>0.1736111111111111</v>
      </c>
      <c r="D473" s="12">
        <f t="shared" si="9"/>
        <v>4.8611111111111105E-2</v>
      </c>
      <c r="E473" s="10" t="s">
        <v>24</v>
      </c>
      <c r="F473" s="10" t="s">
        <v>13</v>
      </c>
    </row>
    <row r="474" spans="1:6" ht="15" thickBot="1" x14ac:dyDescent="0.35">
      <c r="A474" s="10" t="s">
        <v>29</v>
      </c>
      <c r="B474" s="11">
        <v>0.16666666666666666</v>
      </c>
      <c r="C474" s="11">
        <v>0.1763888888888889</v>
      </c>
      <c r="D474" s="12">
        <f t="shared" si="9"/>
        <v>9.7222222222222432E-3</v>
      </c>
      <c r="E474" s="10" t="s">
        <v>17</v>
      </c>
      <c r="F474" s="10" t="s">
        <v>15</v>
      </c>
    </row>
    <row r="475" spans="1:6" ht="15" thickBot="1" x14ac:dyDescent="0.35">
      <c r="A475" s="10" t="s">
        <v>32</v>
      </c>
      <c r="B475" s="11">
        <v>0.1875</v>
      </c>
      <c r="C475" s="11">
        <v>0.19722222222222222</v>
      </c>
      <c r="D475" s="12">
        <f t="shared" si="9"/>
        <v>9.7222222222222154E-3</v>
      </c>
      <c r="E475" s="10" t="s">
        <v>13</v>
      </c>
      <c r="F475" s="10" t="s">
        <v>33</v>
      </c>
    </row>
    <row r="476" spans="1:6" ht="15" thickBot="1" x14ac:dyDescent="0.35">
      <c r="A476" s="10" t="s">
        <v>51</v>
      </c>
      <c r="B476" s="11">
        <v>0.41666666666666669</v>
      </c>
      <c r="C476" s="11">
        <v>0.43680555555555556</v>
      </c>
      <c r="D476" s="12">
        <f t="shared" si="9"/>
        <v>2.0138888888888873E-2</v>
      </c>
      <c r="E476" s="10" t="s">
        <v>13</v>
      </c>
      <c r="F476" s="10" t="s">
        <v>49</v>
      </c>
    </row>
    <row r="477" spans="1:6" ht="15" thickBot="1" x14ac:dyDescent="0.35">
      <c r="A477" s="10" t="s">
        <v>52</v>
      </c>
      <c r="B477" s="11">
        <v>0.54166666666666663</v>
      </c>
      <c r="C477" s="11">
        <v>0.56180555555555556</v>
      </c>
      <c r="D477" s="12">
        <f t="shared" si="9"/>
        <v>2.0138888888888928E-2</v>
      </c>
      <c r="E477" s="10" t="s">
        <v>13</v>
      </c>
      <c r="F477" s="10" t="s">
        <v>15</v>
      </c>
    </row>
    <row r="478" spans="1:6" ht="15" thickBot="1" x14ac:dyDescent="0.35"/>
    <row r="479" spans="1:6" ht="16.2" thickBot="1" x14ac:dyDescent="0.35">
      <c r="E479" s="6" t="s">
        <v>70</v>
      </c>
      <c r="F479" s="6" t="s">
        <v>71</v>
      </c>
    </row>
    <row r="481" spans="1:6" ht="15" thickBot="1" x14ac:dyDescent="0.35"/>
    <row r="482" spans="1:6" ht="29.4" thickBot="1" x14ac:dyDescent="0.35">
      <c r="A482" s="251" t="s">
        <v>92</v>
      </c>
      <c r="B482" s="252"/>
      <c r="C482" s="253"/>
      <c r="D482" s="254">
        <v>46132</v>
      </c>
      <c r="E482" s="255"/>
    </row>
    <row r="483" spans="1:6" ht="18.600000000000001" thickBot="1" x14ac:dyDescent="0.35">
      <c r="A483" s="2" t="s">
        <v>59</v>
      </c>
      <c r="B483" s="2" t="s">
        <v>60</v>
      </c>
      <c r="C483" s="2" t="s">
        <v>61</v>
      </c>
      <c r="D483" s="2" t="s">
        <v>62</v>
      </c>
      <c r="E483" s="2" t="s">
        <v>10</v>
      </c>
    </row>
    <row r="484" spans="1:6" ht="18.600000000000001" thickBot="1" x14ac:dyDescent="0.35">
      <c r="A484" s="7">
        <f>B484+C484+D484</f>
        <v>41</v>
      </c>
      <c r="B484" s="5">
        <v>23</v>
      </c>
      <c r="C484" s="5">
        <v>16</v>
      </c>
      <c r="D484" s="5">
        <v>2</v>
      </c>
      <c r="E484" s="5"/>
    </row>
    <row r="485" spans="1:6" ht="15" thickBot="1" x14ac:dyDescent="0.35">
      <c r="A485" s="1"/>
      <c r="B485" s="1"/>
      <c r="C485" s="1"/>
      <c r="D485" s="1"/>
      <c r="E485" s="1"/>
    </row>
    <row r="486" spans="1:6" ht="29.4" thickBot="1" x14ac:dyDescent="0.35">
      <c r="A486" s="251" t="s">
        <v>72</v>
      </c>
      <c r="B486" s="252"/>
      <c r="C486" s="253"/>
      <c r="D486" s="14">
        <v>46132</v>
      </c>
      <c r="E486" s="13"/>
    </row>
    <row r="487" spans="1:6" ht="18.600000000000001" thickBot="1" x14ac:dyDescent="0.35">
      <c r="A487" s="2" t="s">
        <v>63</v>
      </c>
      <c r="B487" s="2" t="s">
        <v>64</v>
      </c>
      <c r="C487" s="2" t="s">
        <v>65</v>
      </c>
      <c r="D487" s="2" t="s">
        <v>66</v>
      </c>
      <c r="E487" s="1"/>
    </row>
    <row r="488" spans="1:6" ht="18.600000000000001" thickBot="1" x14ac:dyDescent="0.35">
      <c r="A488" s="3">
        <f>B488+C488+D488</f>
        <v>41</v>
      </c>
      <c r="B488" s="4">
        <f>A484-C488</f>
        <v>28</v>
      </c>
      <c r="C488" s="4">
        <v>13</v>
      </c>
      <c r="D488" s="5">
        <v>0</v>
      </c>
      <c r="E488" s="1"/>
    </row>
    <row r="489" spans="1:6" ht="18.600000000000001" thickBot="1" x14ac:dyDescent="0.35">
      <c r="A489" s="15"/>
      <c r="B489" s="15"/>
      <c r="C489" s="15"/>
      <c r="D489" s="15"/>
      <c r="E489" s="1"/>
    </row>
    <row r="490" spans="1:6" ht="29.4" thickBot="1" x14ac:dyDescent="0.35">
      <c r="A490" s="251" t="s">
        <v>158</v>
      </c>
      <c r="B490" s="252"/>
      <c r="C490" s="252"/>
      <c r="D490" s="252"/>
      <c r="E490" s="252"/>
      <c r="F490" s="253"/>
    </row>
    <row r="491" spans="1:6" ht="87.6" thickBot="1" x14ac:dyDescent="0.35">
      <c r="A491" s="2" t="s">
        <v>67</v>
      </c>
      <c r="B491" s="8" t="s">
        <v>68</v>
      </c>
      <c r="C491" s="9" t="s">
        <v>5</v>
      </c>
      <c r="D491" s="9" t="s">
        <v>69</v>
      </c>
      <c r="E491" s="9" t="s">
        <v>3</v>
      </c>
      <c r="F491" s="9" t="s">
        <v>4</v>
      </c>
    </row>
    <row r="492" spans="1:6" ht="15" thickBot="1" x14ac:dyDescent="0.35">
      <c r="A492" s="10" t="s">
        <v>84</v>
      </c>
      <c r="B492" s="11">
        <v>0.125</v>
      </c>
      <c r="C492" s="11">
        <v>0.15486111111111112</v>
      </c>
      <c r="D492" s="12">
        <f>C493-B492</f>
        <v>5.9722222222222232E-2</v>
      </c>
      <c r="E492" s="10" t="s">
        <v>13</v>
      </c>
      <c r="F492" s="10" t="s">
        <v>85</v>
      </c>
    </row>
    <row r="493" spans="1:6" ht="15" thickBot="1" x14ac:dyDescent="0.35">
      <c r="A493" s="10" t="s">
        <v>57</v>
      </c>
      <c r="B493" s="11">
        <v>0.16666666666666666</v>
      </c>
      <c r="C493" s="11">
        <v>0.18472222222222223</v>
      </c>
      <c r="D493" s="12">
        <f>C493-B493</f>
        <v>1.8055555555555575E-2</v>
      </c>
      <c r="E493" s="10" t="s">
        <v>13</v>
      </c>
      <c r="F493" s="10" t="s">
        <v>24</v>
      </c>
    </row>
    <row r="494" spans="1:6" ht="15" thickBot="1" x14ac:dyDescent="0.35">
      <c r="A494" s="10" t="s">
        <v>16</v>
      </c>
      <c r="B494" s="11">
        <v>0.16666666666666666</v>
      </c>
      <c r="C494" s="11">
        <v>0.20624999999999999</v>
      </c>
      <c r="D494" s="12">
        <f>C495-B494</f>
        <v>46132.122222222228</v>
      </c>
      <c r="E494" s="10" t="s">
        <v>17</v>
      </c>
      <c r="F494" s="10" t="s">
        <v>15</v>
      </c>
    </row>
    <row r="495" spans="1:6" ht="15" thickBot="1" x14ac:dyDescent="0.35">
      <c r="A495" s="10" t="s">
        <v>86</v>
      </c>
      <c r="B495" s="11">
        <v>0.16666666666666666</v>
      </c>
      <c r="C495" s="11">
        <v>46132.288888888892</v>
      </c>
      <c r="D495" s="12">
        <f>C495-B495</f>
        <v>46132.122222222228</v>
      </c>
      <c r="E495" s="10" t="s">
        <v>31</v>
      </c>
      <c r="F495" s="10" t="s">
        <v>13</v>
      </c>
    </row>
    <row r="496" spans="1:6" ht="15" thickBot="1" x14ac:dyDescent="0.35">
      <c r="A496" s="10" t="s">
        <v>32</v>
      </c>
      <c r="B496" s="11">
        <v>0.1875</v>
      </c>
      <c r="C496" s="11">
        <v>0.19583333333333333</v>
      </c>
      <c r="D496" s="12">
        <f>C496-B496</f>
        <v>8.3333333333333315E-3</v>
      </c>
      <c r="E496" s="10" t="s">
        <v>13</v>
      </c>
      <c r="F496" s="10" t="s">
        <v>33</v>
      </c>
    </row>
    <row r="497" spans="1:6" ht="15" thickBot="1" x14ac:dyDescent="0.35">
      <c r="A497" s="10" t="s">
        <v>89</v>
      </c>
      <c r="B497" s="11">
        <v>0.25</v>
      </c>
      <c r="C497" s="11">
        <v>0.27013888888888887</v>
      </c>
      <c r="D497" s="12">
        <f>C497-B497</f>
        <v>2.0138888888888873E-2</v>
      </c>
      <c r="E497" s="10" t="s">
        <v>13</v>
      </c>
      <c r="F497" s="10" t="s">
        <v>35</v>
      </c>
    </row>
    <row r="498" spans="1:6" ht="15" thickBot="1" x14ac:dyDescent="0.35">
      <c r="A498" s="10" t="s">
        <v>90</v>
      </c>
      <c r="B498" s="11">
        <v>0.4375</v>
      </c>
      <c r="C498" s="11">
        <v>0.65486111111111112</v>
      </c>
      <c r="D498" s="12">
        <f t="shared" ref="D498:D504" si="10">C498-B498</f>
        <v>0.21736111111111112</v>
      </c>
      <c r="E498" s="10" t="s">
        <v>15</v>
      </c>
      <c r="F498" s="10" t="s">
        <v>13</v>
      </c>
    </row>
    <row r="499" spans="1:6" ht="15" thickBot="1" x14ac:dyDescent="0.35">
      <c r="A499" s="10" t="s">
        <v>50</v>
      </c>
      <c r="B499" s="11">
        <v>0.41666666666666669</v>
      </c>
      <c r="C499" s="11">
        <v>0.42499999999999999</v>
      </c>
      <c r="D499" s="12">
        <f t="shared" si="10"/>
        <v>8.3333333333333037E-3</v>
      </c>
      <c r="E499" s="10" t="s">
        <v>31</v>
      </c>
      <c r="F499" s="10" t="s">
        <v>13</v>
      </c>
    </row>
    <row r="500" spans="1:6" ht="15" thickBot="1" x14ac:dyDescent="0.35">
      <c r="A500" s="10" t="s">
        <v>104</v>
      </c>
      <c r="B500" s="11">
        <v>0.5</v>
      </c>
      <c r="C500" s="11">
        <v>46132.698611111111</v>
      </c>
      <c r="D500" s="12">
        <f t="shared" si="10"/>
        <v>46132.198611111111</v>
      </c>
      <c r="E500" s="10" t="s">
        <v>13</v>
      </c>
      <c r="F500" s="10" t="s">
        <v>88</v>
      </c>
    </row>
    <row r="501" spans="1:6" ht="15" thickBot="1" x14ac:dyDescent="0.35">
      <c r="A501" s="10" t="s">
        <v>20</v>
      </c>
      <c r="B501" s="11">
        <v>0.5</v>
      </c>
      <c r="C501" s="11">
        <v>0.51736111111111116</v>
      </c>
      <c r="D501" s="12">
        <f t="shared" si="10"/>
        <v>1.736111111111116E-2</v>
      </c>
      <c r="E501" s="10" t="s">
        <v>13</v>
      </c>
      <c r="F501" s="10" t="s">
        <v>21</v>
      </c>
    </row>
    <row r="502" spans="1:6" ht="15" thickBot="1" x14ac:dyDescent="0.35">
      <c r="A502" s="10" t="s">
        <v>57</v>
      </c>
      <c r="B502" s="11">
        <v>0.70833333333333337</v>
      </c>
      <c r="C502" s="11">
        <v>0.85486111111111107</v>
      </c>
      <c r="D502" s="12">
        <f t="shared" si="10"/>
        <v>0.1465277777777777</v>
      </c>
      <c r="E502" s="10" t="s">
        <v>13</v>
      </c>
      <c r="F502" s="10" t="s">
        <v>24</v>
      </c>
    </row>
    <row r="503" spans="1:6" ht="15" thickBot="1" x14ac:dyDescent="0.35">
      <c r="A503" s="10" t="s">
        <v>84</v>
      </c>
      <c r="B503" s="11">
        <v>0.70833333333333337</v>
      </c>
      <c r="C503" s="11">
        <v>46132.727083333331</v>
      </c>
      <c r="D503" s="12">
        <f t="shared" si="10"/>
        <v>46132.018749999996</v>
      </c>
      <c r="E503" s="10" t="s">
        <v>85</v>
      </c>
      <c r="F503" s="10" t="s">
        <v>13</v>
      </c>
    </row>
    <row r="504" spans="1:6" ht="15" thickBot="1" x14ac:dyDescent="0.35">
      <c r="A504" s="10" t="s">
        <v>27</v>
      </c>
      <c r="B504" s="11">
        <v>0.70833333333333337</v>
      </c>
      <c r="C504" s="11">
        <v>0.71666666666666667</v>
      </c>
      <c r="D504" s="12">
        <f t="shared" si="10"/>
        <v>8.3333333333333037E-3</v>
      </c>
      <c r="E504" s="10" t="s">
        <v>28</v>
      </c>
      <c r="F504" s="10" t="s">
        <v>13</v>
      </c>
    </row>
    <row r="505" spans="1:6" ht="15" thickBot="1" x14ac:dyDescent="0.35"/>
    <row r="506" spans="1:6" ht="16.2" thickBot="1" x14ac:dyDescent="0.35">
      <c r="E506" s="6" t="s">
        <v>70</v>
      </c>
      <c r="F506" s="6" t="s">
        <v>71</v>
      </c>
    </row>
    <row r="508" spans="1:6" ht="15" thickBot="1" x14ac:dyDescent="0.35"/>
    <row r="509" spans="1:6" ht="29.4" thickBot="1" x14ac:dyDescent="0.35">
      <c r="A509" s="251" t="s">
        <v>92</v>
      </c>
      <c r="B509" s="252"/>
      <c r="C509" s="253"/>
      <c r="D509" s="254">
        <v>46133</v>
      </c>
      <c r="E509" s="255"/>
    </row>
    <row r="510" spans="1:6" ht="18.600000000000001" thickBot="1" x14ac:dyDescent="0.35">
      <c r="A510" s="2" t="s">
        <v>59</v>
      </c>
      <c r="B510" s="2" t="s">
        <v>60</v>
      </c>
      <c r="C510" s="2" t="s">
        <v>61</v>
      </c>
      <c r="D510" s="2" t="s">
        <v>62</v>
      </c>
      <c r="E510" s="2" t="s">
        <v>10</v>
      </c>
    </row>
    <row r="511" spans="1:6" ht="18.600000000000001" thickBot="1" x14ac:dyDescent="0.35">
      <c r="A511" s="7">
        <f>B511+C511+D511</f>
        <v>44</v>
      </c>
      <c r="B511" s="5">
        <v>24</v>
      </c>
      <c r="C511" s="5">
        <v>16</v>
      </c>
      <c r="D511" s="5">
        <v>4</v>
      </c>
      <c r="E511" s="5"/>
    </row>
    <row r="512" spans="1:6" ht="15" thickBot="1" x14ac:dyDescent="0.35">
      <c r="A512" s="1"/>
      <c r="B512" s="1"/>
      <c r="C512" s="1"/>
      <c r="D512" s="1"/>
      <c r="E512" s="1"/>
    </row>
    <row r="513" spans="1:6" ht="29.4" thickBot="1" x14ac:dyDescent="0.35">
      <c r="A513" s="251" t="s">
        <v>72</v>
      </c>
      <c r="B513" s="252"/>
      <c r="C513" s="253"/>
      <c r="D513" s="14">
        <v>46133</v>
      </c>
      <c r="E513" s="13"/>
    </row>
    <row r="514" spans="1:6" ht="18.600000000000001" thickBot="1" x14ac:dyDescent="0.35">
      <c r="A514" s="2" t="s">
        <v>63</v>
      </c>
      <c r="B514" s="2" t="s">
        <v>64</v>
      </c>
      <c r="C514" s="2" t="s">
        <v>65</v>
      </c>
      <c r="D514" s="2" t="s">
        <v>66</v>
      </c>
      <c r="E514" s="1"/>
    </row>
    <row r="515" spans="1:6" ht="18.600000000000001" thickBot="1" x14ac:dyDescent="0.35">
      <c r="A515" s="3">
        <f>B515+C515+D515</f>
        <v>44</v>
      </c>
      <c r="B515" s="4">
        <f>A511-C515</f>
        <v>33</v>
      </c>
      <c r="C515" s="4">
        <v>11</v>
      </c>
      <c r="D515" s="5">
        <v>0</v>
      </c>
      <c r="E515" s="1"/>
    </row>
    <row r="516" spans="1:6" ht="18.600000000000001" thickBot="1" x14ac:dyDescent="0.35">
      <c r="A516" s="15"/>
      <c r="B516" s="15"/>
      <c r="C516" s="15"/>
      <c r="D516" s="15"/>
      <c r="E516" s="1"/>
    </row>
    <row r="517" spans="1:6" ht="29.4" thickBot="1" x14ac:dyDescent="0.35">
      <c r="A517" s="251" t="s">
        <v>160</v>
      </c>
      <c r="B517" s="252"/>
      <c r="C517" s="252"/>
      <c r="D517" s="252"/>
      <c r="E517" s="252"/>
      <c r="F517" s="253"/>
    </row>
    <row r="518" spans="1:6" ht="87.6" thickBot="1" x14ac:dyDescent="0.35">
      <c r="A518" s="2" t="s">
        <v>67</v>
      </c>
      <c r="B518" s="8" t="s">
        <v>68</v>
      </c>
      <c r="C518" s="9" t="s">
        <v>5</v>
      </c>
      <c r="D518" s="9" t="s">
        <v>69</v>
      </c>
      <c r="E518" s="9" t="s">
        <v>3</v>
      </c>
      <c r="F518" s="9" t="s">
        <v>4</v>
      </c>
    </row>
    <row r="519" spans="1:6" ht="15" thickBot="1" x14ac:dyDescent="0.35">
      <c r="A519" s="10" t="s">
        <v>87</v>
      </c>
      <c r="B519" s="11">
        <v>0.125</v>
      </c>
      <c r="C519" s="11">
        <v>0.14305555555555555</v>
      </c>
      <c r="D519" s="12">
        <f>C521-B519</f>
        <v>9.1666666666666674E-2</v>
      </c>
      <c r="E519" s="10" t="s">
        <v>13</v>
      </c>
      <c r="F519" s="10" t="s">
        <v>85</v>
      </c>
    </row>
    <row r="520" spans="1:6" ht="15" thickBot="1" x14ac:dyDescent="0.35">
      <c r="A520" s="10" t="s">
        <v>41</v>
      </c>
      <c r="B520" s="11">
        <v>0.16666666666666666</v>
      </c>
      <c r="C520" s="11">
        <v>0.17847222222222223</v>
      </c>
      <c r="D520" s="12">
        <f>C521-B520</f>
        <v>5.0000000000000017E-2</v>
      </c>
      <c r="E520" s="10" t="s">
        <v>13</v>
      </c>
      <c r="F520" s="10" t="s">
        <v>24</v>
      </c>
    </row>
    <row r="521" spans="1:6" ht="15" thickBot="1" x14ac:dyDescent="0.35">
      <c r="A521" s="10" t="s">
        <v>159</v>
      </c>
      <c r="B521" s="11">
        <v>0.16666666666666666</v>
      </c>
      <c r="C521" s="11">
        <v>0.21666666666666667</v>
      </c>
      <c r="D521" s="12">
        <f>C522-B521</f>
        <v>9.791666666666668E-2</v>
      </c>
      <c r="E521" s="10" t="s">
        <v>17</v>
      </c>
      <c r="F521" s="10" t="s">
        <v>15</v>
      </c>
    </row>
    <row r="522" spans="1:6" ht="15" thickBot="1" x14ac:dyDescent="0.35">
      <c r="A522" s="10" t="s">
        <v>89</v>
      </c>
      <c r="B522" s="11">
        <v>0.25</v>
      </c>
      <c r="C522" s="11">
        <v>0.26458333333333334</v>
      </c>
      <c r="D522" s="12">
        <f t="shared" ref="D522:D529" si="11">C522-B522</f>
        <v>1.4583333333333337E-2</v>
      </c>
      <c r="E522" s="10" t="s">
        <v>13</v>
      </c>
      <c r="F522" s="10" t="s">
        <v>35</v>
      </c>
    </row>
    <row r="523" spans="1:6" ht="15" thickBot="1" x14ac:dyDescent="0.35">
      <c r="A523" s="10" t="s">
        <v>90</v>
      </c>
      <c r="B523" s="11">
        <v>0.29166666666666669</v>
      </c>
      <c r="C523" s="11">
        <v>0.53611111111111109</v>
      </c>
      <c r="D523" s="12">
        <f t="shared" si="11"/>
        <v>0.24444444444444441</v>
      </c>
      <c r="E523" s="10" t="s">
        <v>15</v>
      </c>
      <c r="F523" s="10" t="s">
        <v>13</v>
      </c>
    </row>
    <row r="524" spans="1:6" ht="15" thickBot="1" x14ac:dyDescent="0.35">
      <c r="A524" s="10" t="s">
        <v>48</v>
      </c>
      <c r="B524" s="11">
        <v>0.375</v>
      </c>
      <c r="C524" s="11">
        <v>0.38819444444444445</v>
      </c>
      <c r="D524" s="12">
        <f t="shared" si="11"/>
        <v>1.3194444444444453E-2</v>
      </c>
      <c r="E524" s="10" t="s">
        <v>49</v>
      </c>
      <c r="F524" s="10" t="s">
        <v>13</v>
      </c>
    </row>
    <row r="525" spans="1:6" ht="15" thickBot="1" x14ac:dyDescent="0.35">
      <c r="A525" s="10" t="s">
        <v>51</v>
      </c>
      <c r="B525" s="11">
        <v>0.41666666666666669</v>
      </c>
      <c r="C525" s="11">
        <v>0.43402777777777779</v>
      </c>
      <c r="D525" s="12">
        <f t="shared" si="11"/>
        <v>1.7361111111111105E-2</v>
      </c>
      <c r="E525" s="10" t="s">
        <v>13</v>
      </c>
      <c r="F525" s="10" t="s">
        <v>49</v>
      </c>
    </row>
    <row r="526" spans="1:6" ht="15" thickBot="1" x14ac:dyDescent="0.35">
      <c r="A526" s="10" t="s">
        <v>57</v>
      </c>
      <c r="B526" s="11">
        <v>0.45833333333333331</v>
      </c>
      <c r="C526" s="11">
        <v>0.47361111111111109</v>
      </c>
      <c r="D526" s="12">
        <f t="shared" si="11"/>
        <v>1.5277777777777779E-2</v>
      </c>
      <c r="E526" s="10" t="s">
        <v>13</v>
      </c>
      <c r="F526" s="10" t="s">
        <v>24</v>
      </c>
    </row>
    <row r="527" spans="1:6" ht="15" thickBot="1" x14ac:dyDescent="0.35">
      <c r="A527" s="10" t="s">
        <v>20</v>
      </c>
      <c r="B527" s="11">
        <v>0.5</v>
      </c>
      <c r="C527" s="11">
        <v>0.67361111111111116</v>
      </c>
      <c r="D527" s="12">
        <f t="shared" si="11"/>
        <v>0.17361111111111116</v>
      </c>
      <c r="E527" s="10" t="s">
        <v>13</v>
      </c>
      <c r="F527" s="10" t="s">
        <v>21</v>
      </c>
    </row>
    <row r="528" spans="1:6" ht="15" thickBot="1" x14ac:dyDescent="0.35">
      <c r="A528" s="10" t="s">
        <v>54</v>
      </c>
      <c r="B528" s="11">
        <v>0.70833333333333337</v>
      </c>
      <c r="C528" s="11">
        <v>0.71666666666666667</v>
      </c>
      <c r="D528" s="12">
        <f t="shared" si="11"/>
        <v>8.3333333333333037E-3</v>
      </c>
      <c r="E528" s="10" t="s">
        <v>13</v>
      </c>
      <c r="F528" s="10" t="s">
        <v>24</v>
      </c>
    </row>
    <row r="529" spans="1:6" ht="15" thickBot="1" x14ac:dyDescent="0.35">
      <c r="A529" s="10" t="s">
        <v>27</v>
      </c>
      <c r="B529" s="11">
        <v>0.70833333333333337</v>
      </c>
      <c r="C529" s="11">
        <v>0.74722222222222223</v>
      </c>
      <c r="D529" s="12">
        <f t="shared" si="11"/>
        <v>3.8888888888888862E-2</v>
      </c>
      <c r="E529" s="10" t="s">
        <v>28</v>
      </c>
      <c r="F529" s="10" t="s">
        <v>13</v>
      </c>
    </row>
    <row r="530" spans="1:6" ht="15" thickBot="1" x14ac:dyDescent="0.35"/>
    <row r="531" spans="1:6" ht="16.2" thickBot="1" x14ac:dyDescent="0.35">
      <c r="E531" s="6" t="s">
        <v>70</v>
      </c>
      <c r="F531" s="6" t="s">
        <v>71</v>
      </c>
    </row>
    <row r="533" spans="1:6" ht="15" thickBot="1" x14ac:dyDescent="0.35"/>
    <row r="534" spans="1:6" ht="29.4" thickBot="1" x14ac:dyDescent="0.35">
      <c r="A534" s="251" t="s">
        <v>92</v>
      </c>
      <c r="B534" s="252"/>
      <c r="C534" s="253"/>
      <c r="D534" s="254">
        <v>46134</v>
      </c>
      <c r="E534" s="255"/>
    </row>
    <row r="535" spans="1:6" ht="18.600000000000001" thickBot="1" x14ac:dyDescent="0.35">
      <c r="A535" s="2" t="s">
        <v>59</v>
      </c>
      <c r="B535" s="2" t="s">
        <v>60</v>
      </c>
      <c r="C535" s="2" t="s">
        <v>61</v>
      </c>
      <c r="D535" s="2" t="s">
        <v>62</v>
      </c>
      <c r="E535" s="2" t="s">
        <v>10</v>
      </c>
    </row>
    <row r="536" spans="1:6" ht="18.600000000000001" thickBot="1" x14ac:dyDescent="0.35">
      <c r="A536" s="7">
        <f>B536+C536+D536</f>
        <v>49</v>
      </c>
      <c r="B536" s="5">
        <v>23</v>
      </c>
      <c r="C536" s="5">
        <v>22</v>
      </c>
      <c r="D536" s="5">
        <v>4</v>
      </c>
      <c r="E536" s="5"/>
    </row>
    <row r="537" spans="1:6" ht="15" thickBot="1" x14ac:dyDescent="0.35">
      <c r="A537" s="1"/>
      <c r="B537" s="1"/>
      <c r="C537" s="1"/>
      <c r="D537" s="1"/>
      <c r="E537" s="1"/>
    </row>
    <row r="538" spans="1:6" ht="29.4" thickBot="1" x14ac:dyDescent="0.35">
      <c r="A538" s="251" t="s">
        <v>72</v>
      </c>
      <c r="B538" s="252"/>
      <c r="C538" s="253"/>
      <c r="D538" s="14">
        <v>46134</v>
      </c>
      <c r="E538" s="13"/>
    </row>
    <row r="539" spans="1:6" ht="18.600000000000001" thickBot="1" x14ac:dyDescent="0.35">
      <c r="A539" s="2" t="s">
        <v>63</v>
      </c>
      <c r="B539" s="2" t="s">
        <v>64</v>
      </c>
      <c r="C539" s="2" t="s">
        <v>65</v>
      </c>
      <c r="D539" s="2" t="s">
        <v>66</v>
      </c>
      <c r="E539" s="1"/>
    </row>
    <row r="540" spans="1:6" ht="18.600000000000001" thickBot="1" x14ac:dyDescent="0.35">
      <c r="A540" s="3">
        <f>B540+C540+D540</f>
        <v>49</v>
      </c>
      <c r="B540" s="4">
        <f>A536-C540</f>
        <v>34</v>
      </c>
      <c r="C540" s="4">
        <v>15</v>
      </c>
      <c r="D540" s="5">
        <v>0</v>
      </c>
      <c r="E540" s="1"/>
    </row>
    <row r="541" spans="1:6" ht="18.600000000000001" thickBot="1" x14ac:dyDescent="0.35">
      <c r="A541" s="15"/>
      <c r="B541" s="15"/>
      <c r="C541" s="15"/>
      <c r="D541" s="15"/>
      <c r="E541" s="1"/>
    </row>
    <row r="542" spans="1:6" ht="29.4" thickBot="1" x14ac:dyDescent="0.35">
      <c r="A542" s="251" t="s">
        <v>161</v>
      </c>
      <c r="B542" s="252"/>
      <c r="C542" s="252"/>
      <c r="D542" s="252"/>
      <c r="E542" s="252"/>
      <c r="F542" s="253"/>
    </row>
    <row r="543" spans="1:6" ht="87.6" thickBot="1" x14ac:dyDescent="0.35">
      <c r="A543" s="2" t="s">
        <v>67</v>
      </c>
      <c r="B543" s="8" t="s">
        <v>68</v>
      </c>
      <c r="C543" s="9" t="s">
        <v>5</v>
      </c>
      <c r="D543" s="9" t="s">
        <v>69</v>
      </c>
      <c r="E543" s="9" t="s">
        <v>3</v>
      </c>
      <c r="F543" s="9" t="s">
        <v>4</v>
      </c>
    </row>
    <row r="544" spans="1:6" ht="15" thickBot="1" x14ac:dyDescent="0.35">
      <c r="A544" s="10" t="s">
        <v>87</v>
      </c>
      <c r="B544" s="11">
        <v>0.125</v>
      </c>
      <c r="C544" s="11">
        <v>0.23472222222222222</v>
      </c>
      <c r="D544" s="12">
        <f>C546-B544</f>
        <v>5.486111111111111E-2</v>
      </c>
      <c r="E544" s="10" t="s">
        <v>13</v>
      </c>
      <c r="F544" s="10" t="s">
        <v>85</v>
      </c>
    </row>
    <row r="545" spans="1:6" ht="15" thickBot="1" x14ac:dyDescent="0.35">
      <c r="A545" s="10" t="s">
        <v>82</v>
      </c>
      <c r="B545" s="11">
        <v>0.14583333333333334</v>
      </c>
      <c r="C545" s="11">
        <v>0.15347222222222223</v>
      </c>
      <c r="D545" s="12">
        <f>C546-B545</f>
        <v>3.4027777777777768E-2</v>
      </c>
      <c r="E545" s="10" t="s">
        <v>13</v>
      </c>
      <c r="F545" s="10" t="s">
        <v>26</v>
      </c>
    </row>
    <row r="546" spans="1:6" ht="15" thickBot="1" x14ac:dyDescent="0.35">
      <c r="A546" s="10" t="s">
        <v>37</v>
      </c>
      <c r="B546" s="11">
        <v>0.16666666666666666</v>
      </c>
      <c r="C546" s="11">
        <v>0.17986111111111111</v>
      </c>
      <c r="D546" s="12">
        <f>C547-B546</f>
        <v>8.3333333333333315E-3</v>
      </c>
      <c r="E546" s="10" t="s">
        <v>13</v>
      </c>
      <c r="F546" s="10" t="s">
        <v>14</v>
      </c>
    </row>
    <row r="547" spans="1:6" ht="15" thickBot="1" x14ac:dyDescent="0.35">
      <c r="A547" s="10" t="s">
        <v>27</v>
      </c>
      <c r="B547" s="11">
        <v>0.16666666666666666</v>
      </c>
      <c r="C547" s="11">
        <v>0.17499999999999999</v>
      </c>
      <c r="D547" s="12">
        <f>C547-B547</f>
        <v>8.3333333333333315E-3</v>
      </c>
      <c r="E547" s="10" t="s">
        <v>13</v>
      </c>
      <c r="F547" s="10" t="s">
        <v>28</v>
      </c>
    </row>
    <row r="548" spans="1:6" ht="15" thickBot="1" x14ac:dyDescent="0.35">
      <c r="A548" s="10" t="s">
        <v>41</v>
      </c>
      <c r="B548" s="11">
        <v>0.16666666666666666</v>
      </c>
      <c r="C548" s="11">
        <v>0.26527777777777778</v>
      </c>
      <c r="D548" s="12">
        <f>C548-B548</f>
        <v>9.8611111111111122E-2</v>
      </c>
      <c r="E548" s="10" t="s">
        <v>13</v>
      </c>
      <c r="F548" s="10" t="s">
        <v>24</v>
      </c>
    </row>
    <row r="549" spans="1:6" ht="15" thickBot="1" x14ac:dyDescent="0.35">
      <c r="A549" s="10" t="s">
        <v>89</v>
      </c>
      <c r="B549" s="11">
        <v>0.25</v>
      </c>
      <c r="C549" s="11">
        <v>0.26874999999999999</v>
      </c>
      <c r="D549" s="12">
        <f>C549-B549</f>
        <v>1.8749999999999989E-2</v>
      </c>
      <c r="E549" s="10" t="s">
        <v>13</v>
      </c>
      <c r="F549" s="10" t="s">
        <v>35</v>
      </c>
    </row>
    <row r="550" spans="1:6" ht="15" thickBot="1" x14ac:dyDescent="0.35">
      <c r="A550" s="10" t="s">
        <v>36</v>
      </c>
      <c r="B550" s="11">
        <v>0.27083333333333331</v>
      </c>
      <c r="C550" s="11">
        <v>46134.306944444441</v>
      </c>
      <c r="D550" s="12">
        <f t="shared" ref="D550:D558" si="12">C550-B550</f>
        <v>46134.036111111105</v>
      </c>
      <c r="E550" s="10" t="s">
        <v>13</v>
      </c>
      <c r="F550" s="10" t="s">
        <v>14</v>
      </c>
    </row>
    <row r="551" spans="1:6" ht="15" thickBot="1" x14ac:dyDescent="0.35">
      <c r="A551" s="10" t="s">
        <v>52</v>
      </c>
      <c r="B551" s="11">
        <v>0.29166666666666669</v>
      </c>
      <c r="C551" s="11">
        <v>0.43611111111111112</v>
      </c>
      <c r="D551" s="12">
        <f t="shared" si="12"/>
        <v>0.14444444444444443</v>
      </c>
      <c r="E551" s="10" t="s">
        <v>15</v>
      </c>
      <c r="F551" s="10" t="s">
        <v>13</v>
      </c>
    </row>
    <row r="552" spans="1:6" ht="15" thickBot="1" x14ac:dyDescent="0.35">
      <c r="A552" s="10" t="s">
        <v>42</v>
      </c>
      <c r="B552" s="11">
        <v>0.3125</v>
      </c>
      <c r="C552" s="11">
        <v>0.32083333333333336</v>
      </c>
      <c r="D552" s="12">
        <f t="shared" si="12"/>
        <v>8.3333333333333592E-3</v>
      </c>
      <c r="E552" s="10" t="s">
        <v>13</v>
      </c>
      <c r="F552" s="10" t="s">
        <v>43</v>
      </c>
    </row>
    <row r="553" spans="1:6" ht="15" thickBot="1" x14ac:dyDescent="0.35">
      <c r="A553" s="10" t="s">
        <v>90</v>
      </c>
      <c r="B553" s="11">
        <v>0.4375</v>
      </c>
      <c r="C553" s="11">
        <v>0.59861111111111109</v>
      </c>
      <c r="D553" s="12">
        <f t="shared" si="12"/>
        <v>0.16111111111111109</v>
      </c>
      <c r="E553" s="10" t="s">
        <v>15</v>
      </c>
      <c r="F553" s="10" t="s">
        <v>13</v>
      </c>
    </row>
    <row r="554" spans="1:6" ht="15" thickBot="1" x14ac:dyDescent="0.35">
      <c r="A554" s="10" t="s">
        <v>86</v>
      </c>
      <c r="B554" s="11">
        <v>0.41666666666666669</v>
      </c>
      <c r="C554" s="11">
        <v>46134.43472222222</v>
      </c>
      <c r="D554" s="12">
        <f t="shared" si="12"/>
        <v>46134.018055555556</v>
      </c>
      <c r="E554" s="10" t="s">
        <v>31</v>
      </c>
      <c r="F554" s="10" t="s">
        <v>13</v>
      </c>
    </row>
    <row r="555" spans="1:6" ht="15" thickBot="1" x14ac:dyDescent="0.35">
      <c r="A555" s="10" t="s">
        <v>57</v>
      </c>
      <c r="B555" s="11">
        <v>0.45833333333333331</v>
      </c>
      <c r="C555" s="11">
        <v>0.4777777777777778</v>
      </c>
      <c r="D555" s="12">
        <f t="shared" si="12"/>
        <v>1.9444444444444486E-2</v>
      </c>
      <c r="E555" s="10" t="s">
        <v>13</v>
      </c>
      <c r="F555" s="10" t="s">
        <v>24</v>
      </c>
    </row>
    <row r="556" spans="1:6" ht="15" thickBot="1" x14ac:dyDescent="0.35">
      <c r="A556" s="10" t="s">
        <v>34</v>
      </c>
      <c r="B556" s="11">
        <v>0.5</v>
      </c>
      <c r="C556" s="11">
        <v>0.83125000000000004</v>
      </c>
      <c r="D556" s="12">
        <f t="shared" si="12"/>
        <v>0.33125000000000004</v>
      </c>
      <c r="E556" s="10" t="s">
        <v>13</v>
      </c>
      <c r="F556" s="10" t="s">
        <v>103</v>
      </c>
    </row>
    <row r="557" spans="1:6" ht="15" thickBot="1" x14ac:dyDescent="0.35">
      <c r="A557" s="10" t="s">
        <v>104</v>
      </c>
      <c r="B557" s="11">
        <v>0.54166666666666663</v>
      </c>
      <c r="C557" s="11">
        <v>46134.660416666666</v>
      </c>
      <c r="D557" s="12">
        <f t="shared" si="12"/>
        <v>46134.118750000001</v>
      </c>
      <c r="E557" s="10" t="s">
        <v>88</v>
      </c>
      <c r="F557" s="10" t="s">
        <v>13</v>
      </c>
    </row>
    <row r="558" spans="1:6" ht="15" thickBot="1" x14ac:dyDescent="0.35">
      <c r="A558" s="10" t="s">
        <v>27</v>
      </c>
      <c r="B558" s="11">
        <v>0.70833333333333337</v>
      </c>
      <c r="C558" s="11">
        <v>0.73888888888888893</v>
      </c>
      <c r="D558" s="12">
        <f t="shared" si="12"/>
        <v>3.0555555555555558E-2</v>
      </c>
      <c r="E558" s="10" t="s">
        <v>28</v>
      </c>
      <c r="F558" s="10" t="s">
        <v>13</v>
      </c>
    </row>
    <row r="559" spans="1:6" ht="15" thickBot="1" x14ac:dyDescent="0.35"/>
    <row r="560" spans="1:6" ht="16.2" thickBot="1" x14ac:dyDescent="0.35">
      <c r="E560" s="6" t="s">
        <v>70</v>
      </c>
      <c r="F560" s="6" t="s">
        <v>71</v>
      </c>
    </row>
    <row r="562" spans="1:6" ht="15" thickBot="1" x14ac:dyDescent="0.35"/>
    <row r="563" spans="1:6" ht="29.4" thickBot="1" x14ac:dyDescent="0.35">
      <c r="A563" s="251" t="s">
        <v>92</v>
      </c>
      <c r="B563" s="252"/>
      <c r="C563" s="253"/>
      <c r="D563" s="254">
        <v>46138</v>
      </c>
      <c r="E563" s="255"/>
    </row>
    <row r="564" spans="1:6" ht="18.600000000000001" thickBot="1" x14ac:dyDescent="0.35">
      <c r="A564" s="2" t="s">
        <v>59</v>
      </c>
      <c r="B564" s="2" t="s">
        <v>60</v>
      </c>
      <c r="C564" s="2" t="s">
        <v>61</v>
      </c>
      <c r="D564" s="2" t="s">
        <v>62</v>
      </c>
      <c r="E564" s="2" t="s">
        <v>10</v>
      </c>
    </row>
    <row r="565" spans="1:6" ht="18.600000000000001" thickBot="1" x14ac:dyDescent="0.35">
      <c r="A565" s="7">
        <f>B565+C565+D565</f>
        <v>42</v>
      </c>
      <c r="B565" s="5">
        <v>20</v>
      </c>
      <c r="C565" s="5">
        <v>20</v>
      </c>
      <c r="D565" s="5">
        <v>2</v>
      </c>
      <c r="E565" s="5"/>
    </row>
    <row r="566" spans="1:6" ht="15" thickBot="1" x14ac:dyDescent="0.35">
      <c r="A566" s="1"/>
      <c r="B566" s="1"/>
      <c r="C566" s="1"/>
      <c r="D566" s="1"/>
      <c r="E566" s="1"/>
    </row>
    <row r="567" spans="1:6" ht="29.4" thickBot="1" x14ac:dyDescent="0.35">
      <c r="A567" s="251" t="s">
        <v>72</v>
      </c>
      <c r="B567" s="252"/>
      <c r="C567" s="253"/>
      <c r="D567" s="14">
        <v>46138</v>
      </c>
      <c r="E567" s="13"/>
    </row>
    <row r="568" spans="1:6" ht="18.600000000000001" thickBot="1" x14ac:dyDescent="0.35">
      <c r="A568" s="2" t="s">
        <v>63</v>
      </c>
      <c r="B568" s="2" t="s">
        <v>64</v>
      </c>
      <c r="C568" s="2" t="s">
        <v>65</v>
      </c>
      <c r="D568" s="2" t="s">
        <v>66</v>
      </c>
      <c r="E568" s="1"/>
    </row>
    <row r="569" spans="1:6" ht="18.600000000000001" thickBot="1" x14ac:dyDescent="0.35">
      <c r="A569" s="3">
        <f>B569+C569+D569</f>
        <v>42</v>
      </c>
      <c r="B569" s="4">
        <f>A565-C569</f>
        <v>31</v>
      </c>
      <c r="C569" s="4">
        <v>11</v>
      </c>
      <c r="D569" s="5">
        <v>0</v>
      </c>
      <c r="E569" s="1"/>
    </row>
    <row r="570" spans="1:6" ht="18.600000000000001" thickBot="1" x14ac:dyDescent="0.35">
      <c r="A570" s="15"/>
      <c r="B570" s="15"/>
      <c r="C570" s="15"/>
      <c r="D570" s="15"/>
      <c r="E570" s="1"/>
    </row>
    <row r="571" spans="1:6" ht="29.4" thickBot="1" x14ac:dyDescent="0.35">
      <c r="A571" s="251" t="s">
        <v>162</v>
      </c>
      <c r="B571" s="252"/>
      <c r="C571" s="252"/>
      <c r="D571" s="252"/>
      <c r="E571" s="252"/>
      <c r="F571" s="253"/>
    </row>
    <row r="572" spans="1:6" ht="87.6" thickBot="1" x14ac:dyDescent="0.35">
      <c r="A572" s="2" t="s">
        <v>67</v>
      </c>
      <c r="B572" s="8" t="s">
        <v>68</v>
      </c>
      <c r="C572" s="9" t="s">
        <v>5</v>
      </c>
      <c r="D572" s="9" t="s">
        <v>69</v>
      </c>
      <c r="E572" s="9" t="s">
        <v>3</v>
      </c>
      <c r="F572" s="9" t="s">
        <v>4</v>
      </c>
    </row>
    <row r="573" spans="1:6" ht="15" thickBot="1" x14ac:dyDescent="0.35">
      <c r="A573" s="10" t="s">
        <v>87</v>
      </c>
      <c r="B573" s="11">
        <v>0.125</v>
      </c>
      <c r="C573" s="11">
        <v>0.14583333333333334</v>
      </c>
      <c r="D573" s="12">
        <f>C575-B573</f>
        <v>4.0277777777777773E-2</v>
      </c>
      <c r="E573" s="10" t="s">
        <v>13</v>
      </c>
      <c r="F573" s="10" t="s">
        <v>85</v>
      </c>
    </row>
    <row r="574" spans="1:6" ht="15" thickBot="1" x14ac:dyDescent="0.35">
      <c r="A574" s="10" t="s">
        <v>57</v>
      </c>
      <c r="B574" s="11">
        <v>0.125</v>
      </c>
      <c r="C574" s="11">
        <v>0.13194444444444445</v>
      </c>
      <c r="D574" s="12">
        <f>C575-B574</f>
        <v>4.0277777777777773E-2</v>
      </c>
      <c r="E574" s="10" t="s">
        <v>24</v>
      </c>
      <c r="F574" s="10" t="s">
        <v>13</v>
      </c>
    </row>
    <row r="575" spans="1:6" ht="15" thickBot="1" x14ac:dyDescent="0.35">
      <c r="A575" s="10" t="s">
        <v>82</v>
      </c>
      <c r="B575" s="11">
        <v>0.14583333333333334</v>
      </c>
      <c r="C575" s="11">
        <v>0.16527777777777777</v>
      </c>
      <c r="D575" s="12">
        <f>C576-B575</f>
        <v>0.17222222222222219</v>
      </c>
      <c r="E575" s="10" t="s">
        <v>13</v>
      </c>
      <c r="F575" s="10" t="s">
        <v>26</v>
      </c>
    </row>
    <row r="576" spans="1:6" ht="15" thickBot="1" x14ac:dyDescent="0.35">
      <c r="A576" s="10" t="s">
        <v>83</v>
      </c>
      <c r="B576" s="11">
        <v>0.16666666666666666</v>
      </c>
      <c r="C576" s="11">
        <v>0.31805555555555554</v>
      </c>
      <c r="D576" s="12">
        <f t="shared" ref="D576:D583" si="13">C576-B576</f>
        <v>0.15138888888888888</v>
      </c>
      <c r="E576" s="10" t="s">
        <v>13</v>
      </c>
      <c r="F576" s="10" t="s">
        <v>14</v>
      </c>
    </row>
    <row r="577" spans="1:6" ht="15" thickBot="1" x14ac:dyDescent="0.35">
      <c r="A577" s="10" t="s">
        <v>12</v>
      </c>
      <c r="B577" s="11">
        <v>0.25</v>
      </c>
      <c r="C577" s="11">
        <v>46138.538194444445</v>
      </c>
      <c r="D577" s="12">
        <f t="shared" si="13"/>
        <v>46138.288194444445</v>
      </c>
      <c r="E577" s="10" t="s">
        <v>14</v>
      </c>
      <c r="F577" s="10" t="s">
        <v>13</v>
      </c>
    </row>
    <row r="578" spans="1:6" ht="15" thickBot="1" x14ac:dyDescent="0.35">
      <c r="A578" s="10" t="s">
        <v>58</v>
      </c>
      <c r="B578" s="11">
        <v>0.27083333333333331</v>
      </c>
      <c r="C578" s="11">
        <v>46138.288194444445</v>
      </c>
      <c r="D578" s="12">
        <f t="shared" si="13"/>
        <v>46138.017361111109</v>
      </c>
      <c r="E578" s="10" t="s">
        <v>13</v>
      </c>
      <c r="F578" s="10" t="s">
        <v>14</v>
      </c>
    </row>
    <row r="579" spans="1:6" ht="15" thickBot="1" x14ac:dyDescent="0.35">
      <c r="A579" s="10" t="s">
        <v>51</v>
      </c>
      <c r="B579" s="11">
        <v>0.375</v>
      </c>
      <c r="C579" s="11">
        <v>0.3923611111111111</v>
      </c>
      <c r="D579" s="12">
        <f t="shared" si="13"/>
        <v>1.7361111111111105E-2</v>
      </c>
      <c r="E579" s="10" t="s">
        <v>49</v>
      </c>
      <c r="F579" s="10" t="s">
        <v>13</v>
      </c>
    </row>
    <row r="580" spans="1:6" ht="15" thickBot="1" x14ac:dyDescent="0.35">
      <c r="A580" s="10" t="s">
        <v>48</v>
      </c>
      <c r="B580" s="11">
        <v>0.41666666666666669</v>
      </c>
      <c r="C580" s="11">
        <v>46138.884027777778</v>
      </c>
      <c r="D580" s="12">
        <f t="shared" si="13"/>
        <v>46138.467361111114</v>
      </c>
      <c r="E580" s="10" t="s">
        <v>13</v>
      </c>
      <c r="F580" s="10" t="s">
        <v>49</v>
      </c>
    </row>
    <row r="581" spans="1:6" ht="15" thickBot="1" x14ac:dyDescent="0.35">
      <c r="A581" s="10" t="s">
        <v>41</v>
      </c>
      <c r="B581" s="11">
        <v>0.45833333333333331</v>
      </c>
      <c r="C581" s="11">
        <v>0.47152777777777777</v>
      </c>
      <c r="D581" s="12">
        <f t="shared" si="13"/>
        <v>1.3194444444444453E-2</v>
      </c>
      <c r="E581" s="10" t="s">
        <v>13</v>
      </c>
      <c r="F581" s="10" t="s">
        <v>24</v>
      </c>
    </row>
    <row r="582" spans="1:6" ht="15" thickBot="1" x14ac:dyDescent="0.35">
      <c r="A582" s="10" t="s">
        <v>18</v>
      </c>
      <c r="B582" s="11">
        <v>0.64583333333333337</v>
      </c>
      <c r="C582" s="11">
        <v>46138.652083333334</v>
      </c>
      <c r="D582" s="12">
        <f t="shared" si="13"/>
        <v>46138.006249999999</v>
      </c>
      <c r="E582" s="10" t="s">
        <v>19</v>
      </c>
      <c r="F582" s="10" t="s">
        <v>13</v>
      </c>
    </row>
    <row r="583" spans="1:6" ht="15" thickBot="1" x14ac:dyDescent="0.35">
      <c r="A583" s="10" t="s">
        <v>42</v>
      </c>
      <c r="B583" s="11">
        <v>0.875</v>
      </c>
      <c r="C583" s="11">
        <v>46138.986111111109</v>
      </c>
      <c r="D583" s="12">
        <f t="shared" si="13"/>
        <v>46138.111111111109</v>
      </c>
      <c r="E583" s="10" t="s">
        <v>55</v>
      </c>
      <c r="F583" s="10" t="s">
        <v>13</v>
      </c>
    </row>
    <row r="584" spans="1:6" ht="15" thickBot="1" x14ac:dyDescent="0.35"/>
    <row r="585" spans="1:6" ht="16.2" thickBot="1" x14ac:dyDescent="0.35">
      <c r="E585" s="6" t="s">
        <v>70</v>
      </c>
      <c r="F585" s="6" t="s">
        <v>71</v>
      </c>
    </row>
    <row r="587" spans="1:6" ht="15" thickBot="1" x14ac:dyDescent="0.35"/>
    <row r="588" spans="1:6" ht="29.4" thickBot="1" x14ac:dyDescent="0.35">
      <c r="A588" s="251" t="s">
        <v>92</v>
      </c>
      <c r="B588" s="252"/>
      <c r="C588" s="253"/>
      <c r="D588" s="254">
        <v>46142</v>
      </c>
      <c r="E588" s="255"/>
    </row>
    <row r="589" spans="1:6" ht="18.600000000000001" thickBot="1" x14ac:dyDescent="0.35">
      <c r="A589" s="2" t="s">
        <v>59</v>
      </c>
      <c r="B589" s="2" t="s">
        <v>60</v>
      </c>
      <c r="C589" s="2" t="s">
        <v>61</v>
      </c>
      <c r="D589" s="2" t="s">
        <v>62</v>
      </c>
      <c r="E589" s="2" t="s">
        <v>10</v>
      </c>
    </row>
    <row r="590" spans="1:6" ht="18.600000000000001" thickBot="1" x14ac:dyDescent="0.35">
      <c r="A590" s="7">
        <f>B590+C590+D590</f>
        <v>43</v>
      </c>
      <c r="B590" s="5">
        <v>23</v>
      </c>
      <c r="C590" s="5">
        <v>16</v>
      </c>
      <c r="D590" s="5">
        <v>4</v>
      </c>
      <c r="E590" s="5"/>
    </row>
    <row r="591" spans="1:6" ht="15" thickBot="1" x14ac:dyDescent="0.35">
      <c r="A591" s="1"/>
      <c r="B591" s="1"/>
      <c r="C591" s="1"/>
      <c r="D591" s="1"/>
      <c r="E591" s="1"/>
    </row>
    <row r="592" spans="1:6" ht="29.4" thickBot="1" x14ac:dyDescent="0.35">
      <c r="A592" s="251" t="s">
        <v>72</v>
      </c>
      <c r="B592" s="252"/>
      <c r="C592" s="253"/>
      <c r="D592" s="14">
        <v>46142</v>
      </c>
      <c r="E592" s="13"/>
    </row>
    <row r="593" spans="1:6" ht="18.600000000000001" thickBot="1" x14ac:dyDescent="0.35">
      <c r="A593" s="2" t="s">
        <v>63</v>
      </c>
      <c r="B593" s="2" t="s">
        <v>64</v>
      </c>
      <c r="C593" s="2" t="s">
        <v>65</v>
      </c>
      <c r="D593" s="2" t="s">
        <v>66</v>
      </c>
      <c r="E593" s="1"/>
    </row>
    <row r="594" spans="1:6" ht="18.600000000000001" thickBot="1" x14ac:dyDescent="0.35">
      <c r="A594" s="3">
        <f>B594+C594+D594</f>
        <v>43</v>
      </c>
      <c r="B594" s="4">
        <f>A590-C594</f>
        <v>32</v>
      </c>
      <c r="C594" s="4">
        <v>11</v>
      </c>
      <c r="D594" s="5">
        <v>0</v>
      </c>
      <c r="E594" s="1"/>
    </row>
    <row r="595" spans="1:6" ht="18.600000000000001" thickBot="1" x14ac:dyDescent="0.35">
      <c r="A595" s="15"/>
      <c r="B595" s="15"/>
      <c r="C595" s="15"/>
      <c r="D595" s="15"/>
      <c r="E595" s="1"/>
    </row>
    <row r="596" spans="1:6" ht="29.4" thickBot="1" x14ac:dyDescent="0.35">
      <c r="A596" s="251" t="s">
        <v>162</v>
      </c>
      <c r="B596" s="252"/>
      <c r="C596" s="252"/>
      <c r="D596" s="252"/>
      <c r="E596" s="252"/>
      <c r="F596" s="253"/>
    </row>
    <row r="597" spans="1:6" ht="87.6" thickBot="1" x14ac:dyDescent="0.35">
      <c r="A597" s="2" t="s">
        <v>67</v>
      </c>
      <c r="B597" s="8" t="s">
        <v>68</v>
      </c>
      <c r="C597" s="9" t="s">
        <v>5</v>
      </c>
      <c r="D597" s="9" t="s">
        <v>69</v>
      </c>
      <c r="E597" s="9" t="s">
        <v>3</v>
      </c>
      <c r="F597" s="9" t="s">
        <v>4</v>
      </c>
    </row>
    <row r="598" spans="1:6" ht="15" thickBot="1" x14ac:dyDescent="0.35">
      <c r="A598" s="10" t="s">
        <v>18</v>
      </c>
      <c r="B598" s="11">
        <v>8.3333333333333329E-2</v>
      </c>
      <c r="C598" s="11">
        <v>8.9583333333333334E-2</v>
      </c>
      <c r="D598" s="12">
        <f>C600-B598</f>
        <v>4.8611111111111119E-2</v>
      </c>
      <c r="E598" s="10" t="s">
        <v>13</v>
      </c>
      <c r="F598" s="10" t="s">
        <v>19</v>
      </c>
    </row>
    <row r="599" spans="1:6" ht="15" thickBot="1" x14ac:dyDescent="0.35">
      <c r="A599" s="10" t="s">
        <v>102</v>
      </c>
      <c r="B599" s="11">
        <v>0.125</v>
      </c>
      <c r="C599" s="11">
        <v>46142.133333333331</v>
      </c>
      <c r="D599" s="12">
        <f>C600-B599</f>
        <v>6.9444444444444475E-3</v>
      </c>
      <c r="E599" s="10" t="s">
        <v>23</v>
      </c>
      <c r="F599" s="10" t="s">
        <v>13</v>
      </c>
    </row>
    <row r="600" spans="1:6" ht="15" thickBot="1" x14ac:dyDescent="0.35">
      <c r="A600" s="10" t="s">
        <v>84</v>
      </c>
      <c r="B600" s="11">
        <v>0.125</v>
      </c>
      <c r="C600" s="11">
        <v>0.13194444444444445</v>
      </c>
      <c r="D600" s="12">
        <f>C601-B600</f>
        <v>0.38680555555555551</v>
      </c>
      <c r="E600" s="10" t="s">
        <v>13</v>
      </c>
      <c r="F600" s="10" t="s">
        <v>85</v>
      </c>
    </row>
    <row r="601" spans="1:6" ht="15" thickBot="1" x14ac:dyDescent="0.35">
      <c r="A601" s="10" t="s">
        <v>57</v>
      </c>
      <c r="B601" s="11">
        <v>0.125</v>
      </c>
      <c r="C601" s="11">
        <v>0.51180555555555551</v>
      </c>
      <c r="D601" s="12">
        <f>C601-B601</f>
        <v>0.38680555555555551</v>
      </c>
      <c r="E601" s="10" t="s">
        <v>24</v>
      </c>
      <c r="F601" s="10" t="s">
        <v>13</v>
      </c>
    </row>
    <row r="602" spans="1:6" ht="15" thickBot="1" x14ac:dyDescent="0.35">
      <c r="A602" s="10" t="s">
        <v>165</v>
      </c>
      <c r="B602" s="11">
        <v>0.14583333333333334</v>
      </c>
      <c r="C602" s="11">
        <v>0.15833333333333333</v>
      </c>
      <c r="D602" s="12">
        <f>C602-B602</f>
        <v>1.2499999999999983E-2</v>
      </c>
      <c r="E602" s="10" t="s">
        <v>13</v>
      </c>
      <c r="F602" s="10" t="s">
        <v>26</v>
      </c>
    </row>
    <row r="603" spans="1:6" ht="15" thickBot="1" x14ac:dyDescent="0.35">
      <c r="A603" s="10" t="s">
        <v>16</v>
      </c>
      <c r="B603" s="11">
        <v>0.16666666666666666</v>
      </c>
      <c r="C603" s="11">
        <v>0.17777777777777778</v>
      </c>
      <c r="D603" s="12">
        <f>C603-B603</f>
        <v>1.1111111111111127E-2</v>
      </c>
      <c r="E603" s="10" t="s">
        <v>17</v>
      </c>
      <c r="F603" s="10" t="s">
        <v>15</v>
      </c>
    </row>
    <row r="604" spans="1:6" ht="15" thickBot="1" x14ac:dyDescent="0.35">
      <c r="A604" s="10" t="s">
        <v>32</v>
      </c>
      <c r="B604" s="11">
        <v>0.1875</v>
      </c>
      <c r="C604" s="11">
        <v>0.34513888888888888</v>
      </c>
      <c r="D604" s="12">
        <f t="shared" ref="D604:D609" si="14">C604-B604</f>
        <v>0.15763888888888888</v>
      </c>
      <c r="E604" s="10" t="s">
        <v>13</v>
      </c>
      <c r="F604" s="10" t="s">
        <v>164</v>
      </c>
    </row>
    <row r="605" spans="1:6" ht="15" thickBot="1" x14ac:dyDescent="0.35">
      <c r="A605" s="10" t="s">
        <v>36</v>
      </c>
      <c r="B605" s="11">
        <v>0.27083333333333331</v>
      </c>
      <c r="C605" s="11">
        <v>0.27777777777777779</v>
      </c>
      <c r="D605" s="12">
        <f t="shared" si="14"/>
        <v>6.9444444444444753E-3</v>
      </c>
      <c r="E605" s="10" t="s">
        <v>13</v>
      </c>
      <c r="F605" s="10" t="s">
        <v>14</v>
      </c>
    </row>
    <row r="606" spans="1:6" ht="15" thickBot="1" x14ac:dyDescent="0.35">
      <c r="A606" s="10" t="s">
        <v>52</v>
      </c>
      <c r="B606" s="11">
        <v>0.29166666666666669</v>
      </c>
      <c r="C606" s="11">
        <v>0.2986111111111111</v>
      </c>
      <c r="D606" s="12">
        <f t="shared" si="14"/>
        <v>6.9444444444444198E-3</v>
      </c>
      <c r="E606" s="10" t="s">
        <v>15</v>
      </c>
      <c r="F606" s="10" t="s">
        <v>13</v>
      </c>
    </row>
    <row r="607" spans="1:6" ht="15" thickBot="1" x14ac:dyDescent="0.35">
      <c r="A607" s="10" t="s">
        <v>48</v>
      </c>
      <c r="B607" s="11">
        <v>0.41666666666666669</v>
      </c>
      <c r="C607" s="11">
        <v>0.46666666666666667</v>
      </c>
      <c r="D607" s="12">
        <f t="shared" si="14"/>
        <v>4.9999999999999989E-2</v>
      </c>
      <c r="E607" s="10" t="s">
        <v>13</v>
      </c>
      <c r="F607" s="10" t="s">
        <v>49</v>
      </c>
    </row>
    <row r="608" spans="1:6" ht="15" thickBot="1" x14ac:dyDescent="0.35">
      <c r="A608" s="10" t="s">
        <v>32</v>
      </c>
      <c r="B608" s="11">
        <v>0.70763888888888893</v>
      </c>
      <c r="C608" s="11">
        <v>46142.782638888886</v>
      </c>
      <c r="D608" s="12">
        <f t="shared" si="14"/>
        <v>46142.074999999997</v>
      </c>
      <c r="E608" s="10" t="s">
        <v>164</v>
      </c>
      <c r="F608" s="10" t="s">
        <v>13</v>
      </c>
    </row>
    <row r="609" spans="1:6" ht="15" thickBot="1" x14ac:dyDescent="0.35">
      <c r="A609" s="10" t="s">
        <v>20</v>
      </c>
      <c r="B609" s="11">
        <v>0.95833333333333337</v>
      </c>
      <c r="C609" s="11">
        <v>4.5138888888888888E-2</v>
      </c>
      <c r="D609" s="12">
        <f t="shared" si="14"/>
        <v>-0.91319444444444453</v>
      </c>
      <c r="E609" s="10" t="s">
        <v>91</v>
      </c>
      <c r="F609" s="10" t="s">
        <v>13</v>
      </c>
    </row>
    <row r="610" spans="1:6" ht="15" thickBot="1" x14ac:dyDescent="0.35"/>
    <row r="611" spans="1:6" ht="29.4" thickBot="1" x14ac:dyDescent="0.35">
      <c r="A611" s="251" t="s">
        <v>125</v>
      </c>
      <c r="B611" s="252"/>
      <c r="C611" s="253"/>
      <c r="D611" s="256">
        <v>46142</v>
      </c>
      <c r="E611" s="257"/>
    </row>
    <row r="612" spans="1:6" ht="18.600000000000001" thickBot="1" x14ac:dyDescent="0.35">
      <c r="A612" s="2" t="s">
        <v>168</v>
      </c>
      <c r="B612" s="2" t="s">
        <v>169</v>
      </c>
      <c r="C612" s="2" t="s">
        <v>166</v>
      </c>
      <c r="D612" s="2" t="s">
        <v>167</v>
      </c>
      <c r="E612" s="2" t="s">
        <v>170</v>
      </c>
    </row>
    <row r="613" spans="1:6" ht="18.600000000000001" thickBot="1" x14ac:dyDescent="0.35">
      <c r="A613" s="7">
        <v>7884872</v>
      </c>
      <c r="B613" s="5" t="s">
        <v>102</v>
      </c>
      <c r="C613" s="35">
        <v>9.0972222222222218E-2</v>
      </c>
      <c r="D613" s="11">
        <v>0.25416666666666665</v>
      </c>
      <c r="E613" s="37">
        <v>0.16319444444444442</v>
      </c>
    </row>
    <row r="614" spans="1:6" ht="18.600000000000001" thickBot="1" x14ac:dyDescent="0.35">
      <c r="A614" s="7">
        <v>7884997</v>
      </c>
      <c r="B614" s="36" t="s">
        <v>50</v>
      </c>
      <c r="C614" s="35">
        <v>46142.876388888886</v>
      </c>
      <c r="D614" s="11">
        <v>46143.072916666664</v>
      </c>
      <c r="E614" s="37">
        <v>0.19652777777810115</v>
      </c>
    </row>
    <row r="615" spans="1:6" ht="18.600000000000001" thickBot="1" x14ac:dyDescent="0.35">
      <c r="A615" s="7">
        <v>7885053</v>
      </c>
      <c r="B615" s="36" t="s">
        <v>163</v>
      </c>
      <c r="C615" s="35">
        <v>46142.931944444441</v>
      </c>
      <c r="D615" s="11">
        <v>46143.131944444445</v>
      </c>
      <c r="E615" s="37">
        <v>0.20000000000436557</v>
      </c>
    </row>
    <row r="616" spans="1:6" ht="18.600000000000001" thickBot="1" x14ac:dyDescent="0.35">
      <c r="A616" s="7">
        <v>7885392</v>
      </c>
      <c r="B616" s="36" t="s">
        <v>36</v>
      </c>
      <c r="C616" s="35">
        <v>0.5180555555555556</v>
      </c>
      <c r="D616" s="11">
        <v>0.6020833333333333</v>
      </c>
      <c r="E616" s="37">
        <v>8.4027777777777701E-2</v>
      </c>
    </row>
    <row r="617" spans="1:6" ht="18.600000000000001" thickBot="1" x14ac:dyDescent="0.35">
      <c r="A617" s="7">
        <v>7885681</v>
      </c>
      <c r="B617" s="36" t="s">
        <v>51</v>
      </c>
      <c r="C617" s="35">
        <v>46142.940972222219</v>
      </c>
      <c r="D617" s="11">
        <v>46143.342361111114</v>
      </c>
      <c r="E617" s="37">
        <v>0.40138888889487134</v>
      </c>
    </row>
    <row r="618" spans="1:6" ht="15" thickBot="1" x14ac:dyDescent="0.35"/>
    <row r="619" spans="1:6" ht="16.2" thickBot="1" x14ac:dyDescent="0.35">
      <c r="E619" s="6" t="s">
        <v>70</v>
      </c>
      <c r="F619" s="6" t="s">
        <v>71</v>
      </c>
    </row>
    <row r="621" spans="1:6" ht="15" thickBot="1" x14ac:dyDescent="0.35"/>
    <row r="622" spans="1:6" ht="29.4" thickBot="1" x14ac:dyDescent="0.35">
      <c r="A622" s="251" t="s">
        <v>92</v>
      </c>
      <c r="B622" s="252"/>
      <c r="C622" s="253"/>
      <c r="D622" s="254">
        <v>46151</v>
      </c>
      <c r="E622" s="255"/>
    </row>
    <row r="623" spans="1:6" ht="18.600000000000001" thickBot="1" x14ac:dyDescent="0.35">
      <c r="A623" s="2" t="s">
        <v>59</v>
      </c>
      <c r="B623" s="2" t="s">
        <v>60</v>
      </c>
      <c r="C623" s="2" t="s">
        <v>61</v>
      </c>
      <c r="D623" s="2" t="s">
        <v>62</v>
      </c>
      <c r="E623" s="2" t="s">
        <v>10</v>
      </c>
    </row>
    <row r="624" spans="1:6" ht="18.600000000000001" thickBot="1" x14ac:dyDescent="0.35">
      <c r="A624" s="7">
        <f>B624+C624+D624</f>
        <v>45</v>
      </c>
      <c r="B624" s="5">
        <v>21</v>
      </c>
      <c r="C624" s="5">
        <v>21</v>
      </c>
      <c r="D624" s="5">
        <v>3</v>
      </c>
      <c r="E624" s="5"/>
    </row>
    <row r="625" spans="1:5" ht="15" thickBot="1" x14ac:dyDescent="0.35">
      <c r="A625" s="1"/>
      <c r="B625" s="1"/>
      <c r="C625" s="1"/>
      <c r="D625" s="1"/>
      <c r="E625" s="1"/>
    </row>
    <row r="626" spans="1:5" ht="29.4" thickBot="1" x14ac:dyDescent="0.35">
      <c r="A626" s="251" t="s">
        <v>72</v>
      </c>
      <c r="B626" s="252"/>
      <c r="C626" s="253"/>
      <c r="D626" s="14">
        <v>46151</v>
      </c>
      <c r="E626" s="13"/>
    </row>
    <row r="627" spans="1:5" ht="18.600000000000001" thickBot="1" x14ac:dyDescent="0.35">
      <c r="A627" s="2" t="s">
        <v>63</v>
      </c>
      <c r="B627" s="2" t="s">
        <v>64</v>
      </c>
      <c r="C627" s="2" t="s">
        <v>65</v>
      </c>
      <c r="D627" s="2" t="s">
        <v>66</v>
      </c>
      <c r="E627" s="1"/>
    </row>
    <row r="628" spans="1:5" ht="18.600000000000001" thickBot="1" x14ac:dyDescent="0.35">
      <c r="A628" s="3">
        <f>B628+C628+D628</f>
        <v>45</v>
      </c>
      <c r="B628" s="4">
        <f>A624-C628</f>
        <v>36</v>
      </c>
      <c r="C628" s="4">
        <v>9</v>
      </c>
      <c r="D628" s="5">
        <v>0</v>
      </c>
      <c r="E628" s="1"/>
    </row>
    <row r="629" spans="1:5" ht="15" thickBot="1" x14ac:dyDescent="0.35"/>
    <row r="630" spans="1:5" ht="29.4" thickBot="1" x14ac:dyDescent="0.35">
      <c r="A630" s="251" t="s">
        <v>125</v>
      </c>
      <c r="B630" s="252"/>
      <c r="C630" s="253"/>
      <c r="D630" s="256">
        <v>46151</v>
      </c>
      <c r="E630" s="257"/>
    </row>
    <row r="631" spans="1:5" ht="18.600000000000001" thickBot="1" x14ac:dyDescent="0.35">
      <c r="A631" s="2" t="s">
        <v>168</v>
      </c>
      <c r="B631" s="2" t="s">
        <v>169</v>
      </c>
      <c r="C631" s="2" t="s">
        <v>166</v>
      </c>
      <c r="D631" s="2" t="s">
        <v>167</v>
      </c>
      <c r="E631" s="2" t="s">
        <v>170</v>
      </c>
    </row>
    <row r="632" spans="1:5" ht="15.6" x14ac:dyDescent="0.3">
      <c r="A632" s="40">
        <v>7905766</v>
      </c>
      <c r="B632" s="27" t="s">
        <v>94</v>
      </c>
      <c r="C632" s="38">
        <v>46239.390972222223</v>
      </c>
      <c r="D632" s="39">
        <v>46239.480555555558</v>
      </c>
      <c r="E632" s="45">
        <v>4.7916666667636797E-2</v>
      </c>
    </row>
    <row r="633" spans="1:5" ht="15.6" x14ac:dyDescent="0.3">
      <c r="A633" s="40">
        <v>7905744</v>
      </c>
      <c r="B633" s="27" t="s">
        <v>84</v>
      </c>
      <c r="C633" s="38">
        <v>46239.375</v>
      </c>
      <c r="D633" s="38">
        <v>46239.44027777778</v>
      </c>
      <c r="E633" s="41">
        <v>2.7777777795563452E-3</v>
      </c>
    </row>
    <row r="634" spans="1:5" ht="15.6" x14ac:dyDescent="0.3">
      <c r="A634" s="40">
        <v>7906044</v>
      </c>
      <c r="B634" s="27" t="s">
        <v>82</v>
      </c>
      <c r="C634" s="38">
        <v>46239.618750000001</v>
      </c>
      <c r="D634" s="38">
        <v>46239.800694444442</v>
      </c>
      <c r="E634" s="41">
        <v>9.8611111107553981E-2</v>
      </c>
    </row>
    <row r="635" spans="1:5" ht="15.6" x14ac:dyDescent="0.3">
      <c r="A635" s="40">
        <v>7906266</v>
      </c>
      <c r="B635" s="27" t="s">
        <v>12</v>
      </c>
      <c r="C635" s="38">
        <v>46239.375</v>
      </c>
      <c r="D635" s="38">
        <v>46239.484027777777</v>
      </c>
      <c r="E635" s="41">
        <v>4.6527777776645962E-2</v>
      </c>
    </row>
    <row r="636" spans="1:5" ht="15.6" x14ac:dyDescent="0.3">
      <c r="A636" s="40">
        <v>7906254</v>
      </c>
      <c r="B636" s="27" t="s">
        <v>99</v>
      </c>
      <c r="C636" s="38">
        <v>46239.811805555553</v>
      </c>
      <c r="D636" s="38">
        <v>46270.002083333333</v>
      </c>
      <c r="E636" s="41">
        <v>30.106944444446224</v>
      </c>
    </row>
    <row r="637" spans="1:5" ht="15.6" x14ac:dyDescent="0.3">
      <c r="A637" s="40">
        <v>7906516</v>
      </c>
      <c r="B637" s="27" t="s">
        <v>40</v>
      </c>
      <c r="C637" s="38">
        <v>46239.909722222219</v>
      </c>
      <c r="D637" s="38">
        <v>46270.026388888888</v>
      </c>
      <c r="E637" s="41">
        <v>30.033333333335275</v>
      </c>
    </row>
    <row r="638" spans="1:5" ht="15.6" x14ac:dyDescent="0.3">
      <c r="A638" s="40">
        <v>7906513</v>
      </c>
      <c r="B638" s="27" t="s">
        <v>48</v>
      </c>
      <c r="C638" s="38">
        <v>46239.868055555555</v>
      </c>
      <c r="D638" s="38">
        <v>46239.993055555555</v>
      </c>
      <c r="E638" s="41">
        <v>4.1666666666666671E-2</v>
      </c>
    </row>
    <row r="639" spans="1:5" ht="15.6" x14ac:dyDescent="0.3">
      <c r="A639" s="40">
        <v>7906584</v>
      </c>
      <c r="B639" s="27" t="s">
        <v>50</v>
      </c>
      <c r="C639" s="38">
        <v>46239.540972222225</v>
      </c>
      <c r="D639" s="38">
        <v>46239.666666666664</v>
      </c>
      <c r="E639" s="41">
        <v>4.2361111106098789E-2</v>
      </c>
    </row>
    <row r="640" spans="1:5" ht="16.2" thickBot="1" x14ac:dyDescent="0.35">
      <c r="A640" s="42">
        <v>7906451</v>
      </c>
      <c r="B640" s="43" t="s">
        <v>90</v>
      </c>
      <c r="C640" s="44">
        <v>46239.34375</v>
      </c>
      <c r="D640" s="44">
        <v>46239.436805555553</v>
      </c>
      <c r="E640" s="46">
        <v>5.138888888662526E-2</v>
      </c>
    </row>
    <row r="641" spans="1:6" ht="15" thickBot="1" x14ac:dyDescent="0.35"/>
    <row r="642" spans="1:6" ht="16.2" thickBot="1" x14ac:dyDescent="0.35">
      <c r="E642" s="6" t="s">
        <v>70</v>
      </c>
      <c r="F642" s="6" t="s">
        <v>71</v>
      </c>
    </row>
    <row r="643" spans="1:6" ht="15" thickBot="1" x14ac:dyDescent="0.35"/>
    <row r="644" spans="1:6" ht="29.4" thickBot="1" x14ac:dyDescent="0.35">
      <c r="A644" s="251" t="s">
        <v>92</v>
      </c>
      <c r="B644" s="252"/>
      <c r="C644" s="253"/>
      <c r="D644" s="254">
        <v>46151</v>
      </c>
      <c r="E644" s="255"/>
    </row>
    <row r="645" spans="1:6" ht="18.600000000000001" thickBot="1" x14ac:dyDescent="0.35">
      <c r="A645" s="2" t="s">
        <v>59</v>
      </c>
      <c r="B645" s="2" t="s">
        <v>60</v>
      </c>
      <c r="C645" s="2" t="s">
        <v>61</v>
      </c>
      <c r="D645" s="2" t="s">
        <v>62</v>
      </c>
      <c r="E645" s="2" t="s">
        <v>10</v>
      </c>
    </row>
    <row r="646" spans="1:6" ht="18.600000000000001" thickBot="1" x14ac:dyDescent="0.35">
      <c r="A646" s="7">
        <f>B646+C646+D646</f>
        <v>46</v>
      </c>
      <c r="B646" s="5">
        <v>24</v>
      </c>
      <c r="C646" s="5">
        <v>16</v>
      </c>
      <c r="D646" s="5">
        <v>6</v>
      </c>
      <c r="E646" s="5"/>
    </row>
    <row r="647" spans="1:6" ht="15" thickBot="1" x14ac:dyDescent="0.35">
      <c r="A647" s="1"/>
      <c r="B647" s="1"/>
      <c r="C647" s="1"/>
      <c r="D647" s="1"/>
      <c r="E647" s="1"/>
    </row>
    <row r="648" spans="1:6" ht="29.4" thickBot="1" x14ac:dyDescent="0.35">
      <c r="A648" s="251" t="s">
        <v>72</v>
      </c>
      <c r="B648" s="252"/>
      <c r="C648" s="253"/>
      <c r="D648" s="14">
        <v>46151</v>
      </c>
      <c r="E648" s="13"/>
    </row>
    <row r="649" spans="1:6" ht="18.600000000000001" thickBot="1" x14ac:dyDescent="0.35">
      <c r="A649" s="2" t="s">
        <v>63</v>
      </c>
      <c r="B649" s="2" t="s">
        <v>64</v>
      </c>
      <c r="C649" s="2" t="s">
        <v>65</v>
      </c>
      <c r="D649" s="2" t="s">
        <v>66</v>
      </c>
      <c r="E649" s="1"/>
    </row>
    <row r="650" spans="1:6" ht="18.600000000000001" thickBot="1" x14ac:dyDescent="0.35">
      <c r="A650" s="3">
        <f>B650+C650+D650</f>
        <v>46</v>
      </c>
      <c r="B650" s="4">
        <f>A646-C650</f>
        <v>37</v>
      </c>
      <c r="C650" s="4">
        <v>9</v>
      </c>
      <c r="D650" s="5">
        <v>0</v>
      </c>
      <c r="E650" s="1"/>
    </row>
    <row r="651" spans="1:6" ht="15" thickBot="1" x14ac:dyDescent="0.35"/>
    <row r="652" spans="1:6" ht="29.4" thickBot="1" x14ac:dyDescent="0.35">
      <c r="A652" s="251" t="s">
        <v>125</v>
      </c>
      <c r="B652" s="252"/>
      <c r="C652" s="253"/>
      <c r="D652" s="256">
        <v>46151</v>
      </c>
      <c r="E652" s="257"/>
    </row>
    <row r="653" spans="1:6" ht="18.600000000000001" thickBot="1" x14ac:dyDescent="0.35">
      <c r="A653" s="2" t="s">
        <v>168</v>
      </c>
      <c r="B653" s="2" t="s">
        <v>169</v>
      </c>
      <c r="C653" s="2" t="s">
        <v>166</v>
      </c>
      <c r="D653" s="2" t="s">
        <v>167</v>
      </c>
      <c r="E653" s="2" t="s">
        <v>170</v>
      </c>
    </row>
    <row r="654" spans="1:6" ht="15.6" x14ac:dyDescent="0.3">
      <c r="A654" s="40">
        <v>7905766</v>
      </c>
      <c r="B654" s="27" t="s">
        <v>94</v>
      </c>
      <c r="C654" s="38">
        <v>46239.390972222223</v>
      </c>
      <c r="D654" s="39">
        <v>46239.480555555558</v>
      </c>
      <c r="E654" s="45">
        <v>4.7916666667636797E-2</v>
      </c>
    </row>
    <row r="655" spans="1:6" ht="15.6" x14ac:dyDescent="0.3">
      <c r="A655" s="40">
        <v>7905744</v>
      </c>
      <c r="B655" s="27" t="s">
        <v>84</v>
      </c>
      <c r="C655" s="38">
        <v>46239.375</v>
      </c>
      <c r="D655" s="38">
        <v>46239.44027777778</v>
      </c>
      <c r="E655" s="41">
        <v>2.7777777795563452E-3</v>
      </c>
    </row>
    <row r="656" spans="1:6" ht="15.6" x14ac:dyDescent="0.3">
      <c r="A656" s="40">
        <v>7906044</v>
      </c>
      <c r="B656" s="27" t="s">
        <v>82</v>
      </c>
      <c r="C656" s="38">
        <v>46239.618750000001</v>
      </c>
      <c r="D656" s="38">
        <v>46239.800694444442</v>
      </c>
      <c r="E656" s="41">
        <v>9.8611111107553981E-2</v>
      </c>
    </row>
    <row r="657" spans="1:12" ht="15.6" x14ac:dyDescent="0.3">
      <c r="A657" s="40">
        <v>7906266</v>
      </c>
      <c r="B657" s="27" t="s">
        <v>12</v>
      </c>
      <c r="C657" s="38">
        <v>46239.375</v>
      </c>
      <c r="D657" s="38">
        <v>46239.484027777777</v>
      </c>
      <c r="E657" s="41">
        <v>4.6527777776645962E-2</v>
      </c>
    </row>
    <row r="658" spans="1:12" ht="15.6" x14ac:dyDescent="0.3">
      <c r="A658" s="40">
        <v>7906254</v>
      </c>
      <c r="B658" s="27" t="s">
        <v>99</v>
      </c>
      <c r="C658" s="38">
        <v>46239.811805555553</v>
      </c>
      <c r="D658" s="38">
        <v>46270.002083333333</v>
      </c>
      <c r="E658" s="41">
        <v>30.106944444446224</v>
      </c>
    </row>
    <row r="659" spans="1:12" ht="15.6" x14ac:dyDescent="0.3">
      <c r="A659" s="40">
        <v>7906516</v>
      </c>
      <c r="B659" s="27" t="s">
        <v>40</v>
      </c>
      <c r="C659" s="38">
        <v>46239.909722222219</v>
      </c>
      <c r="D659" s="38">
        <v>46270.026388888888</v>
      </c>
      <c r="E659" s="41">
        <v>30.033333333335275</v>
      </c>
    </row>
    <row r="660" spans="1:12" ht="15.6" x14ac:dyDescent="0.3">
      <c r="A660" s="40">
        <v>7906513</v>
      </c>
      <c r="B660" s="27" t="s">
        <v>48</v>
      </c>
      <c r="C660" s="38">
        <v>46239.868055555555</v>
      </c>
      <c r="D660" s="38">
        <v>46239.993055555555</v>
      </c>
      <c r="E660" s="41">
        <v>4.1666666666666671E-2</v>
      </c>
    </row>
    <row r="661" spans="1:12" ht="15.6" x14ac:dyDescent="0.3">
      <c r="A661" s="40">
        <v>7906584</v>
      </c>
      <c r="B661" s="27" t="s">
        <v>50</v>
      </c>
      <c r="C661" s="38">
        <v>46239.540972222225</v>
      </c>
      <c r="D661" s="38">
        <v>46239.666666666664</v>
      </c>
      <c r="E661" s="41">
        <v>4.2361111106098789E-2</v>
      </c>
    </row>
    <row r="662" spans="1:12" ht="16.2" thickBot="1" x14ac:dyDescent="0.35">
      <c r="A662" s="42">
        <v>7906451</v>
      </c>
      <c r="B662" s="43" t="s">
        <v>90</v>
      </c>
      <c r="C662" s="44">
        <v>46239.34375</v>
      </c>
      <c r="D662" s="44">
        <v>46239.436805555553</v>
      </c>
      <c r="E662" s="46">
        <v>5.138888888662526E-2</v>
      </c>
    </row>
    <row r="663" spans="1:12" ht="15" thickBot="1" x14ac:dyDescent="0.35"/>
    <row r="664" spans="1:12" ht="16.2" thickBot="1" x14ac:dyDescent="0.35">
      <c r="E664" s="6" t="s">
        <v>70</v>
      </c>
      <c r="F664" s="6" t="s">
        <v>71</v>
      </c>
    </row>
    <row r="667" spans="1:12" ht="15" thickBot="1" x14ac:dyDescent="0.35"/>
    <row r="668" spans="1:12" ht="69.599999999999994" thickBot="1" x14ac:dyDescent="0.35">
      <c r="A668" s="72" t="s">
        <v>185</v>
      </c>
      <c r="B668" s="72" t="s">
        <v>73</v>
      </c>
      <c r="C668" s="73" t="s">
        <v>74</v>
      </c>
      <c r="D668" s="73" t="s">
        <v>191</v>
      </c>
      <c r="E668" s="73" t="s">
        <v>75</v>
      </c>
      <c r="F668" s="73" t="s">
        <v>76</v>
      </c>
      <c r="G668" s="73" t="s">
        <v>177</v>
      </c>
      <c r="H668" s="73" t="s">
        <v>77</v>
      </c>
      <c r="I668" s="73" t="s">
        <v>78</v>
      </c>
      <c r="J668" s="73" t="s">
        <v>79</v>
      </c>
      <c r="K668" s="73" t="s">
        <v>80</v>
      </c>
      <c r="L668" s="73" t="s">
        <v>81</v>
      </c>
    </row>
    <row r="669" spans="1:12" ht="15.6" x14ac:dyDescent="0.3">
      <c r="A669" s="25">
        <v>3</v>
      </c>
      <c r="B669" s="25">
        <v>7945882</v>
      </c>
      <c r="C669" s="26">
        <v>46165</v>
      </c>
      <c r="D669" s="26" t="s">
        <v>189</v>
      </c>
      <c r="E669" s="27" t="s">
        <v>83</v>
      </c>
      <c r="F669" s="25" t="s">
        <v>172</v>
      </c>
      <c r="G669" s="38">
        <v>46165.375</v>
      </c>
      <c r="H669" s="38">
        <v>46165.506944444445</v>
      </c>
      <c r="I669" s="28">
        <f t="shared" ref="I669:I700" si="15">H669-G669</f>
        <v>0.13194444444525288</v>
      </c>
      <c r="J669" s="29">
        <v>6.25E-2</v>
      </c>
      <c r="K669" s="28">
        <f t="shared" ref="K669:K700" si="16">I669-J669</f>
        <v>6.9444444445252884E-2</v>
      </c>
      <c r="L669" s="30"/>
    </row>
    <row r="670" spans="1:12" ht="15.6" x14ac:dyDescent="0.3">
      <c r="A670" s="25">
        <v>1</v>
      </c>
      <c r="B670" s="25">
        <v>7953736</v>
      </c>
      <c r="C670" s="26" t="s">
        <v>217</v>
      </c>
      <c r="D670" s="26" t="s">
        <v>189</v>
      </c>
      <c r="E670" s="27" t="s">
        <v>83</v>
      </c>
      <c r="F670" s="25" t="s">
        <v>172</v>
      </c>
      <c r="G670" s="38">
        <v>46168.375</v>
      </c>
      <c r="H670" s="38">
        <v>46168.496527777781</v>
      </c>
      <c r="I670" s="28">
        <f t="shared" si="15"/>
        <v>0.12152777778101154</v>
      </c>
      <c r="J670" s="29">
        <v>6.25E-2</v>
      </c>
      <c r="K670" s="28">
        <f t="shared" si="16"/>
        <v>5.9027777781011537E-2</v>
      </c>
      <c r="L670" s="30"/>
    </row>
    <row r="671" spans="1:12" ht="15.6" x14ac:dyDescent="0.3">
      <c r="A671" s="25">
        <v>4</v>
      </c>
      <c r="B671" s="25">
        <v>7940432</v>
      </c>
      <c r="C671" s="26">
        <v>46163</v>
      </c>
      <c r="D671" s="26" t="s">
        <v>189</v>
      </c>
      <c r="E671" s="27" t="s">
        <v>37</v>
      </c>
      <c r="F671" s="25" t="s">
        <v>172</v>
      </c>
      <c r="G671" s="38">
        <v>46163.375</v>
      </c>
      <c r="H671" s="38">
        <v>46163.503472222219</v>
      </c>
      <c r="I671" s="28">
        <f t="shared" si="15"/>
        <v>0.12847222221898846</v>
      </c>
      <c r="J671" s="29">
        <v>8.3333333333333329E-2</v>
      </c>
      <c r="K671" s="28">
        <f t="shared" si="16"/>
        <v>4.5138888885655135E-2</v>
      </c>
      <c r="L671" s="30"/>
    </row>
    <row r="672" spans="1:12" ht="15.6" x14ac:dyDescent="0.3">
      <c r="A672" s="25">
        <v>10</v>
      </c>
      <c r="B672" s="25">
        <v>7948562</v>
      </c>
      <c r="C672" s="26">
        <v>46166</v>
      </c>
      <c r="D672" s="26" t="s">
        <v>209</v>
      </c>
      <c r="E672" s="27" t="s">
        <v>37</v>
      </c>
      <c r="F672" s="25" t="s">
        <v>204</v>
      </c>
      <c r="G672" s="38">
        <v>46166.375</v>
      </c>
      <c r="H672" s="38">
        <v>46166.496527777781</v>
      </c>
      <c r="I672" s="28">
        <f t="shared" si="15"/>
        <v>0.12152777778101154</v>
      </c>
      <c r="J672" s="29">
        <v>6.25E-2</v>
      </c>
      <c r="K672" s="28">
        <f t="shared" si="16"/>
        <v>5.9027777781011537E-2</v>
      </c>
      <c r="L672" s="30"/>
    </row>
    <row r="673" spans="1:12" ht="15.6" x14ac:dyDescent="0.3">
      <c r="A673" s="25">
        <v>3</v>
      </c>
      <c r="B673" s="25">
        <v>7956475</v>
      </c>
      <c r="C673" s="26" t="s">
        <v>219</v>
      </c>
      <c r="D673" s="26" t="s">
        <v>221</v>
      </c>
      <c r="E673" s="27" t="s">
        <v>37</v>
      </c>
      <c r="F673" s="25" t="s">
        <v>172</v>
      </c>
      <c r="G673" s="38">
        <v>46169.381944444445</v>
      </c>
      <c r="H673" s="38">
        <v>46169.527777777781</v>
      </c>
      <c r="I673" s="28">
        <f t="shared" si="15"/>
        <v>0.14583333333575865</v>
      </c>
      <c r="J673" s="29">
        <v>6.25E-2</v>
      </c>
      <c r="K673" s="28">
        <f t="shared" si="16"/>
        <v>8.3333333335758653E-2</v>
      </c>
      <c r="L673" s="30"/>
    </row>
    <row r="674" spans="1:12" ht="15.6" x14ac:dyDescent="0.3">
      <c r="A674" s="25">
        <v>7</v>
      </c>
      <c r="B674" s="25">
        <v>7943462</v>
      </c>
      <c r="C674" s="26">
        <v>46164</v>
      </c>
      <c r="D674" s="26" t="s">
        <v>198</v>
      </c>
      <c r="E674" s="27" t="s">
        <v>48</v>
      </c>
      <c r="F674" s="25" t="s">
        <v>13</v>
      </c>
      <c r="G674" s="38">
        <v>46164.900694444441</v>
      </c>
      <c r="H674" s="38">
        <v>46165.079861111109</v>
      </c>
      <c r="I674" s="28">
        <f t="shared" si="15"/>
        <v>0.17916666666860692</v>
      </c>
      <c r="J674" s="29">
        <v>8.3333333333333329E-2</v>
      </c>
      <c r="K674" s="28">
        <f t="shared" si="16"/>
        <v>9.5833333335273593E-2</v>
      </c>
      <c r="L674" s="30"/>
    </row>
    <row r="675" spans="1:12" ht="15.6" x14ac:dyDescent="0.3">
      <c r="A675" s="25">
        <v>4</v>
      </c>
      <c r="B675" s="25">
        <v>7943153</v>
      </c>
      <c r="C675" s="26">
        <v>46164</v>
      </c>
      <c r="D675" s="26" t="s">
        <v>195</v>
      </c>
      <c r="E675" s="27" t="s">
        <v>12</v>
      </c>
      <c r="F675" s="25" t="s">
        <v>126</v>
      </c>
      <c r="G675" s="38">
        <v>46164.375</v>
      </c>
      <c r="H675" s="38">
        <v>46164.479166666664</v>
      </c>
      <c r="I675" s="28">
        <f t="shared" si="15"/>
        <v>0.10416666666424135</v>
      </c>
      <c r="J675" s="29">
        <v>6.25E-2</v>
      </c>
      <c r="K675" s="28">
        <f t="shared" si="16"/>
        <v>4.1666666664241347E-2</v>
      </c>
      <c r="L675" s="30"/>
    </row>
    <row r="676" spans="1:12" ht="15.6" x14ac:dyDescent="0.3">
      <c r="A676" s="25">
        <v>3</v>
      </c>
      <c r="B676" s="25">
        <v>7959184</v>
      </c>
      <c r="C676" s="26" t="s">
        <v>226</v>
      </c>
      <c r="D676" s="26" t="s">
        <v>189</v>
      </c>
      <c r="E676" s="27" t="s">
        <v>12</v>
      </c>
      <c r="F676" s="25" t="s">
        <v>172</v>
      </c>
      <c r="G676" s="38">
        <v>46170.375</v>
      </c>
      <c r="H676" s="38">
        <v>46170.46875</v>
      </c>
      <c r="I676" s="28">
        <f t="shared" si="15"/>
        <v>9.375E-2</v>
      </c>
      <c r="J676" s="29">
        <v>8.3333333333333329E-2</v>
      </c>
      <c r="K676" s="28">
        <f t="shared" si="16"/>
        <v>1.0416666666666671E-2</v>
      </c>
      <c r="L676" s="30"/>
    </row>
    <row r="677" spans="1:12" ht="15.6" x14ac:dyDescent="0.3">
      <c r="A677" s="25">
        <v>5</v>
      </c>
      <c r="B677" s="25">
        <v>7946156</v>
      </c>
      <c r="C677" s="26">
        <v>46165</v>
      </c>
      <c r="D677" s="26" t="s">
        <v>198</v>
      </c>
      <c r="E677" s="27" t="s">
        <v>51</v>
      </c>
      <c r="F677" s="25" t="s">
        <v>13</v>
      </c>
      <c r="G677" s="38">
        <v>46165.888194444444</v>
      </c>
      <c r="H677" s="38">
        <v>46166.072916666664</v>
      </c>
      <c r="I677" s="28">
        <f t="shared" si="15"/>
        <v>0.18472222222044365</v>
      </c>
      <c r="J677" s="29">
        <v>8.3333333333333329E-2</v>
      </c>
      <c r="K677" s="28">
        <f t="shared" si="16"/>
        <v>0.10138888888711033</v>
      </c>
      <c r="L677" s="30"/>
    </row>
    <row r="678" spans="1:12" ht="15.6" x14ac:dyDescent="0.3">
      <c r="A678" s="25">
        <v>7</v>
      </c>
      <c r="B678" s="25">
        <v>7951419</v>
      </c>
      <c r="C678" s="26" t="s">
        <v>212</v>
      </c>
      <c r="D678" s="26" t="s">
        <v>198</v>
      </c>
      <c r="E678" s="27" t="s">
        <v>51</v>
      </c>
      <c r="F678" s="25" t="s">
        <v>13</v>
      </c>
      <c r="G678" s="38">
        <v>46167.873611111114</v>
      </c>
      <c r="H678" s="38">
        <v>46167.959027777775</v>
      </c>
      <c r="I678" s="28">
        <f t="shared" si="15"/>
        <v>8.5416666661330964E-2</v>
      </c>
      <c r="J678" s="29">
        <v>8.3333333333333329E-2</v>
      </c>
      <c r="K678" s="28">
        <f t="shared" si="16"/>
        <v>2.0833333279976357E-3</v>
      </c>
      <c r="L678" s="30"/>
    </row>
    <row r="679" spans="1:12" ht="15.6" x14ac:dyDescent="0.3">
      <c r="A679" s="25">
        <v>4</v>
      </c>
      <c r="B679" s="25">
        <v>7959465</v>
      </c>
      <c r="C679" s="26" t="s">
        <v>226</v>
      </c>
      <c r="D679" s="26" t="s">
        <v>198</v>
      </c>
      <c r="E679" s="27" t="s">
        <v>51</v>
      </c>
      <c r="F679" s="25" t="s">
        <v>13</v>
      </c>
      <c r="G679" s="38">
        <v>46170.878472222219</v>
      </c>
      <c r="H679" s="38">
        <v>46170.997916666667</v>
      </c>
      <c r="I679" s="28">
        <f t="shared" si="15"/>
        <v>0.11944444444816327</v>
      </c>
      <c r="J679" s="29">
        <v>8.3333333333333329E-2</v>
      </c>
      <c r="K679" s="28">
        <f t="shared" si="16"/>
        <v>3.6111111114829939E-2</v>
      </c>
      <c r="L679" s="30"/>
    </row>
    <row r="680" spans="1:12" ht="15.6" x14ac:dyDescent="0.3">
      <c r="A680" s="25">
        <v>4</v>
      </c>
      <c r="B680" s="25">
        <v>7956529</v>
      </c>
      <c r="C680" s="26" t="s">
        <v>219</v>
      </c>
      <c r="D680" s="26" t="s">
        <v>222</v>
      </c>
      <c r="E680" s="27" t="s">
        <v>52</v>
      </c>
      <c r="F680" s="25" t="s">
        <v>205</v>
      </c>
      <c r="G680" s="38">
        <v>46169.375</v>
      </c>
      <c r="H680" s="38">
        <v>46169.461805555555</v>
      </c>
      <c r="I680" s="28">
        <f t="shared" si="15"/>
        <v>8.6805555554747116E-2</v>
      </c>
      <c r="J680" s="29">
        <v>4.1666666666666664E-2</v>
      </c>
      <c r="K680" s="28">
        <f t="shared" si="16"/>
        <v>4.5138888888080451E-2</v>
      </c>
      <c r="L680" s="30"/>
    </row>
    <row r="681" spans="1:12" ht="15.6" x14ac:dyDescent="0.3">
      <c r="A681" s="25">
        <v>5</v>
      </c>
      <c r="B681" s="25">
        <v>7943508</v>
      </c>
      <c r="C681" s="26">
        <v>46164</v>
      </c>
      <c r="D681" s="26" t="s">
        <v>196</v>
      </c>
      <c r="E681" s="27" t="s">
        <v>56</v>
      </c>
      <c r="F681" s="25" t="s">
        <v>192</v>
      </c>
      <c r="G681" s="38">
        <v>46164.597222222219</v>
      </c>
      <c r="H681" s="38">
        <v>46164.673611111109</v>
      </c>
      <c r="I681" s="28">
        <f t="shared" si="15"/>
        <v>7.6388888890505768E-2</v>
      </c>
      <c r="J681" s="29">
        <v>4.1666666666666664E-2</v>
      </c>
      <c r="K681" s="28">
        <f t="shared" si="16"/>
        <v>3.4722222223839104E-2</v>
      </c>
      <c r="L681" s="30"/>
    </row>
    <row r="682" spans="1:12" ht="15.6" x14ac:dyDescent="0.3">
      <c r="A682" s="25">
        <v>8</v>
      </c>
      <c r="B682" s="25">
        <v>7945255</v>
      </c>
      <c r="C682" s="26">
        <v>46165</v>
      </c>
      <c r="D682" s="26" t="s">
        <v>208</v>
      </c>
      <c r="E682" s="27" t="s">
        <v>90</v>
      </c>
      <c r="F682" s="25" t="s">
        <v>13</v>
      </c>
      <c r="G682" s="38">
        <v>46165.097916666666</v>
      </c>
      <c r="H682" s="38">
        <v>46165.149305555555</v>
      </c>
      <c r="I682" s="28">
        <f t="shared" si="15"/>
        <v>5.1388888889050577E-2</v>
      </c>
      <c r="J682" s="29">
        <v>4.1666666666666664E-2</v>
      </c>
      <c r="K682" s="28">
        <f t="shared" si="16"/>
        <v>9.7222222223839125E-3</v>
      </c>
      <c r="L682" s="30"/>
    </row>
    <row r="683" spans="1:12" ht="15.6" x14ac:dyDescent="0.3">
      <c r="A683" s="25">
        <v>9</v>
      </c>
      <c r="B683" s="25">
        <v>7950430</v>
      </c>
      <c r="C683" s="26" t="s">
        <v>212</v>
      </c>
      <c r="D683" s="26" t="s">
        <v>208</v>
      </c>
      <c r="E683" s="27" t="s">
        <v>90</v>
      </c>
      <c r="F683" s="25" t="s">
        <v>13</v>
      </c>
      <c r="G683" s="38">
        <v>46167.034722222219</v>
      </c>
      <c r="H683" s="38">
        <v>46167.084722222222</v>
      </c>
      <c r="I683" s="28">
        <f t="shared" si="15"/>
        <v>5.0000000002910383E-2</v>
      </c>
      <c r="J683" s="29">
        <v>4.1666666666666664E-2</v>
      </c>
      <c r="K683" s="28">
        <f t="shared" si="16"/>
        <v>8.3333333362437187E-3</v>
      </c>
      <c r="L683" s="30"/>
    </row>
    <row r="684" spans="1:12" ht="15.6" x14ac:dyDescent="0.3">
      <c r="A684" s="25">
        <v>1</v>
      </c>
      <c r="B684" s="25">
        <v>7948815</v>
      </c>
      <c r="C684" s="26">
        <v>46166</v>
      </c>
      <c r="D684" s="26" t="s">
        <v>201</v>
      </c>
      <c r="E684" s="27" t="s">
        <v>203</v>
      </c>
      <c r="F684" s="25" t="s">
        <v>96</v>
      </c>
      <c r="G684" s="38">
        <v>46168.041666666664</v>
      </c>
      <c r="H684" s="38">
        <v>46168.149305555555</v>
      </c>
      <c r="I684" s="28">
        <f t="shared" si="15"/>
        <v>0.10763888889050577</v>
      </c>
      <c r="J684" s="29">
        <v>8.3333333333333329E-2</v>
      </c>
      <c r="K684" s="28">
        <f t="shared" si="16"/>
        <v>2.430555555717244E-2</v>
      </c>
      <c r="L684" s="30"/>
    </row>
    <row r="685" spans="1:12" ht="15.6" x14ac:dyDescent="0.3">
      <c r="A685" s="25">
        <v>4</v>
      </c>
      <c r="B685" s="25">
        <v>7955657</v>
      </c>
      <c r="C685" s="26" t="s">
        <v>217</v>
      </c>
      <c r="D685" s="26" t="s">
        <v>190</v>
      </c>
      <c r="E685" s="27" t="s">
        <v>203</v>
      </c>
      <c r="F685" s="25" t="s">
        <v>96</v>
      </c>
      <c r="G685" s="38">
        <v>46169.09375</v>
      </c>
      <c r="H685" s="38">
        <v>46169.197222222225</v>
      </c>
      <c r="I685" s="28">
        <f t="shared" si="15"/>
        <v>0.10347222222480923</v>
      </c>
      <c r="J685" s="29">
        <v>8.3333333333333329E-2</v>
      </c>
      <c r="K685" s="28">
        <f t="shared" si="16"/>
        <v>2.0138888891475901E-2</v>
      </c>
      <c r="L685" s="30"/>
    </row>
    <row r="686" spans="1:12" ht="15.6" x14ac:dyDescent="0.3">
      <c r="A686" s="25">
        <v>1</v>
      </c>
      <c r="B686" s="25">
        <v>7959164</v>
      </c>
      <c r="C686" s="26" t="s">
        <v>226</v>
      </c>
      <c r="D686" s="26" t="s">
        <v>227</v>
      </c>
      <c r="E686" s="27" t="s">
        <v>97</v>
      </c>
      <c r="F686" s="25" t="s">
        <v>225</v>
      </c>
      <c r="G686" s="38">
        <v>46170.577777777777</v>
      </c>
      <c r="H686" s="38">
        <v>46170.637499999997</v>
      </c>
      <c r="I686" s="28">
        <f t="shared" si="15"/>
        <v>5.9722222220443655E-2</v>
      </c>
      <c r="J686" s="29">
        <v>4.1666666666666664E-2</v>
      </c>
      <c r="K686" s="28">
        <f t="shared" si="16"/>
        <v>1.805555555377699E-2</v>
      </c>
      <c r="L686" s="30"/>
    </row>
    <row r="687" spans="1:12" ht="15.6" x14ac:dyDescent="0.3">
      <c r="A687" s="25">
        <v>2</v>
      </c>
      <c r="B687" s="25">
        <v>7950628</v>
      </c>
      <c r="C687" s="26" t="s">
        <v>212</v>
      </c>
      <c r="D687" s="26" t="s">
        <v>213</v>
      </c>
      <c r="E687" s="27" t="s">
        <v>87</v>
      </c>
      <c r="F687" s="25" t="s">
        <v>211</v>
      </c>
      <c r="G687" s="38">
        <v>46167.388888888891</v>
      </c>
      <c r="H687" s="38">
        <v>46167.474999999999</v>
      </c>
      <c r="I687" s="28">
        <f t="shared" si="15"/>
        <v>8.611111110803904E-2</v>
      </c>
      <c r="J687" s="29">
        <v>6.25E-2</v>
      </c>
      <c r="K687" s="28">
        <f t="shared" si="16"/>
        <v>2.361111110803904E-2</v>
      </c>
      <c r="L687" s="30"/>
    </row>
    <row r="688" spans="1:12" ht="15.6" x14ac:dyDescent="0.3">
      <c r="A688" s="25">
        <v>2</v>
      </c>
      <c r="B688" s="25">
        <v>7958683</v>
      </c>
      <c r="C688" s="26" t="s">
        <v>226</v>
      </c>
      <c r="D688" s="26" t="s">
        <v>228</v>
      </c>
      <c r="E688" s="27" t="s">
        <v>84</v>
      </c>
      <c r="F688" s="25" t="s">
        <v>174</v>
      </c>
      <c r="G688" s="38">
        <v>46170.364583333336</v>
      </c>
      <c r="H688" s="38">
        <v>46170.451388888891</v>
      </c>
      <c r="I688" s="28">
        <f t="shared" si="15"/>
        <v>8.6805555554747116E-2</v>
      </c>
      <c r="J688" s="29">
        <v>6.25E-2</v>
      </c>
      <c r="K688" s="28">
        <f t="shared" si="16"/>
        <v>2.4305555554747116E-2</v>
      </c>
      <c r="L688" s="30"/>
    </row>
    <row r="689" spans="1:12" ht="15.6" x14ac:dyDescent="0.3">
      <c r="A689" s="25">
        <v>3</v>
      </c>
      <c r="B689" s="25">
        <v>7954028</v>
      </c>
      <c r="C689" s="26" t="s">
        <v>217</v>
      </c>
      <c r="D689" s="26" t="s">
        <v>218</v>
      </c>
      <c r="E689" s="27" t="s">
        <v>50</v>
      </c>
      <c r="F689" s="25" t="s">
        <v>45</v>
      </c>
      <c r="G689" s="38">
        <v>46168.506944444445</v>
      </c>
      <c r="H689" s="38">
        <v>46168.604166666664</v>
      </c>
      <c r="I689" s="28">
        <f t="shared" si="15"/>
        <v>9.7222222218988463E-2</v>
      </c>
      <c r="J689" s="29">
        <v>8.3333333333333329E-2</v>
      </c>
      <c r="K689" s="28">
        <f t="shared" si="16"/>
        <v>1.3888888885655135E-2</v>
      </c>
      <c r="L689" s="30"/>
    </row>
    <row r="690" spans="1:12" ht="15.6" x14ac:dyDescent="0.3">
      <c r="A690" s="25">
        <v>5</v>
      </c>
      <c r="B690" s="25">
        <v>7956704</v>
      </c>
      <c r="C690" s="26" t="s">
        <v>219</v>
      </c>
      <c r="D690" s="26" t="s">
        <v>223</v>
      </c>
      <c r="E690" s="27" t="s">
        <v>50</v>
      </c>
      <c r="F690" s="25" t="s">
        <v>45</v>
      </c>
      <c r="G690" s="38">
        <v>46169.936805555553</v>
      </c>
      <c r="H690" s="38">
        <v>46170.020833333336</v>
      </c>
      <c r="I690" s="28">
        <f t="shared" si="15"/>
        <v>8.4027777782466728E-2</v>
      </c>
      <c r="J690" s="29">
        <v>8.3333333333333329E-2</v>
      </c>
      <c r="K690" s="28">
        <f t="shared" si="16"/>
        <v>6.9444444913339953E-4</v>
      </c>
      <c r="L690" s="30"/>
    </row>
    <row r="691" spans="1:12" ht="15.6" x14ac:dyDescent="0.3">
      <c r="A691" s="25">
        <v>12</v>
      </c>
      <c r="B691" s="25">
        <v>7948690</v>
      </c>
      <c r="C691" s="26">
        <v>46166</v>
      </c>
      <c r="D691" s="26" t="s">
        <v>197</v>
      </c>
      <c r="E691" s="27" t="s">
        <v>86</v>
      </c>
      <c r="F691" s="25" t="s">
        <v>45</v>
      </c>
      <c r="G691" s="38">
        <v>46166.85</v>
      </c>
      <c r="H691" s="38">
        <v>46166.944444444445</v>
      </c>
      <c r="I691" s="28">
        <f t="shared" si="15"/>
        <v>9.4444444446708076E-2</v>
      </c>
      <c r="J691" s="29">
        <v>8.3333333333333329E-2</v>
      </c>
      <c r="K691" s="28">
        <f t="shared" si="16"/>
        <v>1.1111111113374747E-2</v>
      </c>
      <c r="L691" s="30"/>
    </row>
    <row r="692" spans="1:12" ht="15.6" x14ac:dyDescent="0.3">
      <c r="A692" s="25">
        <v>1</v>
      </c>
      <c r="B692" s="25">
        <v>7942681</v>
      </c>
      <c r="C692" s="26">
        <v>46164</v>
      </c>
      <c r="D692" s="26" t="s">
        <v>193</v>
      </c>
      <c r="E692" s="27" t="s">
        <v>44</v>
      </c>
      <c r="F692" s="25" t="s">
        <v>13</v>
      </c>
      <c r="G692" s="38">
        <v>46164.728472222225</v>
      </c>
      <c r="H692" s="38">
        <v>46164.855555555558</v>
      </c>
      <c r="I692" s="28">
        <f t="shared" si="15"/>
        <v>0.12708333333284827</v>
      </c>
      <c r="J692" s="29">
        <v>8.3333333333333329E-2</v>
      </c>
      <c r="K692" s="28">
        <f t="shared" si="16"/>
        <v>4.3749999999514941E-2</v>
      </c>
      <c r="L692" s="30"/>
    </row>
    <row r="693" spans="1:12" ht="15.6" x14ac:dyDescent="0.3">
      <c r="A693" s="25">
        <v>4</v>
      </c>
      <c r="B693" s="25">
        <v>7946247</v>
      </c>
      <c r="C693" s="26">
        <v>46165</v>
      </c>
      <c r="D693" s="26" t="s">
        <v>197</v>
      </c>
      <c r="E693" s="27" t="s">
        <v>44</v>
      </c>
      <c r="F693" s="25" t="s">
        <v>45</v>
      </c>
      <c r="G693" s="38">
        <v>46166.003472222219</v>
      </c>
      <c r="H693" s="38">
        <v>46166.111111111109</v>
      </c>
      <c r="I693" s="28">
        <f t="shared" si="15"/>
        <v>0.10763888889050577</v>
      </c>
      <c r="J693" s="29">
        <v>8.3333333333333329E-2</v>
      </c>
      <c r="K693" s="28">
        <f t="shared" si="16"/>
        <v>2.430555555717244E-2</v>
      </c>
      <c r="L693" s="30"/>
    </row>
    <row r="694" spans="1:12" ht="15.6" x14ac:dyDescent="0.3">
      <c r="A694" s="25">
        <v>2</v>
      </c>
      <c r="B694" s="25">
        <v>7953997</v>
      </c>
      <c r="C694" s="26" t="s">
        <v>217</v>
      </c>
      <c r="D694" s="26" t="s">
        <v>197</v>
      </c>
      <c r="E694" s="27" t="s">
        <v>44</v>
      </c>
      <c r="F694" s="25" t="s">
        <v>45</v>
      </c>
      <c r="G694" s="38">
        <v>46169.107638888891</v>
      </c>
      <c r="H694" s="38">
        <v>46169.208333333336</v>
      </c>
      <c r="I694" s="28">
        <f t="shared" si="15"/>
        <v>0.10069444444525288</v>
      </c>
      <c r="J694" s="29">
        <v>8.3333333333333329E-2</v>
      </c>
      <c r="K694" s="28">
        <f t="shared" si="16"/>
        <v>1.7361111111919555E-2</v>
      </c>
      <c r="L694" s="30"/>
    </row>
    <row r="695" spans="1:12" ht="15.6" x14ac:dyDescent="0.3">
      <c r="A695" s="25">
        <v>6</v>
      </c>
      <c r="B695" s="25">
        <v>7943426</v>
      </c>
      <c r="C695" s="26">
        <v>46164</v>
      </c>
      <c r="D695" s="26" t="s">
        <v>197</v>
      </c>
      <c r="E695" s="27" t="s">
        <v>40</v>
      </c>
      <c r="F695" s="25" t="s">
        <v>45</v>
      </c>
      <c r="G695" s="38">
        <v>46164.909722222219</v>
      </c>
      <c r="H695" s="38">
        <v>46165.003472222219</v>
      </c>
      <c r="I695" s="28">
        <f t="shared" si="15"/>
        <v>9.375E-2</v>
      </c>
      <c r="J695" s="29">
        <v>8.3333333333333329E-2</v>
      </c>
      <c r="K695" s="28">
        <f t="shared" si="16"/>
        <v>1.0416666666666671E-2</v>
      </c>
      <c r="L695" s="30"/>
    </row>
    <row r="696" spans="1:12" ht="15.6" x14ac:dyDescent="0.3">
      <c r="A696" s="25">
        <v>1</v>
      </c>
      <c r="B696" s="25">
        <v>7955982</v>
      </c>
      <c r="C696" s="26" t="s">
        <v>219</v>
      </c>
      <c r="D696" s="26" t="s">
        <v>193</v>
      </c>
      <c r="E696" s="27" t="s">
        <v>40</v>
      </c>
      <c r="F696" s="25" t="s">
        <v>13</v>
      </c>
      <c r="G696" s="38">
        <v>46169.759027777778</v>
      </c>
      <c r="H696" s="38">
        <v>46169.851388888892</v>
      </c>
      <c r="I696" s="28">
        <f t="shared" si="15"/>
        <v>9.2361111113859806E-2</v>
      </c>
      <c r="J696" s="29">
        <v>8.3333333333333329E-2</v>
      </c>
      <c r="K696" s="28">
        <f t="shared" si="16"/>
        <v>9.0277777805264775E-3</v>
      </c>
      <c r="L696" s="30"/>
    </row>
    <row r="697" spans="1:12" ht="15.6" x14ac:dyDescent="0.3">
      <c r="A697" s="25">
        <v>6</v>
      </c>
      <c r="B697" s="25">
        <v>7956798</v>
      </c>
      <c r="C697" s="26" t="s">
        <v>219</v>
      </c>
      <c r="D697" s="26" t="s">
        <v>224</v>
      </c>
      <c r="E697" s="27" t="s">
        <v>30</v>
      </c>
      <c r="F697" s="25" t="s">
        <v>45</v>
      </c>
      <c r="G697" s="38">
        <v>46169.556250000001</v>
      </c>
      <c r="H697" s="38">
        <v>46169.693055555559</v>
      </c>
      <c r="I697" s="28">
        <f t="shared" si="15"/>
        <v>0.1368055555576575</v>
      </c>
      <c r="J697" s="29">
        <v>8.3333333333333329E-2</v>
      </c>
      <c r="K697" s="28">
        <f t="shared" si="16"/>
        <v>5.347222222432417E-2</v>
      </c>
      <c r="L697" s="30"/>
    </row>
    <row r="698" spans="1:12" ht="15.6" x14ac:dyDescent="0.3">
      <c r="A698" s="25">
        <v>6</v>
      </c>
      <c r="B698" s="25">
        <v>7946780</v>
      </c>
      <c r="C698" s="26">
        <v>46165</v>
      </c>
      <c r="D698" s="26" t="s">
        <v>207</v>
      </c>
      <c r="E698" s="27" t="s">
        <v>53</v>
      </c>
      <c r="F698" s="25" t="s">
        <v>95</v>
      </c>
      <c r="G698" s="38">
        <v>46165.75</v>
      </c>
      <c r="H698" s="38">
        <v>46165.840277777781</v>
      </c>
      <c r="I698" s="28">
        <f t="shared" si="15"/>
        <v>9.0277777781011537E-2</v>
      </c>
      <c r="J698" s="29">
        <v>8.3333333333333329E-2</v>
      </c>
      <c r="K698" s="28">
        <f t="shared" si="16"/>
        <v>6.944444447678208E-3</v>
      </c>
      <c r="L698" s="30"/>
    </row>
    <row r="699" spans="1:12" ht="15.6" x14ac:dyDescent="0.3">
      <c r="A699" s="25">
        <v>11</v>
      </c>
      <c r="B699" s="25">
        <v>7948524</v>
      </c>
      <c r="C699" s="26">
        <v>46166</v>
      </c>
      <c r="D699" s="26" t="s">
        <v>210</v>
      </c>
      <c r="E699" s="27" t="s">
        <v>99</v>
      </c>
      <c r="F699" s="25" t="s">
        <v>13</v>
      </c>
      <c r="G699" s="38">
        <v>46166.848611111112</v>
      </c>
      <c r="H699" s="38">
        <v>46166.945833333331</v>
      </c>
      <c r="I699" s="28">
        <f t="shared" si="15"/>
        <v>9.7222222218988463E-2</v>
      </c>
      <c r="J699" s="29">
        <v>8.3333333333333329E-2</v>
      </c>
      <c r="K699" s="28">
        <f t="shared" si="16"/>
        <v>1.3888888885655135E-2</v>
      </c>
      <c r="L699" s="30"/>
    </row>
    <row r="700" spans="1:12" ht="15.6" x14ac:dyDescent="0.3">
      <c r="A700" s="25">
        <v>4</v>
      </c>
      <c r="B700" s="25">
        <v>7950729</v>
      </c>
      <c r="C700" s="26" t="s">
        <v>212</v>
      </c>
      <c r="D700" s="26" t="s">
        <v>215</v>
      </c>
      <c r="E700" s="27" t="s">
        <v>29</v>
      </c>
      <c r="F700" s="25" t="s">
        <v>98</v>
      </c>
      <c r="G700" s="38">
        <v>46167.375</v>
      </c>
      <c r="H700" s="38">
        <v>46167.496527777781</v>
      </c>
      <c r="I700" s="28">
        <f t="shared" si="15"/>
        <v>0.12152777778101154</v>
      </c>
      <c r="J700" s="29">
        <v>8.3333333333333329E-2</v>
      </c>
      <c r="K700" s="28">
        <f t="shared" si="16"/>
        <v>3.8194444447678208E-2</v>
      </c>
      <c r="L700" s="30"/>
    </row>
    <row r="701" spans="1:12" ht="15.6" x14ac:dyDescent="0.3">
      <c r="A701" s="25">
        <v>3</v>
      </c>
      <c r="B701" s="25">
        <v>7940080</v>
      </c>
      <c r="C701" s="26">
        <v>46163</v>
      </c>
      <c r="D701" s="26" t="s">
        <v>188</v>
      </c>
      <c r="E701" s="27" t="s">
        <v>25</v>
      </c>
      <c r="F701" s="25" t="s">
        <v>13</v>
      </c>
      <c r="G701" s="38">
        <v>46163.564583333333</v>
      </c>
      <c r="H701" s="38">
        <v>46163.677083333336</v>
      </c>
      <c r="I701" s="28">
        <f t="shared" ref="I701:I717" si="17">H701-G701</f>
        <v>0.11250000000291038</v>
      </c>
      <c r="J701" s="29">
        <v>8.3333333333333329E-2</v>
      </c>
      <c r="K701" s="28">
        <f t="shared" ref="K701:K717" si="18">I701-J701</f>
        <v>2.9166666669577054E-2</v>
      </c>
      <c r="L701" s="30"/>
    </row>
    <row r="702" spans="1:12" ht="15.6" x14ac:dyDescent="0.3">
      <c r="A702" s="25">
        <v>5</v>
      </c>
      <c r="B702" s="25">
        <v>7950834</v>
      </c>
      <c r="C702" s="26" t="s">
        <v>212</v>
      </c>
      <c r="D702" s="26" t="s">
        <v>216</v>
      </c>
      <c r="E702" s="27" t="s">
        <v>25</v>
      </c>
      <c r="F702" s="25" t="s">
        <v>13</v>
      </c>
      <c r="G702" s="38">
        <v>46167.62222222222</v>
      </c>
      <c r="H702" s="38">
        <v>46167.746527777781</v>
      </c>
      <c r="I702" s="28">
        <f t="shared" si="17"/>
        <v>0.12430555556056788</v>
      </c>
      <c r="J702" s="29">
        <v>8.3333333333333329E-2</v>
      </c>
      <c r="K702" s="28">
        <f t="shared" si="18"/>
        <v>4.0972222227234553E-2</v>
      </c>
      <c r="L702" s="30"/>
    </row>
    <row r="703" spans="1:12" ht="15.6" x14ac:dyDescent="0.3">
      <c r="A703" s="25">
        <v>2</v>
      </c>
      <c r="B703" s="25">
        <v>7942812</v>
      </c>
      <c r="C703" s="26">
        <v>46164</v>
      </c>
      <c r="D703" s="26" t="s">
        <v>188</v>
      </c>
      <c r="E703" s="27" t="s">
        <v>82</v>
      </c>
      <c r="F703" s="25" t="s">
        <v>13</v>
      </c>
      <c r="G703" s="38">
        <v>46164.931250000001</v>
      </c>
      <c r="H703" s="38">
        <v>46165.04791666667</v>
      </c>
      <c r="I703" s="28">
        <f t="shared" si="17"/>
        <v>0.11666666666860692</v>
      </c>
      <c r="J703" s="29">
        <v>8.3333333333333329E-2</v>
      </c>
      <c r="K703" s="28">
        <f t="shared" si="18"/>
        <v>3.3333333335273593E-2</v>
      </c>
      <c r="L703" s="30"/>
    </row>
    <row r="704" spans="1:12" ht="15.6" x14ac:dyDescent="0.3">
      <c r="A704" s="25">
        <v>9</v>
      </c>
      <c r="B704" s="25">
        <v>7948253</v>
      </c>
      <c r="C704" s="26">
        <v>46166</v>
      </c>
      <c r="D704" s="26" t="s">
        <v>188</v>
      </c>
      <c r="E704" s="27" t="s">
        <v>82</v>
      </c>
      <c r="F704" s="25" t="s">
        <v>13</v>
      </c>
      <c r="G704" s="38">
        <v>46166.57916666667</v>
      </c>
      <c r="H704" s="38">
        <v>46166.686111111114</v>
      </c>
      <c r="I704" s="28">
        <f t="shared" si="17"/>
        <v>0.10694444444379769</v>
      </c>
      <c r="J704" s="29">
        <v>8.3333333333333329E-2</v>
      </c>
      <c r="K704" s="28">
        <f t="shared" si="18"/>
        <v>2.3611111110464364E-2</v>
      </c>
      <c r="L704" s="30"/>
    </row>
    <row r="705" spans="1:12" ht="15.6" x14ac:dyDescent="0.3">
      <c r="A705" s="25">
        <v>3</v>
      </c>
      <c r="B705" s="25">
        <v>7950680</v>
      </c>
      <c r="C705" s="26" t="s">
        <v>212</v>
      </c>
      <c r="D705" s="26" t="s">
        <v>214</v>
      </c>
      <c r="E705" s="27" t="s">
        <v>82</v>
      </c>
      <c r="F705" s="25" t="s">
        <v>179</v>
      </c>
      <c r="G705" s="38">
        <v>46167.384722222225</v>
      </c>
      <c r="H705" s="38">
        <v>46167.451388888891</v>
      </c>
      <c r="I705" s="28">
        <f t="shared" si="17"/>
        <v>6.6666666665696539E-2</v>
      </c>
      <c r="J705" s="29">
        <v>4.1666666666666664E-2</v>
      </c>
      <c r="K705" s="28">
        <f t="shared" si="18"/>
        <v>2.4999999999029875E-2</v>
      </c>
      <c r="L705" s="30"/>
    </row>
    <row r="706" spans="1:12" ht="15.6" x14ac:dyDescent="0.3">
      <c r="A706" s="25">
        <v>5</v>
      </c>
      <c r="B706" s="25">
        <v>7942296</v>
      </c>
      <c r="C706" s="26">
        <v>46163</v>
      </c>
      <c r="D706" s="26" t="s">
        <v>190</v>
      </c>
      <c r="E706" s="27" t="s">
        <v>46</v>
      </c>
      <c r="F706" s="25" t="s">
        <v>96</v>
      </c>
      <c r="G706" s="38">
        <v>46164.099305555559</v>
      </c>
      <c r="H706" s="38">
        <v>46164.204861111109</v>
      </c>
      <c r="I706" s="28">
        <f t="shared" si="17"/>
        <v>0.10555555555038154</v>
      </c>
      <c r="J706" s="29">
        <v>8.3333333333333329E-2</v>
      </c>
      <c r="K706" s="28">
        <f t="shared" si="18"/>
        <v>2.2222222217048213E-2</v>
      </c>
      <c r="L706" s="30"/>
    </row>
    <row r="707" spans="1:12" ht="15.6" x14ac:dyDescent="0.3">
      <c r="A707" s="25">
        <v>5</v>
      </c>
      <c r="B707" s="25">
        <v>7951430</v>
      </c>
      <c r="C707" s="26" t="s">
        <v>212</v>
      </c>
      <c r="D707" s="26" t="s">
        <v>201</v>
      </c>
      <c r="E707" s="27" t="s">
        <v>46</v>
      </c>
      <c r="F707" s="25" t="s">
        <v>96</v>
      </c>
      <c r="G707" s="38">
        <v>46168.951388888891</v>
      </c>
      <c r="H707" s="38">
        <v>46169.041666666664</v>
      </c>
      <c r="I707" s="28">
        <f t="shared" si="17"/>
        <v>9.0277777773735579E-2</v>
      </c>
      <c r="J707" s="29">
        <v>8.3333333333333329E-2</v>
      </c>
      <c r="K707" s="28">
        <f t="shared" si="18"/>
        <v>6.9444444404022504E-3</v>
      </c>
      <c r="L707" s="30"/>
    </row>
    <row r="708" spans="1:12" ht="15.6" x14ac:dyDescent="0.3">
      <c r="A708" s="25">
        <v>8</v>
      </c>
      <c r="B708" s="25">
        <v>7945076</v>
      </c>
      <c r="C708" s="26">
        <v>46164</v>
      </c>
      <c r="D708" s="26" t="s">
        <v>199</v>
      </c>
      <c r="E708" s="27" t="s">
        <v>171</v>
      </c>
      <c r="F708" s="25" t="s">
        <v>96</v>
      </c>
      <c r="G708" s="38">
        <v>46165.129166666666</v>
      </c>
      <c r="H708" s="38">
        <v>46165.291666666664</v>
      </c>
      <c r="I708" s="28">
        <f t="shared" si="17"/>
        <v>0.16249999999854481</v>
      </c>
      <c r="J708" s="29">
        <v>8.3333333333333329E-2</v>
      </c>
      <c r="K708" s="28">
        <f t="shared" si="18"/>
        <v>7.916666666521148E-2</v>
      </c>
      <c r="L708" s="30"/>
    </row>
    <row r="709" spans="1:12" ht="15.6" x14ac:dyDescent="0.3">
      <c r="A709" s="25">
        <v>1</v>
      </c>
      <c r="B709" s="25">
        <v>7940673</v>
      </c>
      <c r="C709" s="26" t="s">
        <v>200</v>
      </c>
      <c r="D709" s="26" t="s">
        <v>201</v>
      </c>
      <c r="E709" s="27" t="s">
        <v>100</v>
      </c>
      <c r="F709" s="25" t="s">
        <v>96</v>
      </c>
      <c r="G709" s="38">
        <v>46164.991666666669</v>
      </c>
      <c r="H709" s="38">
        <v>46165.193055555559</v>
      </c>
      <c r="I709" s="28">
        <f t="shared" si="17"/>
        <v>0.20138888889050577</v>
      </c>
      <c r="J709" s="29">
        <v>8.3333333333333329E-2</v>
      </c>
      <c r="K709" s="28">
        <f t="shared" si="18"/>
        <v>0.11805555555717244</v>
      </c>
      <c r="L709" s="30"/>
    </row>
    <row r="710" spans="1:12" ht="15.6" x14ac:dyDescent="0.3">
      <c r="A710" s="25">
        <v>7</v>
      </c>
      <c r="B710" s="25">
        <v>7947751</v>
      </c>
      <c r="C710" s="26">
        <v>46165</v>
      </c>
      <c r="D710" s="26" t="s">
        <v>190</v>
      </c>
      <c r="E710" s="27" t="s">
        <v>100</v>
      </c>
      <c r="F710" s="25" t="s">
        <v>96</v>
      </c>
      <c r="G710" s="38">
        <v>46166.076388888891</v>
      </c>
      <c r="H710" s="38">
        <v>46166.215277777781</v>
      </c>
      <c r="I710" s="28">
        <f t="shared" si="17"/>
        <v>0.13888888889050577</v>
      </c>
      <c r="J710" s="29">
        <v>8.3333333333333329E-2</v>
      </c>
      <c r="K710" s="28">
        <f t="shared" si="18"/>
        <v>5.555555555717244E-2</v>
      </c>
      <c r="L710" s="30"/>
    </row>
    <row r="711" spans="1:12" ht="15.6" x14ac:dyDescent="0.3">
      <c r="A711" s="25">
        <v>1</v>
      </c>
      <c r="B711" s="25">
        <v>7938220</v>
      </c>
      <c r="C711" s="26" t="s">
        <v>180</v>
      </c>
      <c r="D711" s="26" t="s">
        <v>186</v>
      </c>
      <c r="E711" s="27" t="s">
        <v>94</v>
      </c>
      <c r="F711" s="25" t="s">
        <v>13</v>
      </c>
      <c r="G711" s="38">
        <v>46163.48541666667</v>
      </c>
      <c r="H711" s="38">
        <v>46163.649305555555</v>
      </c>
      <c r="I711" s="28">
        <f t="shared" si="17"/>
        <v>0.163888888884685</v>
      </c>
      <c r="J711" s="29">
        <v>8.3333333333333329E-2</v>
      </c>
      <c r="K711" s="28">
        <f t="shared" si="18"/>
        <v>8.0555555551351674E-2</v>
      </c>
      <c r="L711" s="30"/>
    </row>
    <row r="712" spans="1:12" ht="15.6" x14ac:dyDescent="0.3">
      <c r="A712" s="25">
        <v>2</v>
      </c>
      <c r="B712" s="25">
        <v>7945977</v>
      </c>
      <c r="C712" s="26">
        <v>46165</v>
      </c>
      <c r="D712" s="26" t="s">
        <v>206</v>
      </c>
      <c r="E712" s="27" t="s">
        <v>94</v>
      </c>
      <c r="F712" s="25" t="s">
        <v>202</v>
      </c>
      <c r="G712" s="38">
        <v>46165.5625</v>
      </c>
      <c r="H712" s="38">
        <v>46165.652777777781</v>
      </c>
      <c r="I712" s="28">
        <f t="shared" si="17"/>
        <v>9.0277777781011537E-2</v>
      </c>
      <c r="J712" s="29">
        <v>4.1666666666666664E-2</v>
      </c>
      <c r="K712" s="28">
        <f t="shared" si="18"/>
        <v>4.8611111114344872E-2</v>
      </c>
      <c r="L712" s="30"/>
    </row>
    <row r="713" spans="1:12" ht="15.6" x14ac:dyDescent="0.3">
      <c r="A713" s="25">
        <v>8</v>
      </c>
      <c r="B713" s="25">
        <v>7952224</v>
      </c>
      <c r="C713" s="26" t="s">
        <v>212</v>
      </c>
      <c r="D713" s="26" t="s">
        <v>186</v>
      </c>
      <c r="E713" s="27" t="s">
        <v>94</v>
      </c>
      <c r="F713" s="25" t="s">
        <v>13</v>
      </c>
      <c r="G713" s="38">
        <v>46167.65347222222</v>
      </c>
      <c r="H713" s="38">
        <v>46167.791666666664</v>
      </c>
      <c r="I713" s="28">
        <f t="shared" si="17"/>
        <v>0.13819444444379769</v>
      </c>
      <c r="J713" s="29">
        <v>8.3333333333333329E-2</v>
      </c>
      <c r="K713" s="28">
        <f t="shared" si="18"/>
        <v>5.4861111110464364E-2</v>
      </c>
      <c r="L713" s="30"/>
    </row>
    <row r="714" spans="1:12" ht="15.6" x14ac:dyDescent="0.3">
      <c r="A714" s="25">
        <v>2</v>
      </c>
      <c r="B714" s="25">
        <v>7939800</v>
      </c>
      <c r="C714" s="26">
        <v>46163</v>
      </c>
      <c r="D714" s="26" t="s">
        <v>187</v>
      </c>
      <c r="E714" s="27" t="s">
        <v>102</v>
      </c>
      <c r="F714" s="25" t="s">
        <v>164</v>
      </c>
      <c r="G714" s="38">
        <v>46163.375</v>
      </c>
      <c r="H714" s="38">
        <v>46163.460416666669</v>
      </c>
      <c r="I714" s="28">
        <f t="shared" si="17"/>
        <v>8.5416666668606922E-2</v>
      </c>
      <c r="J714" s="29">
        <v>8.3333333333333329E-2</v>
      </c>
      <c r="K714" s="28">
        <f t="shared" si="18"/>
        <v>2.0833333352735933E-3</v>
      </c>
      <c r="L714" s="30"/>
    </row>
    <row r="715" spans="1:12" ht="15.6" x14ac:dyDescent="0.3">
      <c r="A715" s="25">
        <v>3</v>
      </c>
      <c r="B715" s="25">
        <v>7943163</v>
      </c>
      <c r="C715" s="26">
        <v>46164</v>
      </c>
      <c r="D715" s="26" t="s">
        <v>194</v>
      </c>
      <c r="E715" s="27" t="s">
        <v>38</v>
      </c>
      <c r="F715" s="25" t="s">
        <v>15</v>
      </c>
      <c r="G715" s="38">
        <v>46164.545138888891</v>
      </c>
      <c r="H715" s="38">
        <v>46164.634027777778</v>
      </c>
      <c r="I715" s="28">
        <f t="shared" si="17"/>
        <v>8.8888888887595385E-2</v>
      </c>
      <c r="J715" s="29">
        <v>6.25E-2</v>
      </c>
      <c r="K715" s="28">
        <f t="shared" si="18"/>
        <v>2.6388888887595385E-2</v>
      </c>
      <c r="L715" s="30"/>
    </row>
    <row r="716" spans="1:12" ht="15.6" x14ac:dyDescent="0.3">
      <c r="A716" s="25">
        <v>6</v>
      </c>
      <c r="B716" s="25">
        <v>7951169</v>
      </c>
      <c r="C716" s="26" t="s">
        <v>212</v>
      </c>
      <c r="D716" s="26" t="s">
        <v>194</v>
      </c>
      <c r="E716" s="27" t="s">
        <v>38</v>
      </c>
      <c r="F716" s="25" t="s">
        <v>15</v>
      </c>
      <c r="G716" s="38">
        <v>46167.502083333333</v>
      </c>
      <c r="H716" s="38">
        <v>46167.576388888891</v>
      </c>
      <c r="I716" s="28">
        <f t="shared" si="17"/>
        <v>7.4305555557657499E-2</v>
      </c>
      <c r="J716" s="29">
        <v>6.25E-2</v>
      </c>
      <c r="K716" s="28">
        <f t="shared" si="18"/>
        <v>1.1805555557657499E-2</v>
      </c>
      <c r="L716" s="30"/>
    </row>
    <row r="717" spans="1:12" ht="15.6" x14ac:dyDescent="0.3">
      <c r="A717" s="25">
        <v>2</v>
      </c>
      <c r="B717" s="25">
        <v>7956480</v>
      </c>
      <c r="C717" s="26" t="s">
        <v>219</v>
      </c>
      <c r="D717" s="26" t="s">
        <v>220</v>
      </c>
      <c r="E717" s="27" t="s">
        <v>36</v>
      </c>
      <c r="F717" s="25" t="s">
        <v>15</v>
      </c>
      <c r="G717" s="38">
        <v>46169.487500000003</v>
      </c>
      <c r="H717" s="38">
        <v>46169.677777777775</v>
      </c>
      <c r="I717" s="28">
        <f t="shared" si="17"/>
        <v>0.19027777777228039</v>
      </c>
      <c r="J717" s="29">
        <v>6.25E-2</v>
      </c>
      <c r="K717" s="28">
        <f t="shared" si="18"/>
        <v>0.12777777777228039</v>
      </c>
      <c r="L717" s="30"/>
    </row>
  </sheetData>
  <autoFilter ref="A668:L668" xr:uid="{00000000-0001-0000-0300-000000000000}">
    <sortState xmlns:xlrd2="http://schemas.microsoft.com/office/spreadsheetml/2017/richdata2" ref="A669:L717">
      <sortCondition ref="E668"/>
    </sortState>
  </autoFilter>
  <mergeCells count="98">
    <mergeCell ref="A622:C622"/>
    <mergeCell ref="D622:E622"/>
    <mergeCell ref="A626:C626"/>
    <mergeCell ref="A630:C630"/>
    <mergeCell ref="D630:E630"/>
    <mergeCell ref="A365:C365"/>
    <mergeCell ref="A369:F369"/>
    <mergeCell ref="A453:C453"/>
    <mergeCell ref="D453:E453"/>
    <mergeCell ref="A457:C457"/>
    <mergeCell ref="A383:C383"/>
    <mergeCell ref="D383:E383"/>
    <mergeCell ref="A387:C387"/>
    <mergeCell ref="A426:C426"/>
    <mergeCell ref="D426:E426"/>
    <mergeCell ref="A391:F391"/>
    <mergeCell ref="A403:C403"/>
    <mergeCell ref="D403:E403"/>
    <mergeCell ref="A407:C407"/>
    <mergeCell ref="A411:F411"/>
    <mergeCell ref="A293:C293"/>
    <mergeCell ref="A184:C184"/>
    <mergeCell ref="D184:E184"/>
    <mergeCell ref="A188:C188"/>
    <mergeCell ref="A192:B192"/>
    <mergeCell ref="A263:B263"/>
    <mergeCell ref="D245:E245"/>
    <mergeCell ref="A195:F195"/>
    <mergeCell ref="A228:B228"/>
    <mergeCell ref="A231:F231"/>
    <mergeCell ref="A245:C245"/>
    <mergeCell ref="A266:F266"/>
    <mergeCell ref="A289:C289"/>
    <mergeCell ref="D289:E289"/>
    <mergeCell ref="A58:B58"/>
    <mergeCell ref="A66:F66"/>
    <mergeCell ref="A19:F19"/>
    <mergeCell ref="A43:C43"/>
    <mergeCell ref="D43:E43"/>
    <mergeCell ref="A47:C47"/>
    <mergeCell ref="A51:B51"/>
    <mergeCell ref="A1:C1"/>
    <mergeCell ref="D1:E1"/>
    <mergeCell ref="A5:C5"/>
    <mergeCell ref="A9:B9"/>
    <mergeCell ref="A15:B15"/>
    <mergeCell ref="A137:C137"/>
    <mergeCell ref="D137:E137"/>
    <mergeCell ref="A105:F105"/>
    <mergeCell ref="A91:C91"/>
    <mergeCell ref="A141:C141"/>
    <mergeCell ref="D91:E91"/>
    <mergeCell ref="A95:C95"/>
    <mergeCell ref="A99:B99"/>
    <mergeCell ref="A145:B145"/>
    <mergeCell ref="A152:F152"/>
    <mergeCell ref="A361:C361"/>
    <mergeCell ref="D361:E361"/>
    <mergeCell ref="A482:C482"/>
    <mergeCell ref="D482:E482"/>
    <mergeCell ref="A322:C322"/>
    <mergeCell ref="A326:F326"/>
    <mergeCell ref="A220:C220"/>
    <mergeCell ref="D220:E220"/>
    <mergeCell ref="A249:C249"/>
    <mergeCell ref="A318:C318"/>
    <mergeCell ref="D318:E318"/>
    <mergeCell ref="A297:F297"/>
    <mergeCell ref="A253:B253"/>
    <mergeCell ref="A224:C224"/>
    <mergeCell ref="A486:C486"/>
    <mergeCell ref="A490:F490"/>
    <mergeCell ref="A430:C430"/>
    <mergeCell ref="A434:F434"/>
    <mergeCell ref="A461:F461"/>
    <mergeCell ref="A563:C563"/>
    <mergeCell ref="D563:E563"/>
    <mergeCell ref="A567:C567"/>
    <mergeCell ref="A571:F571"/>
    <mergeCell ref="A509:C509"/>
    <mergeCell ref="D509:E509"/>
    <mergeCell ref="A513:C513"/>
    <mergeCell ref="A517:F517"/>
    <mergeCell ref="A534:C534"/>
    <mergeCell ref="D534:E534"/>
    <mergeCell ref="A538:C538"/>
    <mergeCell ref="A542:F542"/>
    <mergeCell ref="A588:C588"/>
    <mergeCell ref="D588:E588"/>
    <mergeCell ref="A592:C592"/>
    <mergeCell ref="A596:F596"/>
    <mergeCell ref="A611:C611"/>
    <mergeCell ref="D611:E611"/>
    <mergeCell ref="A644:C644"/>
    <mergeCell ref="D644:E644"/>
    <mergeCell ref="A648:C648"/>
    <mergeCell ref="A652:C652"/>
    <mergeCell ref="D652:E652"/>
  </mergeCells>
  <conditionalFormatting sqref="A632:A640">
    <cfRule type="duplicateValues" dxfId="240" priority="29"/>
    <cfRule type="duplicateValues" dxfId="239" priority="30"/>
  </conditionalFormatting>
  <conditionalFormatting sqref="A654:A662">
    <cfRule type="duplicateValues" dxfId="238" priority="27"/>
    <cfRule type="duplicateValues" dxfId="237" priority="28"/>
  </conditionalFormatting>
  <conditionalFormatting sqref="B668">
    <cfRule type="duplicateValues" dxfId="236" priority="3"/>
    <cfRule type="duplicateValues" dxfId="235" priority="4"/>
    <cfRule type="duplicateValues" dxfId="234" priority="5"/>
    <cfRule type="duplicateValues" dxfId="233" priority="16"/>
    <cfRule type="duplicateValues" dxfId="232" priority="17"/>
    <cfRule type="duplicateValues" dxfId="231" priority="18"/>
    <cfRule type="duplicateValues" dxfId="230" priority="19"/>
    <cfRule type="duplicateValues" dxfId="229" priority="20"/>
    <cfRule type="duplicateValues" dxfId="228" priority="21"/>
    <cfRule type="duplicateValues" dxfId="227" priority="22"/>
    <cfRule type="duplicateValues" dxfId="226" priority="23"/>
    <cfRule type="duplicateValues" dxfId="225" priority="24"/>
    <cfRule type="duplicateValues" dxfId="224" priority="25"/>
  </conditionalFormatting>
  <conditionalFormatting sqref="B668:B717">
    <cfRule type="duplicateValues" dxfId="223" priority="1"/>
    <cfRule type="duplicateValues" dxfId="222" priority="2"/>
    <cfRule type="duplicateValues" dxfId="221" priority="26"/>
  </conditionalFormatting>
  <conditionalFormatting sqref="B669">
    <cfRule type="duplicateValues" dxfId="220" priority="11"/>
    <cfRule type="duplicateValues" dxfId="219" priority="12"/>
    <cfRule type="duplicateValues" dxfId="218" priority="13"/>
    <cfRule type="duplicateValues" dxfId="217" priority="14"/>
    <cfRule type="duplicateValues" dxfId="216" priority="15"/>
  </conditionalFormatting>
  <conditionalFormatting sqref="B670:B717">
    <cfRule type="duplicateValues" dxfId="215" priority="6"/>
    <cfRule type="duplicateValues" dxfId="214" priority="7"/>
    <cfRule type="duplicateValues" dxfId="213" priority="8"/>
    <cfRule type="duplicateValues" dxfId="212" priority="9"/>
    <cfRule type="duplicateValues" dxfId="211" priority="10"/>
  </conditionalFormatting>
  <pageMargins left="0.7" right="0.7" top="0.75" bottom="0.75" header="0.3" footer="0.3"/>
  <pageSetup scale="1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D048-8033-4711-821C-F14F6B1555F3}">
  <dimension ref="A1:J11"/>
  <sheetViews>
    <sheetView workbookViewId="0">
      <selection activeCell="B8" sqref="B8:B10"/>
    </sheetView>
  </sheetViews>
  <sheetFormatPr defaultRowHeight="14.4" x14ac:dyDescent="0.3"/>
  <cols>
    <col min="1" max="1" width="7.109375" bestFit="1" customWidth="1"/>
    <col min="2" max="2" width="14.6640625" customWidth="1"/>
    <col min="3" max="3" width="14.5546875" customWidth="1"/>
    <col min="4" max="5" width="13.5546875" customWidth="1"/>
    <col min="6" max="6" width="16.33203125" customWidth="1"/>
    <col min="7" max="7" width="28.5546875" customWidth="1"/>
    <col min="8" max="8" width="15" customWidth="1"/>
    <col min="9" max="9" width="14.88671875" customWidth="1"/>
    <col min="10" max="10" width="15.109375" customWidth="1"/>
  </cols>
  <sheetData>
    <row r="1" spans="1:10" ht="48.6" x14ac:dyDescent="0.3">
      <c r="A1" s="100" t="s">
        <v>350</v>
      </c>
      <c r="B1" s="100" t="s">
        <v>351</v>
      </c>
      <c r="C1" s="101" t="s">
        <v>352</v>
      </c>
      <c r="D1" s="100" t="s">
        <v>353</v>
      </c>
      <c r="E1" s="100" t="s">
        <v>354</v>
      </c>
      <c r="F1" s="100" t="s">
        <v>355</v>
      </c>
      <c r="G1" s="100" t="s">
        <v>356</v>
      </c>
      <c r="H1" s="100" t="s">
        <v>357</v>
      </c>
      <c r="I1" s="100" t="s">
        <v>358</v>
      </c>
      <c r="J1" s="100" t="s">
        <v>359</v>
      </c>
    </row>
    <row r="2" spans="1:10" ht="15" x14ac:dyDescent="0.3">
      <c r="A2" s="102">
        <v>1</v>
      </c>
      <c r="B2" s="103">
        <v>8127396</v>
      </c>
      <c r="C2" s="103" t="s">
        <v>345</v>
      </c>
      <c r="D2" s="103" t="s">
        <v>348</v>
      </c>
      <c r="E2" s="103" t="s">
        <v>346</v>
      </c>
      <c r="F2" s="103" t="s">
        <v>58</v>
      </c>
      <c r="G2" s="102" t="s">
        <v>360</v>
      </c>
      <c r="H2" s="102">
        <v>650</v>
      </c>
      <c r="I2" s="102">
        <v>25</v>
      </c>
      <c r="J2" s="102" t="s">
        <v>362</v>
      </c>
    </row>
    <row r="3" spans="1:10" ht="15" x14ac:dyDescent="0.3">
      <c r="A3" s="102">
        <v>2</v>
      </c>
      <c r="B3" s="103">
        <v>8127473</v>
      </c>
      <c r="C3" s="103" t="s">
        <v>345</v>
      </c>
      <c r="D3" s="103" t="s">
        <v>348</v>
      </c>
      <c r="E3" s="103" t="s">
        <v>346</v>
      </c>
      <c r="F3" s="103" t="s">
        <v>37</v>
      </c>
      <c r="G3" s="102" t="s">
        <v>360</v>
      </c>
      <c r="H3" s="102">
        <v>325</v>
      </c>
      <c r="I3" s="102">
        <v>25</v>
      </c>
      <c r="J3" s="102" t="s">
        <v>361</v>
      </c>
    </row>
    <row r="4" spans="1:10" ht="15" x14ac:dyDescent="0.3">
      <c r="A4" s="102">
        <v>3</v>
      </c>
      <c r="B4" s="103">
        <v>8129538</v>
      </c>
      <c r="C4" s="103" t="s">
        <v>345</v>
      </c>
      <c r="D4" s="103" t="s">
        <v>349</v>
      </c>
      <c r="E4" s="103" t="s">
        <v>346</v>
      </c>
      <c r="F4" s="103" t="s">
        <v>52</v>
      </c>
      <c r="G4" s="102" t="s">
        <v>360</v>
      </c>
      <c r="H4" s="102">
        <v>650</v>
      </c>
      <c r="I4" s="102">
        <v>25</v>
      </c>
      <c r="J4" s="102" t="s">
        <v>361</v>
      </c>
    </row>
    <row r="5" spans="1:10" ht="15" x14ac:dyDescent="0.3">
      <c r="A5" s="102">
        <v>4</v>
      </c>
      <c r="B5" s="102">
        <v>8127715</v>
      </c>
      <c r="C5" s="103" t="s">
        <v>345</v>
      </c>
      <c r="D5" s="102" t="s">
        <v>346</v>
      </c>
      <c r="E5" s="102" t="s">
        <v>347</v>
      </c>
      <c r="F5" s="103" t="s">
        <v>104</v>
      </c>
      <c r="G5" s="102" t="s">
        <v>360</v>
      </c>
      <c r="H5" s="102">
        <v>325</v>
      </c>
      <c r="I5" s="102">
        <v>25</v>
      </c>
      <c r="J5" s="102" t="s">
        <v>361</v>
      </c>
    </row>
    <row r="7" spans="1:10" ht="48.6" x14ac:dyDescent="0.3">
      <c r="A7" s="100" t="s">
        <v>350</v>
      </c>
      <c r="B7" s="100" t="s">
        <v>351</v>
      </c>
      <c r="C7" s="101" t="s">
        <v>352</v>
      </c>
      <c r="D7" s="100" t="s">
        <v>353</v>
      </c>
      <c r="E7" s="100" t="s">
        <v>354</v>
      </c>
      <c r="F7" s="100" t="s">
        <v>355</v>
      </c>
      <c r="G7" s="100" t="s">
        <v>356</v>
      </c>
      <c r="H7" s="100" t="s">
        <v>357</v>
      </c>
      <c r="I7" s="100" t="s">
        <v>358</v>
      </c>
      <c r="J7" s="100" t="s">
        <v>359</v>
      </c>
    </row>
    <row r="8" spans="1:10" ht="15" x14ac:dyDescent="0.3">
      <c r="A8" s="102">
        <v>1</v>
      </c>
      <c r="B8" s="150">
        <v>8194394</v>
      </c>
      <c r="C8" s="149" t="s">
        <v>672</v>
      </c>
      <c r="D8" s="151" t="s">
        <v>14</v>
      </c>
      <c r="E8" s="153" t="s">
        <v>13</v>
      </c>
      <c r="F8" s="151" t="s">
        <v>36</v>
      </c>
      <c r="G8" s="102" t="s">
        <v>360</v>
      </c>
      <c r="H8" s="102">
        <v>0</v>
      </c>
      <c r="I8" s="102">
        <v>107</v>
      </c>
      <c r="J8" s="102" t="s">
        <v>688</v>
      </c>
    </row>
    <row r="9" spans="1:10" ht="15" x14ac:dyDescent="0.3">
      <c r="A9" s="102">
        <v>2</v>
      </c>
      <c r="B9" s="150">
        <v>8194474</v>
      </c>
      <c r="C9" s="149" t="s">
        <v>672</v>
      </c>
      <c r="D9" s="151" t="s">
        <v>14</v>
      </c>
      <c r="E9" s="153" t="s">
        <v>13</v>
      </c>
      <c r="F9" s="151" t="s">
        <v>12</v>
      </c>
      <c r="G9" s="102" t="s">
        <v>360</v>
      </c>
      <c r="H9" s="102">
        <v>417</v>
      </c>
      <c r="I9" s="102">
        <v>107</v>
      </c>
      <c r="J9" s="102" t="s">
        <v>688</v>
      </c>
    </row>
    <row r="10" spans="1:10" ht="15" x14ac:dyDescent="0.3">
      <c r="A10" s="102">
        <v>3</v>
      </c>
      <c r="B10" s="150">
        <v>8194812</v>
      </c>
      <c r="C10" s="149" t="s">
        <v>672</v>
      </c>
      <c r="D10" s="151" t="s">
        <v>15</v>
      </c>
      <c r="E10" s="153" t="s">
        <v>13</v>
      </c>
      <c r="F10" s="151" t="s">
        <v>90</v>
      </c>
      <c r="G10" s="102" t="s">
        <v>360</v>
      </c>
      <c r="H10" s="102">
        <v>325</v>
      </c>
      <c r="I10" s="102">
        <v>10</v>
      </c>
      <c r="J10" s="102" t="s">
        <v>689</v>
      </c>
    </row>
    <row r="11" spans="1:10" ht="15" x14ac:dyDescent="0.3">
      <c r="A11" s="102"/>
      <c r="B11" s="102"/>
      <c r="C11" s="162"/>
      <c r="D11" s="102"/>
      <c r="E11" s="102"/>
      <c r="F11" s="162"/>
      <c r="G11" s="102" t="s">
        <v>360</v>
      </c>
      <c r="H11" s="102"/>
      <c r="I11" s="102"/>
      <c r="J11" s="102"/>
    </row>
  </sheetData>
  <autoFilter ref="A1:J1" xr:uid="{92C5D048-8033-4711-821C-F14F6B1555F3}"/>
  <conditionalFormatting sqref="B1">
    <cfRule type="duplicateValues" dxfId="210" priority="297"/>
  </conditionalFormatting>
  <conditionalFormatting sqref="B5">
    <cfRule type="duplicateValues" dxfId="209" priority="257"/>
    <cfRule type="duplicateValues" dxfId="208" priority="258"/>
    <cfRule type="duplicateValues" dxfId="207" priority="259"/>
    <cfRule type="duplicateValues" dxfId="206" priority="260"/>
    <cfRule type="duplicateValues" dxfId="205" priority="261"/>
    <cfRule type="duplicateValues" dxfId="204" priority="262"/>
    <cfRule type="duplicateValues" dxfId="203" priority="263"/>
    <cfRule type="duplicateValues" dxfId="202" priority="264"/>
    <cfRule type="duplicateValues" dxfId="201" priority="265"/>
    <cfRule type="duplicateValues" dxfId="200" priority="266"/>
    <cfRule type="duplicateValues" dxfId="199" priority="267"/>
    <cfRule type="duplicateValues" dxfId="198" priority="268"/>
    <cfRule type="duplicateValues" dxfId="197" priority="269"/>
    <cfRule type="duplicateValues" dxfId="196" priority="270"/>
    <cfRule type="duplicateValues" dxfId="195" priority="271"/>
    <cfRule type="duplicateValues" dxfId="194" priority="272"/>
    <cfRule type="duplicateValues" dxfId="193" priority="273"/>
    <cfRule type="duplicateValues" dxfId="192" priority="274"/>
    <cfRule type="duplicateValues" dxfId="191" priority="275"/>
    <cfRule type="duplicateValues" dxfId="190" priority="276"/>
    <cfRule type="duplicateValues" dxfId="189" priority="277"/>
    <cfRule type="duplicateValues" dxfId="188" priority="278"/>
    <cfRule type="duplicateValues" dxfId="187" priority="279"/>
    <cfRule type="duplicateValues" dxfId="186" priority="280"/>
    <cfRule type="duplicateValues" dxfId="185" priority="281"/>
    <cfRule type="duplicateValues" dxfId="184" priority="282"/>
    <cfRule type="duplicateValues" dxfId="183" priority="283"/>
    <cfRule type="duplicateValues" dxfId="182" priority="284"/>
    <cfRule type="duplicateValues" dxfId="181" priority="285"/>
    <cfRule type="duplicateValues" dxfId="180" priority="286"/>
    <cfRule type="duplicateValues" dxfId="179" priority="287"/>
    <cfRule type="duplicateValues" dxfId="178" priority="288"/>
    <cfRule type="duplicateValues" dxfId="177" priority="289"/>
    <cfRule type="duplicateValues" dxfId="176" priority="290"/>
    <cfRule type="duplicateValues" dxfId="175" priority="291"/>
    <cfRule type="duplicateValues" dxfId="174" priority="292"/>
    <cfRule type="duplicateValues" dxfId="173" priority="293"/>
    <cfRule type="duplicateValues" dxfId="172" priority="294"/>
    <cfRule type="duplicateValues" dxfId="171" priority="295"/>
    <cfRule type="duplicateValues" dxfId="170" priority="296"/>
  </conditionalFormatting>
  <conditionalFormatting sqref="B7">
    <cfRule type="duplicateValues" dxfId="169" priority="256"/>
  </conditionalFormatting>
  <conditionalFormatting sqref="B11">
    <cfRule type="duplicateValues" dxfId="168" priority="216"/>
    <cfRule type="duplicateValues" dxfId="167" priority="217"/>
    <cfRule type="duplicateValues" dxfId="166" priority="218"/>
    <cfRule type="duplicateValues" dxfId="165" priority="219"/>
    <cfRule type="duplicateValues" dxfId="164" priority="220"/>
    <cfRule type="duplicateValues" dxfId="163" priority="221"/>
    <cfRule type="duplicateValues" dxfId="162" priority="222"/>
    <cfRule type="duplicateValues" dxfId="161" priority="223"/>
    <cfRule type="duplicateValues" dxfId="160" priority="224"/>
    <cfRule type="duplicateValues" dxfId="159" priority="225"/>
    <cfRule type="duplicateValues" dxfId="158" priority="226"/>
    <cfRule type="duplicateValues" dxfId="157" priority="227"/>
    <cfRule type="duplicateValues" dxfId="156" priority="228"/>
    <cfRule type="duplicateValues" dxfId="155" priority="229"/>
    <cfRule type="duplicateValues" dxfId="154" priority="230"/>
    <cfRule type="duplicateValues" dxfId="153" priority="231"/>
    <cfRule type="duplicateValues" dxfId="152" priority="232"/>
    <cfRule type="duplicateValues" dxfId="151" priority="233"/>
    <cfRule type="duplicateValues" dxfId="150" priority="234"/>
    <cfRule type="duplicateValues" dxfId="149" priority="235"/>
    <cfRule type="duplicateValues" dxfId="148" priority="236"/>
    <cfRule type="duplicateValues" dxfId="147" priority="237"/>
    <cfRule type="duplicateValues" dxfId="146" priority="238"/>
    <cfRule type="duplicateValues" dxfId="145" priority="239"/>
    <cfRule type="duplicateValues" dxfId="144" priority="240"/>
    <cfRule type="duplicateValues" dxfId="143" priority="241"/>
    <cfRule type="duplicateValues" dxfId="142" priority="242"/>
    <cfRule type="duplicateValues" dxfId="141" priority="243"/>
    <cfRule type="duplicateValues" dxfId="140" priority="244"/>
    <cfRule type="duplicateValues" dxfId="139" priority="245"/>
    <cfRule type="duplicateValues" dxfId="138" priority="246"/>
    <cfRule type="duplicateValues" dxfId="137" priority="247"/>
    <cfRule type="duplicateValues" dxfId="136" priority="248"/>
    <cfRule type="duplicateValues" dxfId="135" priority="249"/>
    <cfRule type="duplicateValues" dxfId="134" priority="250"/>
    <cfRule type="duplicateValues" dxfId="133" priority="251"/>
    <cfRule type="duplicateValues" dxfId="132" priority="252"/>
    <cfRule type="duplicateValues" dxfId="131" priority="253"/>
    <cfRule type="duplicateValues" dxfId="130" priority="254"/>
    <cfRule type="duplicateValues" dxfId="129" priority="255"/>
  </conditionalFormatting>
  <conditionalFormatting sqref="B8">
    <cfRule type="duplicateValues" dxfId="128" priority="169"/>
    <cfRule type="duplicateValues" dxfId="127" priority="170"/>
    <cfRule type="duplicateValues" dxfId="126" priority="171"/>
    <cfRule type="duplicateValues" dxfId="125" priority="172"/>
  </conditionalFormatting>
  <conditionalFormatting sqref="B8">
    <cfRule type="duplicateValues" dxfId="124" priority="161"/>
    <cfRule type="duplicateValues" dxfId="123" priority="162"/>
    <cfRule type="duplicateValues" dxfId="122" priority="163"/>
    <cfRule type="duplicateValues" dxfId="121" priority="164"/>
    <cfRule type="duplicateValues" dxfId="120" priority="165"/>
    <cfRule type="duplicateValues" dxfId="119" priority="166"/>
    <cfRule type="duplicateValues" dxfId="118" priority="167"/>
    <cfRule type="duplicateValues" dxfId="117" priority="168"/>
  </conditionalFormatting>
  <conditionalFormatting sqref="B8">
    <cfRule type="duplicateValues" dxfId="116" priority="130"/>
    <cfRule type="duplicateValues" dxfId="115" priority="131"/>
    <cfRule type="duplicateValues" dxfId="114" priority="132"/>
    <cfRule type="duplicateValues" dxfId="113" priority="133"/>
    <cfRule type="duplicateValues" dxfId="112" priority="134"/>
    <cfRule type="duplicateValues" dxfId="111" priority="135"/>
    <cfRule type="duplicateValues" dxfId="110" priority="136"/>
    <cfRule type="duplicateValues" dxfId="109" priority="137"/>
    <cfRule type="duplicateValues" dxfId="108" priority="138"/>
    <cfRule type="duplicateValues" dxfId="107" priority="139"/>
    <cfRule type="duplicateValues" dxfId="106" priority="140"/>
    <cfRule type="duplicateValues" dxfId="105" priority="141"/>
    <cfRule type="duplicateValues" dxfId="104" priority="142"/>
    <cfRule type="duplicateValues" dxfId="103" priority="143"/>
    <cfRule type="duplicateValues" dxfId="102" priority="144"/>
    <cfRule type="duplicateValues" dxfId="101" priority="145"/>
    <cfRule type="duplicateValues" dxfId="100" priority="146"/>
    <cfRule type="duplicateValues" dxfId="99" priority="147"/>
    <cfRule type="duplicateValues" dxfId="98" priority="148"/>
    <cfRule type="duplicateValues" dxfId="97" priority="149"/>
    <cfRule type="duplicateValues" dxfId="96" priority="150"/>
    <cfRule type="duplicateValues" dxfId="95" priority="151"/>
    <cfRule type="duplicateValues" dxfId="94" priority="152"/>
    <cfRule type="duplicateValues" dxfId="93" priority="153"/>
    <cfRule type="duplicateValues" dxfId="92" priority="154"/>
    <cfRule type="duplicateValues" dxfId="91" priority="155"/>
    <cfRule type="duplicateValues" dxfId="90" priority="156"/>
    <cfRule type="duplicateValues" dxfId="89" priority="157"/>
    <cfRule type="duplicateValues" dxfId="88" priority="158"/>
    <cfRule type="duplicateValues" dxfId="87" priority="159"/>
    <cfRule type="duplicateValues" dxfId="86" priority="160"/>
  </conditionalFormatting>
  <conditionalFormatting sqref="B9">
    <cfRule type="duplicateValues" dxfId="85" priority="126"/>
    <cfRule type="duplicateValues" dxfId="84" priority="127"/>
    <cfRule type="duplicateValues" dxfId="83" priority="128"/>
    <cfRule type="duplicateValues" dxfId="82" priority="129"/>
  </conditionalFormatting>
  <conditionalFormatting sqref="B9">
    <cfRule type="duplicateValues" dxfId="81" priority="118"/>
    <cfRule type="duplicateValues" dxfId="80" priority="119"/>
    <cfRule type="duplicateValues" dxfId="79" priority="120"/>
    <cfRule type="duplicateValues" dxfId="78" priority="121"/>
    <cfRule type="duplicateValues" dxfId="77" priority="122"/>
    <cfRule type="duplicateValues" dxfId="76" priority="123"/>
    <cfRule type="duplicateValues" dxfId="75" priority="124"/>
    <cfRule type="duplicateValues" dxfId="74" priority="125"/>
  </conditionalFormatting>
  <conditionalFormatting sqref="B9">
    <cfRule type="duplicateValues" dxfId="73" priority="87"/>
    <cfRule type="duplicateValues" dxfId="72" priority="88"/>
    <cfRule type="duplicateValues" dxfId="71" priority="89"/>
    <cfRule type="duplicateValues" dxfId="70" priority="90"/>
    <cfRule type="duplicateValues" dxfId="69" priority="91"/>
    <cfRule type="duplicateValues" dxfId="68" priority="92"/>
    <cfRule type="duplicateValues" dxfId="67" priority="93"/>
    <cfRule type="duplicateValues" dxfId="66" priority="94"/>
    <cfRule type="duplicateValues" dxfId="65" priority="95"/>
    <cfRule type="duplicateValues" dxfId="64" priority="96"/>
    <cfRule type="duplicateValues" dxfId="63" priority="97"/>
    <cfRule type="duplicateValues" dxfId="62" priority="98"/>
    <cfRule type="duplicateValues" dxfId="61" priority="99"/>
    <cfRule type="duplicateValues" dxfId="60" priority="100"/>
    <cfRule type="duplicateValues" dxfId="59" priority="101"/>
    <cfRule type="duplicateValues" dxfId="58" priority="102"/>
    <cfRule type="duplicateValues" dxfId="57" priority="103"/>
    <cfRule type="duplicateValues" dxfId="56" priority="104"/>
    <cfRule type="duplicateValues" dxfId="55" priority="105"/>
    <cfRule type="duplicateValues" dxfId="54" priority="106"/>
    <cfRule type="duplicateValues" dxfId="53" priority="107"/>
    <cfRule type="duplicateValues" dxfId="52" priority="108"/>
    <cfRule type="duplicateValues" dxfId="51" priority="109"/>
    <cfRule type="duplicateValues" dxfId="50" priority="110"/>
    <cfRule type="duplicateValues" dxfId="49" priority="111"/>
    <cfRule type="duplicateValues" dxfId="48" priority="112"/>
    <cfRule type="duplicateValues" dxfId="47" priority="113"/>
    <cfRule type="duplicateValues" dxfId="46" priority="114"/>
    <cfRule type="duplicateValues" dxfId="45" priority="115"/>
    <cfRule type="duplicateValues" dxfId="44" priority="116"/>
    <cfRule type="duplicateValues" dxfId="43" priority="117"/>
  </conditionalFormatting>
  <conditionalFormatting sqref="B10">
    <cfRule type="duplicateValues" dxfId="42" priority="40"/>
    <cfRule type="duplicateValues" dxfId="41" priority="41"/>
    <cfRule type="duplicateValues" dxfId="40" priority="42"/>
    <cfRule type="duplicateValues" dxfId="39" priority="43"/>
  </conditionalFormatting>
  <conditionalFormatting sqref="B10">
    <cfRule type="duplicateValues" dxfId="38" priority="32"/>
    <cfRule type="duplicateValues" dxfId="37" priority="33"/>
    <cfRule type="duplicateValues" dxfId="36" priority="34"/>
    <cfRule type="duplicateValues" dxfId="35" priority="35"/>
    <cfRule type="duplicateValues" dxfId="34" priority="36"/>
    <cfRule type="duplicateValues" dxfId="33" priority="37"/>
    <cfRule type="duplicateValues" dxfId="32" priority="38"/>
    <cfRule type="duplicateValues" dxfId="31" priority="39"/>
  </conditionalFormatting>
  <conditionalFormatting sqref="B10">
    <cfRule type="duplicateValues" dxfId="30" priority="1"/>
    <cfRule type="duplicateValues" dxfId="29" priority="2"/>
    <cfRule type="duplicateValues" dxfId="28" priority="3"/>
    <cfRule type="duplicateValues" dxfId="27" priority="4"/>
    <cfRule type="duplicateValues" dxfId="26" priority="5"/>
    <cfRule type="duplicateValues" dxfId="25" priority="6"/>
    <cfRule type="duplicateValues" dxfId="24" priority="7"/>
    <cfRule type="duplicateValues" dxfId="23" priority="8"/>
    <cfRule type="duplicateValues" dxfId="22" priority="9"/>
    <cfRule type="duplicateValues" dxfId="21" priority="10"/>
    <cfRule type="duplicateValues" dxfId="20" priority="11"/>
    <cfRule type="duplicateValues" dxfId="19" priority="12"/>
    <cfRule type="duplicateValues" dxfId="18" priority="13"/>
    <cfRule type="duplicateValues" dxfId="17" priority="14"/>
    <cfRule type="duplicateValues" dxfId="16" priority="15"/>
    <cfRule type="duplicateValues" dxfId="15" priority="16"/>
    <cfRule type="duplicateValues" dxfId="14" priority="17"/>
    <cfRule type="duplicateValues" dxfId="13" priority="18"/>
    <cfRule type="duplicateValues" dxfId="12" priority="19"/>
    <cfRule type="duplicateValues" dxfId="11" priority="20"/>
    <cfRule type="duplicateValues" dxfId="10" priority="21"/>
    <cfRule type="duplicateValues" dxfId="9" priority="22"/>
    <cfRule type="duplicateValues" dxfId="8" priority="23"/>
    <cfRule type="duplicateValues" dxfId="7" priority="24"/>
    <cfRule type="duplicateValues" dxfId="6" priority="25"/>
    <cfRule type="duplicateValues" dxfId="5" priority="26"/>
    <cfRule type="duplicateValues" dxfId="4" priority="27"/>
    <cfRule type="duplicateValues" dxfId="3" priority="28"/>
    <cfRule type="duplicateValues" dxfId="2" priority="29"/>
    <cfRule type="duplicateValues" dxfId="1" priority="30"/>
    <cfRule type="duplicateValues" dxfId="0" priority="31"/>
  </conditionalFormatting>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RPS ENTRY</vt:lpstr>
      <vt:lpstr>TOUCHING LATE SHEET</vt:lpstr>
      <vt:lpstr>TOUCHING</vt:lpstr>
      <vt:lpstr>REPORT</vt:lpstr>
      <vt:lpstr>ROUT DIVERT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2026-09-15T07:51:22Z</dcterms:modified>
</cp:coreProperties>
</file>